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Entrada de Dados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BALANÇO FINANCEIRO" sheetId="4" state="visible" r:id="rId4"/>
    <sheet xmlns:r="http://schemas.openxmlformats.org/officeDocument/2006/relationships" name="DIFERENÇA" sheetId="5" state="visible" r:id="rId5"/>
    <sheet xmlns:r="http://schemas.openxmlformats.org/officeDocument/2006/relationships" name="MAPA DE MONTAGEM" sheetId="6" state="visible" r:id="rId6"/>
    <sheet xmlns:r="http://schemas.openxmlformats.org/officeDocument/2006/relationships" name="MAPA DE PRODUÇÃO" sheetId="7" state="visible" r:id="rId7"/>
    <sheet xmlns:r="http://schemas.openxmlformats.org/officeDocument/2006/relationships" name="MOTIVO" sheetId="8" state="visible" r:id="rId8"/>
    <sheet xmlns:r="http://schemas.openxmlformats.org/officeDocument/2006/relationships" name="E M ABELARDO DE LAMARE" sheetId="9" state="visible" r:id="rId9"/>
    <sheet xmlns:r="http://schemas.openxmlformats.org/officeDocument/2006/relationships" name="E M BATAILLARD" sheetId="10" state="visible" r:id="rId10"/>
    <sheet xmlns:r="http://schemas.openxmlformats.org/officeDocument/2006/relationships" name="E M LEONARDO BOFF" sheetId="11" state="visible" r:id="rId11"/>
    <sheet xmlns:r="http://schemas.openxmlformats.org/officeDocument/2006/relationships" name="E M CLEMENTE FERNANDES" sheetId="12" state="visible" r:id="rId12"/>
    <sheet xmlns:r="http://schemas.openxmlformats.org/officeDocument/2006/relationships" name="E M DOM PEDRO DE ALCÂNTARA" sheetId="13" state="visible" r:id="rId13"/>
    <sheet xmlns:r="http://schemas.openxmlformats.org/officeDocument/2006/relationships" name="E M DUQUE DE CAXIAS" sheetId="14" state="visible" r:id="rId14"/>
    <sheet xmlns:r="http://schemas.openxmlformats.org/officeDocument/2006/relationships" name="E M LUIZ CARLOS SOARES" sheetId="15" state="visible" r:id="rId15"/>
    <sheet xmlns:r="http://schemas.openxmlformats.org/officeDocument/2006/relationships" name="ESCOLA MUNICIPAL GENERAL HEITOR" sheetId="16" state="visible" r:id="rId16"/>
    <sheet xmlns:r="http://schemas.openxmlformats.org/officeDocument/2006/relationships" name="E M JOÃO KOPKE" sheetId="17" state="visible" r:id="rId17"/>
    <sheet xmlns:r="http://schemas.openxmlformats.org/officeDocument/2006/relationships" name="ESCOLA MUNICIPAL ODETTE FONSECA" sheetId="18" state="visible" r:id="rId18"/>
    <sheet xmlns:r="http://schemas.openxmlformats.org/officeDocument/2006/relationships" name="E M GOVERNADOR MARCELLO ALENCAR" sheetId="19" state="visible" r:id="rId19"/>
    <sheet xmlns:r="http://schemas.openxmlformats.org/officeDocument/2006/relationships" name="E M PROF JOAQUIM DEISTER" sheetId="20" state="visible" r:id="rId20"/>
    <sheet xmlns:r="http://schemas.openxmlformats.org/officeDocument/2006/relationships" name="E M ROBERT KENNEDY" sheetId="21" state="visible" r:id="rId21"/>
    <sheet xmlns:r="http://schemas.openxmlformats.org/officeDocument/2006/relationships" name="E M ROTARY" sheetId="22" state="visible" r:id="rId22"/>
    <sheet xmlns:r="http://schemas.openxmlformats.org/officeDocument/2006/relationships" name="E M ROSALINA NICOLAY" sheetId="23" state="visible" r:id="rId23"/>
    <sheet xmlns:r="http://schemas.openxmlformats.org/officeDocument/2006/relationships" name="E M DE EDUCAÇÃO ESPECIAL SANTOS" sheetId="24" state="visible" r:id="rId24"/>
    <sheet xmlns:r="http://schemas.openxmlformats.org/officeDocument/2006/relationships" name="E M SOROPTIMISTA" sheetId="25" state="visible" r:id="rId25"/>
    <sheet xmlns:r="http://schemas.openxmlformats.org/officeDocument/2006/relationships" name="LICEU MUN PREFEITO CORDOLINO AM" sheetId="26" state="visible" r:id="rId26"/>
    <sheet xmlns:r="http://schemas.openxmlformats.org/officeDocument/2006/relationships" name="E M ANTÔNIO LEITE GARCIA" sheetId="27" state="visible" r:id="rId27"/>
    <sheet xmlns:r="http://schemas.openxmlformats.org/officeDocument/2006/relationships" name="ESCOLA MUNICIPAL JORGE AMADO" sheetId="28" state="visible" r:id="rId28"/>
    <sheet xmlns:r="http://schemas.openxmlformats.org/officeDocument/2006/relationships" name="ESCOLA MUNICIPAL LÚCIA DE ALMEI" sheetId="29" state="visible" r:id="rId29"/>
    <sheet xmlns:r="http://schemas.openxmlformats.org/officeDocument/2006/relationships" name="E M MAGDALENA TAGLIAFERRO" sheetId="30" state="visible" r:id="rId30"/>
    <sheet xmlns:r="http://schemas.openxmlformats.org/officeDocument/2006/relationships" name="ESCOLA MUNICIPAL MAJOR JÚLIO FR" sheetId="31" state="visible" r:id="rId31"/>
    <sheet xmlns:r="http://schemas.openxmlformats.org/officeDocument/2006/relationships" name="E M MARIETA GONÇALVES" sheetId="32" state="visible" r:id="rId32"/>
    <sheet xmlns:r="http://schemas.openxmlformats.org/officeDocument/2006/relationships" name="ESCOLA MUNICIPAL ODETTE YOUNG M" sheetId="33" state="visible" r:id="rId33"/>
    <sheet xmlns:r="http://schemas.openxmlformats.org/officeDocument/2006/relationships" name="E M FÁBRICA DO SABER" sheetId="34" state="visible" r:id="rId34"/>
    <sheet xmlns:r="http://schemas.openxmlformats.org/officeDocument/2006/relationships" name="ESCOLA MUNICIPAL PROFESSOR PAUL" sheetId="35" state="visible" r:id="rId35"/>
    <sheet xmlns:r="http://schemas.openxmlformats.org/officeDocument/2006/relationships" name="E M ROSEMIRA DE OLIVEIRA CAVALC" sheetId="36" state="visible" r:id="rId36"/>
    <sheet xmlns:r="http://schemas.openxmlformats.org/officeDocument/2006/relationships" name="E M AMÉLIA ANTUNES RABELLO" sheetId="37" state="visible" r:id="rId37"/>
    <sheet xmlns:r="http://schemas.openxmlformats.org/officeDocument/2006/relationships" name="ESCOLA MUNICIPAL AUGUSTO PUGNAL" sheetId="38" state="visible" r:id="rId38"/>
    <sheet xmlns:r="http://schemas.openxmlformats.org/officeDocument/2006/relationships" name="ESCOLA MUNICIPAL CELINA SCHECHN" sheetId="39" state="visible" r:id="rId39"/>
    <sheet xmlns:r="http://schemas.openxmlformats.org/officeDocument/2006/relationships" name="E M DARCY CORREA DA VEIGA" sheetId="40" state="visible" r:id="rId40"/>
    <sheet xmlns:r="http://schemas.openxmlformats.org/officeDocument/2006/relationships" name="E M DR PAULA BUARQUE" sheetId="41" state="visible" r:id="rId41"/>
    <sheet xmlns:r="http://schemas.openxmlformats.org/officeDocument/2006/relationships" name="E M DR THEODORO MACHADO" sheetId="42" state="visible" r:id="rId42"/>
    <sheet xmlns:r="http://schemas.openxmlformats.org/officeDocument/2006/relationships" name="E M ARNALDO DYCKERHOFF" sheetId="43" state="visible" r:id="rId43"/>
    <sheet xmlns:r="http://schemas.openxmlformats.org/officeDocument/2006/relationships" name="E M CARLOS CANEDO" sheetId="44" state="visible" r:id="rId44"/>
    <sheet xmlns:r="http://schemas.openxmlformats.org/officeDocument/2006/relationships" name="E M DR BARROS FRANCO" sheetId="45" state="visible" r:id="rId45"/>
    <sheet xmlns:r="http://schemas.openxmlformats.org/officeDocument/2006/relationships" name="E M MAJOR THEÓFILO DE CARVALHO" sheetId="46" state="visible" r:id="rId46"/>
    <sheet xmlns:r="http://schemas.openxmlformats.org/officeDocument/2006/relationships" name="E M TAQUARIL" sheetId="47" state="visible" r:id="rId47"/>
    <sheet xmlns:r="http://schemas.openxmlformats.org/officeDocument/2006/relationships" name="E M BEATRIZ ZALESKI" sheetId="48" state="visible" r:id="rId48"/>
    <sheet xmlns:r="http://schemas.openxmlformats.org/officeDocument/2006/relationships" name="E M ANTÔNIO JOSÉ DE LIMA" sheetId="49" state="visible" r:id="rId49"/>
    <sheet xmlns:r="http://schemas.openxmlformats.org/officeDocument/2006/relationships" name="E M FELIX WAN ERVEN DE BARROS" sheetId="50" state="visible" r:id="rId50"/>
    <sheet xmlns:r="http://schemas.openxmlformats.org/officeDocument/2006/relationships" name="ESCOLA MUNICIPAL HILDEBRANDO DE" sheetId="51" state="visible" r:id="rId51"/>
    <sheet xmlns:r="http://schemas.openxmlformats.org/officeDocument/2006/relationships" name="E M OSWALDO DA COSTA FRIAS" sheetId="52" state="visible" r:id="rId52"/>
    <sheet xmlns:r="http://schemas.openxmlformats.org/officeDocument/2006/relationships" name="E MZDA CARMEM NUNES MARTINS" sheetId="53" state="visible" r:id="rId53"/>
    <sheet xmlns:r="http://schemas.openxmlformats.org/officeDocument/2006/relationships" name="E MZDA AVELINO DE CARVALHO" sheetId="54" state="visible" r:id="rId54"/>
    <sheet xmlns:r="http://schemas.openxmlformats.org/officeDocument/2006/relationships" name="E M GERALDO VENTURA DIAS" sheetId="55" state="visible" r:id="rId55"/>
    <sheet xmlns:r="http://schemas.openxmlformats.org/officeDocument/2006/relationships" name="E M SALVADOR KLING" sheetId="56" state="visible" r:id="rId56"/>
    <sheet xmlns:r="http://schemas.openxmlformats.org/officeDocument/2006/relationships" name="E M PREFEITO JAMIL SABRÁ" sheetId="57" state="visible" r:id="rId57"/>
    <sheet xmlns:r="http://schemas.openxmlformats.org/officeDocument/2006/relationships" name="LICEU MUNICIPAL CARLOS CHAGAS F" sheetId="58" state="visible" r:id="rId58"/>
    <sheet xmlns:r="http://schemas.openxmlformats.org/officeDocument/2006/relationships" name="ESCOLA MUNICIPAL ANA MOHAMMAD" sheetId="59" state="visible" r:id="rId59"/>
    <sheet xmlns:r="http://schemas.openxmlformats.org/officeDocument/2006/relationships" name="ESCOLA MUNICIPAL ALTO INDEPENDÊ" sheetId="60" state="visible" r:id="rId60"/>
    <sheet xmlns:r="http://schemas.openxmlformats.org/officeDocument/2006/relationships" name="E M ALMIRANTE TAMANDARÉ" sheetId="61" state="visible" r:id="rId61"/>
    <sheet xmlns:r="http://schemas.openxmlformats.org/officeDocument/2006/relationships" name="ESCOLA MUNICIPALIZADA FREI ANIC" sheetId="62" state="visible" r:id="rId62"/>
    <sheet xmlns:r="http://schemas.openxmlformats.org/officeDocument/2006/relationships" name="E M PEDRO AMADO" sheetId="63" state="visible" r:id="rId63"/>
    <sheet xmlns:r="http://schemas.openxmlformats.org/officeDocument/2006/relationships" name="E M PROFª MARIA DA GLÓRIA QUEIR" sheetId="64" state="visible" r:id="rId64"/>
    <sheet xmlns:r="http://schemas.openxmlformats.org/officeDocument/2006/relationships" name="E M SEBASTIÃO LACERDA" sheetId="65" state="visible" r:id="rId65"/>
    <sheet xmlns:r="http://schemas.openxmlformats.org/officeDocument/2006/relationships" name="E M PROFESSOR FLÁVIO MACIEL" sheetId="66" state="visible" r:id="rId66"/>
    <sheet xmlns:r="http://schemas.openxmlformats.org/officeDocument/2006/relationships" name="ESCOLA MUNICIPAL PAULO SALDANHA" sheetId="67" state="visible" r:id="rId67"/>
    <sheet xmlns:r="http://schemas.openxmlformats.org/officeDocument/2006/relationships" name="ESCOLA MUNICIPAL PROFESSOR JOSE" sheetId="68" state="visible" r:id="rId68"/>
    <sheet xmlns:r="http://schemas.openxmlformats.org/officeDocument/2006/relationships" name="E M MONSENHOR CIRILLO CALAON" sheetId="69" state="visible" r:id="rId69"/>
    <sheet xmlns:r="http://schemas.openxmlformats.org/officeDocument/2006/relationships" name="E M AMÉRICO FERNANDES RIBEIRO" sheetId="70" state="visible" r:id="rId70"/>
    <sheet xmlns:r="http://schemas.openxmlformats.org/officeDocument/2006/relationships" name="E M PROFª JANDIRA PEIXOTO BORDI" sheetId="71" state="visible" r:id="rId71"/>
    <sheet xmlns:r="http://schemas.openxmlformats.org/officeDocument/2006/relationships" name="E M MONSENHOR JOÃO DE DEUS RODR" sheetId="72" state="visible" r:id="rId72"/>
    <sheet xmlns:r="http://schemas.openxmlformats.org/officeDocument/2006/relationships" name="E M DOM MANOEL PEDRO DA CUNHA C" sheetId="73" state="visible" r:id="rId73"/>
    <sheet xmlns:r="http://schemas.openxmlformats.org/officeDocument/2006/relationships" name="E M JOHANN NOEL" sheetId="74" state="visible" r:id="rId74"/>
    <sheet xmlns:r="http://schemas.openxmlformats.org/officeDocument/2006/relationships" name="E MZDA SANTA TEREZINHA" sheetId="75" state="visible" r:id="rId75"/>
    <sheet xmlns:r="http://schemas.openxmlformats.org/officeDocument/2006/relationships" name="E M PAPA JOÃO PAULO II" sheetId="76" state="visible" r:id="rId76"/>
    <sheet xmlns:r="http://schemas.openxmlformats.org/officeDocument/2006/relationships" name="E M STEFAN ZWEIG" sheetId="77" state="visible" r:id="rId77"/>
    <sheet xmlns:r="http://schemas.openxmlformats.org/officeDocument/2006/relationships" name="ESCOLA MUNICIPAL SENADOR MARIO " sheetId="78" state="visible" r:id="rId78"/>
    <sheet xmlns:r="http://schemas.openxmlformats.org/officeDocument/2006/relationships" name="E M DR RUBENS DE CASTRO BOMTEMP" sheetId="79" state="visible" r:id="rId79"/>
    <sheet xmlns:r="http://schemas.openxmlformats.org/officeDocument/2006/relationships" name="E M PAULO FREIRE" sheetId="80" state="visible" r:id="rId80"/>
    <sheet xmlns:r="http://schemas.openxmlformats.org/officeDocument/2006/relationships" name="E M PROFª MARIA CAMPOS DA SILVA" sheetId="81" state="visible" r:id="rId81"/>
    <sheet xmlns:r="http://schemas.openxmlformats.org/officeDocument/2006/relationships" name="E M HERCÍLIA HENRIQUES MORET" sheetId="82" state="visible" r:id="rId82"/>
    <sheet xmlns:r="http://schemas.openxmlformats.org/officeDocument/2006/relationships" name="ESCOLA MUNICIPALIZADA MOYSÉS FU" sheetId="83" state="visible" r:id="rId83"/>
    <sheet xmlns:r="http://schemas.openxmlformats.org/officeDocument/2006/relationships" name="CIEP BRIZOLÃO 474 MAESTRO GUERR" sheetId="84" state="visible" r:id="rId84"/>
    <sheet xmlns:r="http://schemas.openxmlformats.org/officeDocument/2006/relationships" name="CENTRO DE ENSINO PROF DARCY RIB" sheetId="85" state="visible" r:id="rId85"/>
    <sheet xmlns:r="http://schemas.openxmlformats.org/officeDocument/2006/relationships" name="CASA DA EDUCAÇÃO VISCONDE DE MA" sheetId="86" state="visible" r:id="rId86"/>
    <sheet xmlns:r="http://schemas.openxmlformats.org/officeDocument/2006/relationships" name="CENTRO DE REFERÊNCIA EM EDUCAÇÃ" sheetId="87" state="visible" r:id="rId87"/>
    <sheet xmlns:r="http://schemas.openxmlformats.org/officeDocument/2006/relationships" name="E M PROF NILTON COSTA PEREIRA D" sheetId="88" state="visible" r:id="rId88"/>
    <sheet xmlns:r="http://schemas.openxmlformats.org/officeDocument/2006/relationships" name="COLÉGIO GUNNAR VINGREN DE PETRÓ" sheetId="89" state="visible" r:id="rId89"/>
    <sheet xmlns:r="http://schemas.openxmlformats.org/officeDocument/2006/relationships" name="CENTRO DE REFERÊNCIA EM EDUC 2" sheetId="90" state="visible" r:id="rId90"/>
    <sheet xmlns:r="http://schemas.openxmlformats.org/officeDocument/2006/relationships" name="ESCOLA SANTA LUIZA DE MARILLAC" sheetId="91" state="visible" r:id="rId91"/>
    <sheet xmlns:r="http://schemas.openxmlformats.org/officeDocument/2006/relationships" name="CENTRO EDUCACIONAL COMUNIDADE S" sheetId="92" state="visible" r:id="rId92"/>
    <sheet xmlns:r="http://schemas.openxmlformats.org/officeDocument/2006/relationships" name="EDUCANDÁRIO TERRA SANTA" sheetId="93" state="visible" r:id="rId93"/>
    <sheet xmlns:r="http://schemas.openxmlformats.org/officeDocument/2006/relationships" name="ESCOLA GERMANO VALENTE" sheetId="94" state="visible" r:id="rId94"/>
    <sheet xmlns:r="http://schemas.openxmlformats.org/officeDocument/2006/relationships" name="ESCOLA DAS COMUNIDADES SANTO AN" sheetId="95" state="visible" r:id="rId95"/>
    <sheet xmlns:r="http://schemas.openxmlformats.org/officeDocument/2006/relationships" name="ESCOLA DOMÉSTICA NOSSA SENHORA " sheetId="96" state="visible" r:id="rId96"/>
    <sheet xmlns:r="http://schemas.openxmlformats.org/officeDocument/2006/relationships" name="ESCOLA PAROQUIAL NOSSA SENHO 3" sheetId="97" state="visible" r:id="rId97"/>
    <sheet xmlns:r="http://schemas.openxmlformats.org/officeDocument/2006/relationships" name="ESCOLA MONSENHOR GENTIL" sheetId="98" state="visible" r:id="rId98"/>
    <sheet xmlns:r="http://schemas.openxmlformats.org/officeDocument/2006/relationships" name="ESCOLA PAROQUIAL BOM JESUS" sheetId="99" state="visible" r:id="rId99"/>
    <sheet xmlns:r="http://schemas.openxmlformats.org/officeDocument/2006/relationships" name="ESCOLA PAROQUIAL CARLOS DEMIÁ" sheetId="100" state="visible" r:id="rId100"/>
    <sheet xmlns:r="http://schemas.openxmlformats.org/officeDocument/2006/relationships" name="ESCOLA PAROQUIAL NOSSA SENHO 2" sheetId="101" state="visible" r:id="rId101"/>
    <sheet xmlns:r="http://schemas.openxmlformats.org/officeDocument/2006/relationships" name="ESCOLA PAROQUIAL NOSSA SENHORA " sheetId="102" state="visible" r:id="rId102"/>
    <sheet xmlns:r="http://schemas.openxmlformats.org/officeDocument/2006/relationships" name="ESCOLA PAROQUIAL SÃO PEDRO DE A" sheetId="103" state="visible" r:id="rId103"/>
    <sheet xmlns:r="http://schemas.openxmlformats.org/officeDocument/2006/relationships" name="ESCOLA SANTA MARIA GORETTI" sheetId="104" state="visible" r:id="rId104"/>
    <sheet xmlns:r="http://schemas.openxmlformats.org/officeDocument/2006/relationships" name="ESCOLA SANTA RITA DE CASSIA" sheetId="105" state="visible" r:id="rId105"/>
    <sheet xmlns:r="http://schemas.openxmlformats.org/officeDocument/2006/relationships" name="ESCOLA SÃO CRISTÓVÃO" sheetId="106" state="visible" r:id="rId106"/>
    <sheet xmlns:r="http://schemas.openxmlformats.org/officeDocument/2006/relationships" name="ESCOLA PAROQUIAL SÃO FRANCISCO " sheetId="107" state="visible" r:id="rId107"/>
    <sheet xmlns:r="http://schemas.openxmlformats.org/officeDocument/2006/relationships" name="ESCOLA SAO FRANCISCO DE ASSIS" sheetId="108" state="visible" r:id="rId108"/>
    <sheet xmlns:r="http://schemas.openxmlformats.org/officeDocument/2006/relationships" name="ESCOLA SÃO JOÃO BATISTA" sheetId="109" state="visible" r:id="rId109"/>
    <sheet xmlns:r="http://schemas.openxmlformats.org/officeDocument/2006/relationships" name="ESCOLA SÃO JUDAS TADEU" sheetId="110" state="visible" r:id="rId110"/>
    <sheet xmlns:r="http://schemas.openxmlformats.org/officeDocument/2006/relationships" name="ESCOLA PAROQUIAL SÃO PIO X" sheetId="111" state="visible" r:id="rId111"/>
    <sheet xmlns:r="http://schemas.openxmlformats.org/officeDocument/2006/relationships" name="COLÉGIO ANGLICANO DE ARARAS" sheetId="112" state="visible" r:id="rId112"/>
    <sheet xmlns:r="http://schemas.openxmlformats.org/officeDocument/2006/relationships" name="COLEGIO VICENTINO PADRE CORRÊA" sheetId="113" state="visible" r:id="rId113"/>
    <sheet xmlns:r="http://schemas.openxmlformats.org/officeDocument/2006/relationships" name="ESCOLA NOSSA SENHORA DE FÁTIMA" sheetId="114" state="visible" r:id="rId114"/>
    <sheet xmlns:r="http://schemas.openxmlformats.org/officeDocument/2006/relationships" name="ESCOLA PAROQUIAL DA ALCOBAÇA" sheetId="115" state="visible" r:id="rId115"/>
    <sheet xmlns:r="http://schemas.openxmlformats.org/officeDocument/2006/relationships" name="ESCOLA PAROQUIAL DO LOTEAMENTO " sheetId="116" state="visible" r:id="rId116"/>
    <sheet xmlns:r="http://schemas.openxmlformats.org/officeDocument/2006/relationships" name="ESCOLA PAROQUIAL SANTA BERNADET" sheetId="117" state="visible" r:id="rId117"/>
    <sheet xmlns:r="http://schemas.openxmlformats.org/officeDocument/2006/relationships" name="ESCOLA SÃO GERALDO" sheetId="118" state="visible" r:id="rId118"/>
    <sheet xmlns:r="http://schemas.openxmlformats.org/officeDocument/2006/relationships" name="ESCOLA SANTO ANTÔNIO" sheetId="119" state="visible" r:id="rId119"/>
    <sheet xmlns:r="http://schemas.openxmlformats.org/officeDocument/2006/relationships" name="LICEU SÃO JOSÉ DE ITAIPAVA" sheetId="120" state="visible" r:id="rId120"/>
    <sheet xmlns:r="http://schemas.openxmlformats.org/officeDocument/2006/relationships" name="ESCOLA SÃO JOSÉ DO CAETITU" sheetId="121" state="visible" r:id="rId121"/>
    <sheet xmlns:r="http://schemas.openxmlformats.org/officeDocument/2006/relationships" name="CEI ASSOCIAÇÃO BENEFICENTE FAZE" sheetId="122" state="visible" r:id="rId122"/>
    <sheet xmlns:r="http://schemas.openxmlformats.org/officeDocument/2006/relationships" name="CEI CASA DA SOLIDARIEDADE DE NO" sheetId="123" state="visible" r:id="rId123"/>
    <sheet xmlns:r="http://schemas.openxmlformats.org/officeDocument/2006/relationships" name="CEI LULU MONTEIRO DE CASTRO" sheetId="124" state="visible" r:id="rId124"/>
    <sheet xmlns:r="http://schemas.openxmlformats.org/officeDocument/2006/relationships" name="CEI SÃO JOÃO BATISTA" sheetId="125" state="visible" r:id="rId125"/>
    <sheet xmlns:r="http://schemas.openxmlformats.org/officeDocument/2006/relationships" name="CEI SÃO FRANCISCO ASSIS" sheetId="126" state="visible" r:id="rId126"/>
    <sheet xmlns:r="http://schemas.openxmlformats.org/officeDocument/2006/relationships" name="CEI A SEMENTEIRA" sheetId="127" state="visible" r:id="rId127"/>
    <sheet xmlns:r="http://schemas.openxmlformats.org/officeDocument/2006/relationships" name="CEI FREI LEÃO" sheetId="128" state="visible" r:id="rId128"/>
    <sheet xmlns:r="http://schemas.openxmlformats.org/officeDocument/2006/relationships" name="CEI ROMANO CANAVESE" sheetId="129" state="visible" r:id="rId129"/>
    <sheet xmlns:r="http://schemas.openxmlformats.org/officeDocument/2006/relationships" name="CEI ANDRÉ VANZAN" sheetId="130" state="visible" r:id="rId130"/>
    <sheet xmlns:r="http://schemas.openxmlformats.org/officeDocument/2006/relationships" name="CEI CRIANÇA SANTA EDWIGES" sheetId="131" state="visible" r:id="rId131"/>
    <sheet xmlns:r="http://schemas.openxmlformats.org/officeDocument/2006/relationships" name="CENTRO DE EDUCAÇÃO INFANTIL IRM" sheetId="132" state="visible" r:id="rId132"/>
    <sheet xmlns:r="http://schemas.openxmlformats.org/officeDocument/2006/relationships" name="CEI PEDRAS BRANCAS" sheetId="133" state="visible" r:id="rId133"/>
    <sheet xmlns:r="http://schemas.openxmlformats.org/officeDocument/2006/relationships" name="CEI INÊS BELARMINO DE SOUZA" sheetId="134" state="visible" r:id="rId134"/>
    <sheet xmlns:r="http://schemas.openxmlformats.org/officeDocument/2006/relationships" name="CEI PROFª ROSANGELA DA SILVA LE" sheetId="135" state="visible" r:id="rId135"/>
    <sheet xmlns:r="http://schemas.openxmlformats.org/officeDocument/2006/relationships" name="CEI VILA SAO JOSE" sheetId="136" state="visible" r:id="rId136"/>
    <sheet xmlns:r="http://schemas.openxmlformats.org/officeDocument/2006/relationships" name="CEI MARIA THEREZA KLING DO VALL" sheetId="137" state="visible" r:id="rId137"/>
    <sheet xmlns:r="http://schemas.openxmlformats.org/officeDocument/2006/relationships" name="CEI DEISE ELOY GOMES" sheetId="138" state="visible" r:id="rId138"/>
    <sheet xmlns:r="http://schemas.openxmlformats.org/officeDocument/2006/relationships" name="CENTRO PAROQUIAL DE EDUCAÇÃO IN" sheetId="139" state="visible" r:id="rId139"/>
    <sheet xmlns:r="http://schemas.openxmlformats.org/officeDocument/2006/relationships" name="CEI VISTA ALEGRE" sheetId="140" state="visible" r:id="rId140"/>
    <sheet xmlns:r="http://schemas.openxmlformats.org/officeDocument/2006/relationships" name="CEI ALDEIA DA CRIANCA" sheetId="141" state="visible" r:id="rId141"/>
    <sheet xmlns:r="http://schemas.openxmlformats.org/officeDocument/2006/relationships" name="CEI DÉA LÚCIA CORDEIRO" sheetId="142" state="visible" r:id="rId142"/>
    <sheet xmlns:r="http://schemas.openxmlformats.org/officeDocument/2006/relationships" name="CENTRO DE EDUCAÇÃO INFANTIL CAR" sheetId="143" state="visible" r:id="rId143"/>
    <sheet xmlns:r="http://schemas.openxmlformats.org/officeDocument/2006/relationships" name="CEI IRMÃ SILVANA" sheetId="144" state="visible" r:id="rId144"/>
    <sheet xmlns:r="http://schemas.openxmlformats.org/officeDocument/2006/relationships" name="CEI MARLI SOARES FERREIRA NETTO" sheetId="145" state="visible" r:id="rId145"/>
    <sheet xmlns:r="http://schemas.openxmlformats.org/officeDocument/2006/relationships" name="CEI PROFª SONIA REGINA SCUDESE " sheetId="146" state="visible" r:id="rId146"/>
    <sheet xmlns:r="http://schemas.openxmlformats.org/officeDocument/2006/relationships" name="CEI DONA ESPERANZA DE BOURBON D" sheetId="147" state="visible" r:id="rId147"/>
    <sheet xmlns:r="http://schemas.openxmlformats.org/officeDocument/2006/relationships" name="CEI PREFEITO SÉRGIO FADEL" sheetId="148" state="visible" r:id="rId148"/>
    <sheet xmlns:r="http://schemas.openxmlformats.org/officeDocument/2006/relationships" name="CEI ANDRÉ REBOUÇAS" sheetId="149" state="visible" r:id="rId149"/>
    <sheet xmlns:r="http://schemas.openxmlformats.org/officeDocument/2006/relationships" name="CENTRO DE EDUCAÇÃO INFANTIL CHI" sheetId="150" state="visible" r:id="rId150"/>
    <sheet xmlns:r="http://schemas.openxmlformats.org/officeDocument/2006/relationships" name="CEI TIA ALICE" sheetId="151" state="visible" r:id="rId151"/>
    <sheet xmlns:r="http://schemas.openxmlformats.org/officeDocument/2006/relationships" name="CEI TERRA SANTA" sheetId="152" state="visible" r:id="rId152"/>
    <sheet xmlns:r="http://schemas.openxmlformats.org/officeDocument/2006/relationships" name="CEI JORGE ROLANDO DA SILVA" sheetId="153" state="visible" r:id="rId153"/>
    <sheet xmlns:r="http://schemas.openxmlformats.org/officeDocument/2006/relationships" name="CEI CARANGOLA" sheetId="154" state="visible" r:id="rId154"/>
    <sheet xmlns:r="http://schemas.openxmlformats.org/officeDocument/2006/relationships" name="CEI CÉLIA LÔBO PAULO" sheetId="155" state="visible" r:id="rId155"/>
    <sheet xmlns:r="http://schemas.openxmlformats.org/officeDocument/2006/relationships" name="CEI LIONS CLUBE DE PETRÓPOLIS" sheetId="156" state="visible" r:id="rId156"/>
    <sheet xmlns:r="http://schemas.openxmlformats.org/officeDocument/2006/relationships" name="CEI PROFª GRAÇA COSTA" sheetId="157" state="visible" r:id="rId157"/>
    <sheet xmlns:r="http://schemas.openxmlformats.org/officeDocument/2006/relationships" name="CEI ANGELA MARIA DA CONCEIÇÃO S" sheetId="158" state="visible" r:id="rId158"/>
    <sheet xmlns:r="http://schemas.openxmlformats.org/officeDocument/2006/relationships" name="CEI LUIZ MARCHIORI" sheetId="159" state="visible" r:id="rId159"/>
    <sheet xmlns:r="http://schemas.openxmlformats.org/officeDocument/2006/relationships" name="CEI PROFª MARLUCE DE SOUZA PEST" sheetId="160" state="visible" r:id="rId160"/>
    <sheet xmlns:r="http://schemas.openxmlformats.org/officeDocument/2006/relationships" name="CEI OLÍVIA MACHADO DA COSTA NOG" sheetId="161" state="visible" r:id="rId161"/>
    <sheet xmlns:r="http://schemas.openxmlformats.org/officeDocument/2006/relationships" name="CEI VILA IPANEMA" sheetId="162" state="visible" r:id="rId162"/>
    <sheet xmlns:r="http://schemas.openxmlformats.org/officeDocument/2006/relationships" name="CEI VILA LEOPOLDINA" sheetId="163" state="visible" r:id="rId163"/>
    <sheet xmlns:r="http://schemas.openxmlformats.org/officeDocument/2006/relationships" name="CENTRO DE EDUCAÇÃO INFANTIL CAS" sheetId="164" state="visible" r:id="rId164"/>
    <sheet xmlns:r="http://schemas.openxmlformats.org/officeDocument/2006/relationships" name="CEI PRIMEIRA INFÂNCIA" sheetId="165" state="visible" r:id="rId165"/>
    <sheet xmlns:r="http://schemas.openxmlformats.org/officeDocument/2006/relationships" name="CEI PROFª DORA KILLER" sheetId="166" state="visible" r:id="rId166"/>
    <sheet xmlns:r="http://schemas.openxmlformats.org/officeDocument/2006/relationships" name="CEI PROFª PATRÍCIA FERREIRA E S" sheetId="167" state="visible" r:id="rId167"/>
    <sheet xmlns:r="http://schemas.openxmlformats.org/officeDocument/2006/relationships" name="CEI DRA ZILDA ARNS NEUMANN" sheetId="168" state="visible" r:id="rId168"/>
    <sheet xmlns:r="http://schemas.openxmlformats.org/officeDocument/2006/relationships" name="CEI DENISE BESSA DE OLIVA MAYA" sheetId="169" state="visible" r:id="rId169"/>
    <sheet xmlns:r="http://schemas.openxmlformats.org/officeDocument/2006/relationships" name="CEI GIUSEPPE-NEVA VOLONTERIO" sheetId="170" state="visible" r:id="rId170"/>
    <sheet xmlns:r="http://schemas.openxmlformats.org/officeDocument/2006/relationships" name="CENTRO DE EDUCAÇÃO INFANTIL LOT" sheetId="171" state="visible" r:id="rId171"/>
    <sheet xmlns:r="http://schemas.openxmlformats.org/officeDocument/2006/relationships" name="CEI IRINEU MARINHO" sheetId="172" state="visible" r:id="rId172"/>
    <sheet xmlns:r="http://schemas.openxmlformats.org/officeDocument/2006/relationships" name="CEI OSWALDO CRUZ" sheetId="173" state="visible" r:id="rId173"/>
    <sheet xmlns:r="http://schemas.openxmlformats.org/officeDocument/2006/relationships" name="CEI ANA CAROLINA TELLES" sheetId="174" state="visible" r:id="rId174"/>
    <sheet xmlns:r="http://schemas.openxmlformats.org/officeDocument/2006/relationships" name="CEI JOSÉ GONÇALVES DA MOTTA" sheetId="175" state="visible" r:id="rId175"/>
    <sheet xmlns:r="http://schemas.openxmlformats.org/officeDocument/2006/relationships" name="CEI SAGRADA FAMÍLIA" sheetId="176" state="visible" r:id="rId176"/>
    <sheet xmlns:r="http://schemas.openxmlformats.org/officeDocument/2006/relationships" name="CEI PROFª HERMÍNIA MATHEUS" sheetId="177" state="visible" r:id="rId177"/>
    <sheet xmlns:r="http://schemas.openxmlformats.org/officeDocument/2006/relationships" name="CENTRO DE EDUCAÇÃO INFANTIL PRO" sheetId="178" state="visible" r:id="rId178"/>
    <sheet xmlns:r="http://schemas.openxmlformats.org/officeDocument/2006/relationships" name="CEI MONSENHOR PAULO ELIAS DAHER" sheetId="179" state="visible" r:id="rId179"/>
    <sheet xmlns:r="http://schemas.openxmlformats.org/officeDocument/2006/relationships" name="CEI DAGMAR ROLANDO DE OLIVEIRA" sheetId="180" state="visible" r:id="rId180"/>
    <sheet xmlns:r="http://schemas.openxmlformats.org/officeDocument/2006/relationships" name="CENTRO DE EDUCAÇÃO INFANTIL  2" sheetId="181" state="visible" r:id="rId181"/>
    <sheet xmlns:r="http://schemas.openxmlformats.org/officeDocument/2006/relationships" name="CEI BOA VISTA" sheetId="182" state="visible" r:id="rId182"/>
    <sheet xmlns:r="http://schemas.openxmlformats.org/officeDocument/2006/relationships" name="CEI NILO PEÇANHA" sheetId="183" state="visible" r:id="rId183"/>
    <sheet xmlns:r="http://schemas.openxmlformats.org/officeDocument/2006/relationships" name="CENTRO DE EDUCAÇÃO INFANTIL AUG" sheetId="184" state="visible" r:id="rId184"/>
    <sheet xmlns:r="http://schemas.openxmlformats.org/officeDocument/2006/relationships" name="CEI THEREZINHA DE JESUS LIMA" sheetId="185" state="visible" r:id="rId185"/>
    <sheet xmlns:r="http://schemas.openxmlformats.org/officeDocument/2006/relationships" name="CEI VIDEIRINHA" sheetId="186" state="visible" r:id="rId186"/>
    <sheet xmlns:r="http://schemas.openxmlformats.org/officeDocument/2006/relationships" name="CEI PROFª ADRIANA CONSTÂNCIO TR" sheetId="187" state="visible" r:id="rId187"/>
    <sheet xmlns:r="http://schemas.openxmlformats.org/officeDocument/2006/relationships" name="CENTRO DE EDUCAÇÃO INFANTIL SÉR" sheetId="188" state="visible" r:id="rId188"/>
    <sheet xmlns:r="http://schemas.openxmlformats.org/officeDocument/2006/relationships" name="CEI JURACI PINTO DO AMARAL DE C" sheetId="189" state="visible" r:id="rId189"/>
    <sheet xmlns:r="http://schemas.openxmlformats.org/officeDocument/2006/relationships" name="CEI NOSSA SENHORA DA GLÓRIA" sheetId="190" state="visible" r:id="rId190"/>
    <sheet xmlns:r="http://schemas.openxmlformats.org/officeDocument/2006/relationships" name="CEI ALTO INDEPENDÊNCIA" sheetId="191" state="visible" r:id="rId191"/>
    <sheet xmlns:r="http://schemas.openxmlformats.org/officeDocument/2006/relationships" name="CEI SÃO JOSÉ DAS OBLATAS DE NAZ" sheetId="192" state="visible" r:id="rId192"/>
    <sheet xmlns:r="http://schemas.openxmlformats.org/officeDocument/2006/relationships" name="CEI SANTO ANTÔNIO AGOSTINHO" sheetId="193" state="visible" r:id="rId193"/>
    <sheet xmlns:r="http://schemas.openxmlformats.org/officeDocument/2006/relationships" name="CEI SÃO CHARBEL" sheetId="194" state="visible" r:id="rId194"/>
    <sheet xmlns:r="http://schemas.openxmlformats.org/officeDocument/2006/relationships" name="ASSOCIAÇÃO DA CRECHE SÃO FRANCI" sheetId="195" state="visible" r:id="rId195"/>
    <sheet xmlns:r="http://schemas.openxmlformats.org/officeDocument/2006/relationships" name="CEI SÃO JOSÉ DO ITAMARATI" sheetId="196" state="visible" r:id="rId196"/>
    <sheet xmlns:r="http://schemas.openxmlformats.org/officeDocument/2006/relationships" name="ASSOCIAÇÃO RECREAR" sheetId="197" state="visible" r:id="rId197"/>
    <sheet xmlns:r="http://schemas.openxmlformats.org/officeDocument/2006/relationships" name="CRECHE-ESCOLA CASTELO SÃO MANOE" sheetId="198" state="visible" r:id="rId198"/>
    <sheet xmlns:r="http://schemas.openxmlformats.org/officeDocument/2006/relationships" name="CENTRO DE EDUCAÇÃO INFANTIL SÃO" sheetId="199" state="visible" r:id="rId199"/>
    <sheet xmlns:r="http://schemas.openxmlformats.org/officeDocument/2006/relationships" name="PROD - Ana C. C. R. Souza" sheetId="200" state="visible" r:id="rId200"/>
    <sheet xmlns:r="http://schemas.openxmlformats.org/officeDocument/2006/relationships" name="PROD - Anderson Mello Quimas" sheetId="201" state="visible" r:id="rId201"/>
    <sheet xmlns:r="http://schemas.openxmlformats.org/officeDocument/2006/relationships" name="PROD - Armando Jose Silva" sheetId="202" state="visible" r:id="rId202"/>
    <sheet xmlns:r="http://schemas.openxmlformats.org/officeDocument/2006/relationships" name="PROD - Arnaldo Silva" sheetId="203" state="visible" r:id="rId203"/>
    <sheet xmlns:r="http://schemas.openxmlformats.org/officeDocument/2006/relationships" name="PROD - Claudeni R. Xavier" sheetId="204" state="visible" r:id="rId204"/>
    <sheet xmlns:r="http://schemas.openxmlformats.org/officeDocument/2006/relationships" name="PROD - Edson Jose Silva" sheetId="205" state="visible" r:id="rId205"/>
    <sheet xmlns:r="http://schemas.openxmlformats.org/officeDocument/2006/relationships" name="PROD - Gabriel Adriano Souza" sheetId="206" state="visible" r:id="rId206"/>
    <sheet xmlns:r="http://schemas.openxmlformats.org/officeDocument/2006/relationships" name="PROD - Gustavo Mello Rodrigues" sheetId="207" state="visible" r:id="rId207"/>
    <sheet xmlns:r="http://schemas.openxmlformats.org/officeDocument/2006/relationships" name="PROD - Joaquim Sergio Lage" sheetId="208" state="visible" r:id="rId208"/>
    <sheet xmlns:r="http://schemas.openxmlformats.org/officeDocument/2006/relationships" name="PROD - Jorge G. P. Diniz" sheetId="209" state="visible" r:id="rId209"/>
    <sheet xmlns:r="http://schemas.openxmlformats.org/officeDocument/2006/relationships" name="PROD - Jose G. S. Mello" sheetId="210" state="visible" r:id="rId210"/>
    <sheet xmlns:r="http://schemas.openxmlformats.org/officeDocument/2006/relationships" name="PROD - Jose Rodrigues Melo" sheetId="211" state="visible" r:id="rId211"/>
    <sheet xmlns:r="http://schemas.openxmlformats.org/officeDocument/2006/relationships" name="PROD - Lucio Mauro Felix Silva" sheetId="212" state="visible" r:id="rId212"/>
    <sheet xmlns:r="http://schemas.openxmlformats.org/officeDocument/2006/relationships" name="PROD - Luiz A. O. Pinto" sheetId="213" state="visible" r:id="rId213"/>
    <sheet xmlns:r="http://schemas.openxmlformats.org/officeDocument/2006/relationships" name="PROD - Marcelo Marcos Delgado" sheetId="214" state="visible" r:id="rId214"/>
    <sheet xmlns:r="http://schemas.openxmlformats.org/officeDocument/2006/relationships" name="PROD - Marcio Azevedo Souza" sheetId="215" state="visible" r:id="rId215"/>
    <sheet xmlns:r="http://schemas.openxmlformats.org/officeDocument/2006/relationships" name="PROD - Marco Antonio Coelho" sheetId="216" state="visible" r:id="rId216"/>
    <sheet xmlns:r="http://schemas.openxmlformats.org/officeDocument/2006/relationships" name="PROD - Marcos Marcelo Delgado" sheetId="217" state="visible" r:id="rId217"/>
    <sheet xmlns:r="http://schemas.openxmlformats.org/officeDocument/2006/relationships" name="PROD - Miguel Fernando Almeida" sheetId="218" state="visible" r:id="rId218"/>
    <sheet xmlns:r="http://schemas.openxmlformats.org/officeDocument/2006/relationships" name="PROD - Nilson Ferreira Silva" sheetId="219" state="visible" r:id="rId219"/>
    <sheet xmlns:r="http://schemas.openxmlformats.org/officeDocument/2006/relationships" name="PROD - Renato Jose Silva" sheetId="220" state="visible" r:id="rId220"/>
    <sheet xmlns:r="http://schemas.openxmlformats.org/officeDocument/2006/relationships" name="PROD - Rodolfo Azevedo Andrade" sheetId="221" state="visible" r:id="rId221"/>
    <sheet xmlns:r="http://schemas.openxmlformats.org/officeDocument/2006/relationships" name="TOTAL ENTREGUE" sheetId="222" state="visible" r:id="rId222"/>
    <sheet xmlns:r="http://schemas.openxmlformats.org/officeDocument/2006/relationships" name="LISTAS DE APOIO" sheetId="223" state="visible" r:id="rId223"/>
    <sheet xmlns:r="http://schemas.openxmlformats.org/officeDocument/2006/relationships" name="_AUX_MOTIVO_ESCOLAS" sheetId="224" state="hidden" r:id="rId224"/>
  </sheets>
  <definedNames>
    <definedName name="_xlnm.Print_Area" localSheetId="3">'BALANÇO FINANCEIRO'!$A$1:$D$48</definedName>
    <definedName name="_xlnm.Print_Area" localSheetId="4">'DIFERENÇA'!$A$1:$E$20</definedName>
    <definedName name="_xlnm.Print_Area" localSheetId="5">'MAPA DE MONTAGEM'!$A$1:$X$288</definedName>
    <definedName name="_xlnm.Print_Area" localSheetId="6">'MAPA DE PRODUÇÃO'!$A$1:$N$122</definedName>
    <definedName name="_xlnm._FilterDatabase" localSheetId="8" hidden="1">'E M ABELARDO DE LAMARE'!$B$8:$B$27</definedName>
    <definedName name="_xlnm.Print_Area" localSheetId="8">'E M ABELARDO DE LAMARE'!$A$1:$D$32</definedName>
    <definedName name="_xlnm._FilterDatabase" localSheetId="9" hidden="1">'E M BATAILLARD'!$B$8:$B$27</definedName>
    <definedName name="_xlnm.Print_Area" localSheetId="9">'E M BATAILLARD'!$A$1:$D$32</definedName>
    <definedName name="_xlnm._FilterDatabase" localSheetId="10" hidden="1">'E M LEONARDO BOFF'!$B$8:$B$27</definedName>
    <definedName name="_xlnm.Print_Area" localSheetId="10">'E M LEONARDO BOFF'!$A$1:$D$32</definedName>
    <definedName name="_xlnm._FilterDatabase" localSheetId="11" hidden="1">'E M CLEMENTE FERNANDES'!$B$8:$B$27</definedName>
    <definedName name="_xlnm.Print_Area" localSheetId="11">'E M CLEMENTE FERNANDES'!$A$1:$D$32</definedName>
    <definedName name="_xlnm._FilterDatabase" localSheetId="12" hidden="1">'E M DOM PEDRO DE ALCÂNTARA'!$B$8:$B$27</definedName>
    <definedName name="_xlnm.Print_Area" localSheetId="12">'E M DOM PEDRO DE ALCÂNTARA'!$A$1:$D$32</definedName>
    <definedName name="_xlnm._FilterDatabase" localSheetId="13" hidden="1">'E M DUQUE DE CAXIAS'!$B$8:$B$27</definedName>
    <definedName name="_xlnm.Print_Area" localSheetId="13">'E M DUQUE DE CAXIAS'!$A$1:$D$32</definedName>
    <definedName name="_xlnm._FilterDatabase" localSheetId="14" hidden="1">'E M LUIZ CARLOS SOARES'!$B$8:$B$27</definedName>
    <definedName name="_xlnm.Print_Area" localSheetId="14">'E M LUIZ CARLOS SOARES'!$A$1:$D$32</definedName>
    <definedName name="_xlnm._FilterDatabase" localSheetId="15" hidden="1">'ESCOLA MUNICIPAL GENERAL HEITOR'!$B$8:$B$27</definedName>
    <definedName name="_xlnm.Print_Area" localSheetId="15">'ESCOLA MUNICIPAL GENERAL HEITOR'!$A$1:$D$32</definedName>
    <definedName name="_xlnm._FilterDatabase" localSheetId="16" hidden="1">'E M JOÃO KOPKE'!$B$8:$B$27</definedName>
    <definedName name="_xlnm.Print_Area" localSheetId="16">'E M JOÃO KOPKE'!$A$1:$D$32</definedName>
    <definedName name="_xlnm._FilterDatabase" localSheetId="17" hidden="1">'ESCOLA MUNICIPAL ODETTE FONSECA'!$B$8:$B$27</definedName>
    <definedName name="_xlnm.Print_Area" localSheetId="17">'ESCOLA MUNICIPAL ODETTE FONSECA'!$A$1:$D$32</definedName>
    <definedName name="_xlnm._FilterDatabase" localSheetId="18" hidden="1">'E M GOVERNADOR MARCELLO ALENCAR'!$B$8:$B$27</definedName>
    <definedName name="_xlnm.Print_Area" localSheetId="18">'E M GOVERNADOR MARCELLO ALENCAR'!$A$1:$D$32</definedName>
    <definedName name="_xlnm._FilterDatabase" localSheetId="19" hidden="1">'E M PROF JOAQUIM DEISTER'!$B$8:$B$27</definedName>
    <definedName name="_xlnm.Print_Area" localSheetId="19">'E M PROF JOAQUIM DEISTER'!$A$1:$D$32</definedName>
    <definedName name="_xlnm._FilterDatabase" localSheetId="20" hidden="1">'E M ROBERT KENNEDY'!$B$8:$B$27</definedName>
    <definedName name="_xlnm.Print_Area" localSheetId="20">'E M ROBERT KENNEDY'!$A$1:$D$32</definedName>
    <definedName name="_xlnm._FilterDatabase" localSheetId="21" hidden="1">'E M ROTARY'!$B$8:$B$27</definedName>
    <definedName name="_xlnm.Print_Area" localSheetId="21">'E M ROTARY'!$A$1:$D$32</definedName>
    <definedName name="_xlnm._FilterDatabase" localSheetId="22" hidden="1">'E M ROSALINA NICOLAY'!$B$8:$B$27</definedName>
    <definedName name="_xlnm.Print_Area" localSheetId="22">'E M ROSALINA NICOLAY'!$A$1:$D$32</definedName>
    <definedName name="_xlnm._FilterDatabase" localSheetId="23" hidden="1">'E M DE EDUCAÇÃO ESPECIAL SANTOS'!$B$8:$B$27</definedName>
    <definedName name="_xlnm.Print_Area" localSheetId="23">'E M DE EDUCAÇÃO ESPECIAL SANTOS'!$A$1:$D$32</definedName>
    <definedName name="_xlnm._FilterDatabase" localSheetId="24" hidden="1">'E M SOROPTIMISTA'!$B$8:$B$27</definedName>
    <definedName name="_xlnm.Print_Area" localSheetId="24">'E M SOROPTIMISTA'!$A$1:$D$32</definedName>
    <definedName name="_xlnm._FilterDatabase" localSheetId="25" hidden="1">'LICEU MUN PREFEITO CORDOLINO AM'!$B$8:$B$27</definedName>
    <definedName name="_xlnm.Print_Area" localSheetId="25">'LICEU MUN PREFEITO CORDOLINO AM'!$A$1:$D$32</definedName>
    <definedName name="_xlnm._FilterDatabase" localSheetId="26" hidden="1">'E M ANTÔNIO LEITE GARCIA'!$B$8:$B$27</definedName>
    <definedName name="_xlnm.Print_Area" localSheetId="26">'E M ANTÔNIO LEITE GARCIA'!$A$1:$D$32</definedName>
    <definedName name="_xlnm._FilterDatabase" localSheetId="27" hidden="1">'ESCOLA MUNICIPAL JORGE AMADO'!$B$8:$B$27</definedName>
    <definedName name="_xlnm.Print_Area" localSheetId="27">'ESCOLA MUNICIPAL JORGE AMADO'!$A$1:$D$32</definedName>
    <definedName name="_xlnm._FilterDatabase" localSheetId="28" hidden="1">'ESCOLA MUNICIPAL LÚCIA DE ALMEI'!$B$8:$B$27</definedName>
    <definedName name="_xlnm.Print_Area" localSheetId="28">'ESCOLA MUNICIPAL LÚCIA DE ALMEI'!$A$1:$D$32</definedName>
    <definedName name="_xlnm._FilterDatabase" localSheetId="29" hidden="1">'E M MAGDALENA TAGLIAFERRO'!$B$8:$B$27</definedName>
    <definedName name="_xlnm.Print_Area" localSheetId="29">'E M MAGDALENA TAGLIAFERRO'!$A$1:$D$32</definedName>
    <definedName name="_xlnm._FilterDatabase" localSheetId="30" hidden="1">'ESCOLA MUNICIPAL MAJOR JÚLIO FR'!$B$8:$B$27</definedName>
    <definedName name="_xlnm.Print_Area" localSheetId="30">'ESCOLA MUNICIPAL MAJOR JÚLIO FR'!$A$1:$D$32</definedName>
    <definedName name="_xlnm._FilterDatabase" localSheetId="31" hidden="1">'E M MARIETA GONÇALVES'!$B$8:$B$27</definedName>
    <definedName name="_xlnm.Print_Area" localSheetId="31">'E M MARIETA GONÇALVES'!$A$1:$D$32</definedName>
    <definedName name="_xlnm._FilterDatabase" localSheetId="32" hidden="1">'ESCOLA MUNICIPAL ODETTE YOUNG M'!$B$8:$B$27</definedName>
    <definedName name="_xlnm.Print_Area" localSheetId="32">'ESCOLA MUNICIPAL ODETTE YOUNG M'!$A$1:$D$32</definedName>
    <definedName name="_xlnm._FilterDatabase" localSheetId="33" hidden="1">'E M FÁBRICA DO SABER'!$B$8:$B$27</definedName>
    <definedName name="_xlnm.Print_Area" localSheetId="33">'E M FÁBRICA DO SABER'!$A$1:$D$32</definedName>
    <definedName name="_xlnm._FilterDatabase" localSheetId="34" hidden="1">'ESCOLA MUNICIPAL PROFESSOR PAUL'!$B$8:$B$27</definedName>
    <definedName name="_xlnm.Print_Area" localSheetId="34">'ESCOLA MUNICIPAL PROFESSOR PAUL'!$A$1:$D$32</definedName>
    <definedName name="_xlnm._FilterDatabase" localSheetId="35" hidden="1">'E M ROSEMIRA DE OLIVEIRA CAVALC'!$B$8:$B$27</definedName>
    <definedName name="_xlnm.Print_Area" localSheetId="35">'E M ROSEMIRA DE OLIVEIRA CAVALC'!$A$1:$D$32</definedName>
    <definedName name="_xlnm._FilterDatabase" localSheetId="36" hidden="1">'E M AMÉLIA ANTUNES RABELLO'!$B$8:$B$27</definedName>
    <definedName name="_xlnm.Print_Area" localSheetId="36">'E M AMÉLIA ANTUNES RABELLO'!$A$1:$D$32</definedName>
    <definedName name="_xlnm._FilterDatabase" localSheetId="37" hidden="1">'ESCOLA MUNICIPAL AUGUSTO PUGNAL'!$B$8:$B$27</definedName>
    <definedName name="_xlnm.Print_Area" localSheetId="37">'ESCOLA MUNICIPAL AUGUSTO PUGNAL'!$A$1:$D$32</definedName>
    <definedName name="_xlnm._FilterDatabase" localSheetId="38" hidden="1">'ESCOLA MUNICIPAL CELINA SCHECHN'!$B$8:$B$27</definedName>
    <definedName name="_xlnm.Print_Area" localSheetId="38">'ESCOLA MUNICIPAL CELINA SCHECHN'!$A$1:$D$32</definedName>
    <definedName name="_xlnm._FilterDatabase" localSheetId="39" hidden="1">'E M DARCY CORREA DA VEIGA'!$B$8:$B$27</definedName>
    <definedName name="_xlnm.Print_Area" localSheetId="39">'E M DARCY CORREA DA VEIGA'!$A$1:$D$32</definedName>
    <definedName name="_xlnm._FilterDatabase" localSheetId="40" hidden="1">'E M DR PAULA BUARQUE'!$B$8:$B$27</definedName>
    <definedName name="_xlnm.Print_Area" localSheetId="40">'E M DR PAULA BUARQUE'!$A$1:$D$32</definedName>
    <definedName name="_xlnm._FilterDatabase" localSheetId="41" hidden="1">'E M DR THEODORO MACHADO'!$B$8:$B$27</definedName>
    <definedName name="_xlnm.Print_Area" localSheetId="41">'E M DR THEODORO MACHADO'!$A$1:$D$32</definedName>
    <definedName name="_xlnm._FilterDatabase" localSheetId="42" hidden="1">'E M ARNALDO DYCKERHOFF'!$B$8:$B$27</definedName>
    <definedName name="_xlnm.Print_Area" localSheetId="42">'E M ARNALDO DYCKERHOFF'!$A$1:$D$32</definedName>
    <definedName name="_xlnm._FilterDatabase" localSheetId="43" hidden="1">'E M CARLOS CANEDO'!$B$8:$B$27</definedName>
    <definedName name="_xlnm.Print_Area" localSheetId="43">'E M CARLOS CANEDO'!$A$1:$D$32</definedName>
    <definedName name="_xlnm._FilterDatabase" localSheetId="44" hidden="1">'E M DR BARROS FRANCO'!$B$8:$B$27</definedName>
    <definedName name="_xlnm.Print_Area" localSheetId="44">'E M DR BARROS FRANCO'!$A$1:$D$32</definedName>
    <definedName name="_xlnm._FilterDatabase" localSheetId="45" hidden="1">'E M MAJOR THEÓFILO DE CARVALHO'!$B$8:$B$27</definedName>
    <definedName name="_xlnm.Print_Area" localSheetId="45">'E M MAJOR THEÓFILO DE CARVALHO'!$A$1:$D$32</definedName>
    <definedName name="_xlnm._FilterDatabase" localSheetId="46" hidden="1">'E M TAQUARIL'!$B$8:$B$27</definedName>
    <definedName name="_xlnm.Print_Area" localSheetId="46">'E M TAQUARIL'!$A$1:$D$32</definedName>
    <definedName name="_xlnm._FilterDatabase" localSheetId="47" hidden="1">'E M BEATRIZ ZALESKI'!$B$8:$B$27</definedName>
    <definedName name="_xlnm.Print_Area" localSheetId="47">'E M BEATRIZ ZALESKI'!$A$1:$D$32</definedName>
    <definedName name="_xlnm._FilterDatabase" localSheetId="48" hidden="1">'E M ANTÔNIO JOSÉ DE LIMA'!$B$8:$B$27</definedName>
    <definedName name="_xlnm.Print_Area" localSheetId="48">'E M ANTÔNIO JOSÉ DE LIMA'!$A$1:$D$32</definedName>
    <definedName name="_xlnm._FilterDatabase" localSheetId="49" hidden="1">'E M FELIX WAN ERVEN DE BARROS'!$B$8:$B$27</definedName>
    <definedName name="_xlnm.Print_Area" localSheetId="49">'E M FELIX WAN ERVEN DE BARROS'!$A$1:$D$32</definedName>
    <definedName name="_xlnm._FilterDatabase" localSheetId="50" hidden="1">'ESCOLA MUNICIPAL HILDEBRANDO DE'!$B$8:$B$27</definedName>
    <definedName name="_xlnm.Print_Area" localSheetId="50">'ESCOLA MUNICIPAL HILDEBRANDO DE'!$A$1:$D$32</definedName>
    <definedName name="_xlnm._FilterDatabase" localSheetId="51" hidden="1">'E M OSWALDO DA COSTA FRIAS'!$B$8:$B$27</definedName>
    <definedName name="_xlnm.Print_Area" localSheetId="51">'E M OSWALDO DA COSTA FRIAS'!$A$1:$D$32</definedName>
    <definedName name="_xlnm._FilterDatabase" localSheetId="52" hidden="1">'E MZDA CARMEM NUNES MARTINS'!$B$8:$B$27</definedName>
    <definedName name="_xlnm.Print_Area" localSheetId="52">'E MZDA CARMEM NUNES MARTINS'!$A$1:$D$32</definedName>
    <definedName name="_xlnm._FilterDatabase" localSheetId="53" hidden="1">'E MZDA AVELINO DE CARVALHO'!$B$8:$B$27</definedName>
    <definedName name="_xlnm.Print_Area" localSheetId="53">'E MZDA AVELINO DE CARVALHO'!$A$1:$D$32</definedName>
    <definedName name="_xlnm._FilterDatabase" localSheetId="54" hidden="1">'E M GERALDO VENTURA DIAS'!$B$8:$B$27</definedName>
    <definedName name="_xlnm.Print_Area" localSheetId="54">'E M GERALDO VENTURA DIAS'!$A$1:$D$32</definedName>
    <definedName name="_xlnm._FilterDatabase" localSheetId="55" hidden="1">'E M SALVADOR KLING'!$B$8:$B$27</definedName>
    <definedName name="_xlnm.Print_Area" localSheetId="55">'E M SALVADOR KLING'!$A$1:$D$32</definedName>
    <definedName name="_xlnm._FilterDatabase" localSheetId="56" hidden="1">'E M PREFEITO JAMIL SABRÁ'!$B$8:$B$27</definedName>
    <definedName name="_xlnm.Print_Area" localSheetId="56">'E M PREFEITO JAMIL SABRÁ'!$A$1:$D$32</definedName>
    <definedName name="_xlnm._FilterDatabase" localSheetId="57" hidden="1">'LICEU MUNICIPAL CARLOS CHAGAS F'!$B$8:$B$27</definedName>
    <definedName name="_xlnm.Print_Area" localSheetId="57">'LICEU MUNICIPAL CARLOS CHAGAS F'!$A$1:$D$32</definedName>
    <definedName name="_xlnm._FilterDatabase" localSheetId="58" hidden="1">'ESCOLA MUNICIPAL ANA MOHAMMAD'!$B$8:$B$27</definedName>
    <definedName name="_xlnm.Print_Area" localSheetId="58">'ESCOLA MUNICIPAL ANA MOHAMMAD'!$A$1:$D$32</definedName>
    <definedName name="_xlnm._FilterDatabase" localSheetId="59" hidden="1">'ESCOLA MUNICIPAL ALTO INDEPENDÊ'!$B$8:$B$27</definedName>
    <definedName name="_xlnm.Print_Area" localSheetId="59">'ESCOLA MUNICIPAL ALTO INDEPENDÊ'!$A$1:$D$32</definedName>
    <definedName name="_xlnm._FilterDatabase" localSheetId="60" hidden="1">'E M ALMIRANTE TAMANDARÉ'!$B$8:$B$27</definedName>
    <definedName name="_xlnm.Print_Area" localSheetId="60">'E M ALMIRANTE TAMANDARÉ'!$A$1:$D$32</definedName>
    <definedName name="_xlnm._FilterDatabase" localSheetId="61" hidden="1">'ESCOLA MUNICIPALIZADA FREI ANIC'!$B$8:$B$27</definedName>
    <definedName name="_xlnm.Print_Area" localSheetId="61">'ESCOLA MUNICIPALIZADA FREI ANIC'!$A$1:$D$32</definedName>
    <definedName name="_xlnm._FilterDatabase" localSheetId="62" hidden="1">'E M PEDRO AMADO'!$B$8:$B$27</definedName>
    <definedName name="_xlnm.Print_Area" localSheetId="62">'E M PEDRO AMADO'!$A$1:$D$32</definedName>
    <definedName name="_xlnm._FilterDatabase" localSheetId="63" hidden="1">'E M PROFª MARIA DA GLÓRIA QUEIR'!$B$8:$B$27</definedName>
    <definedName name="_xlnm.Print_Area" localSheetId="63">'E M PROFª MARIA DA GLÓRIA QUEIR'!$A$1:$D$32</definedName>
    <definedName name="_xlnm._FilterDatabase" localSheetId="64" hidden="1">'E M SEBASTIÃO LACERDA'!$B$8:$B$27</definedName>
    <definedName name="_xlnm.Print_Area" localSheetId="64">'E M SEBASTIÃO LACERDA'!$A$1:$D$32</definedName>
    <definedName name="_xlnm._FilterDatabase" localSheetId="65" hidden="1">'E M PROFESSOR FLÁVIO MACIEL'!$B$8:$B$27</definedName>
    <definedName name="_xlnm.Print_Area" localSheetId="65">'E M PROFESSOR FLÁVIO MACIEL'!$A$1:$D$32</definedName>
    <definedName name="_xlnm._FilterDatabase" localSheetId="66" hidden="1">'ESCOLA MUNICIPAL PAULO SALDANHA'!$B$8:$B$27</definedName>
    <definedName name="_xlnm.Print_Area" localSheetId="66">'ESCOLA MUNICIPAL PAULO SALDANHA'!$A$1:$D$32</definedName>
    <definedName name="_xlnm._FilterDatabase" localSheetId="67" hidden="1">'ESCOLA MUNICIPAL PROFESSOR JOSE'!$B$8:$B$27</definedName>
    <definedName name="_xlnm.Print_Area" localSheetId="67">'ESCOLA MUNICIPAL PROFESSOR JOSE'!$A$1:$D$32</definedName>
    <definedName name="_xlnm._FilterDatabase" localSheetId="68" hidden="1">'E M MONSENHOR CIRILLO CALAON'!$B$8:$B$27</definedName>
    <definedName name="_xlnm.Print_Area" localSheetId="68">'E M MONSENHOR CIRILLO CALAON'!$A$1:$D$32</definedName>
    <definedName name="_xlnm._FilterDatabase" localSheetId="69" hidden="1">'E M AMÉRICO FERNANDES RIBEIRO'!$B$8:$B$27</definedName>
    <definedName name="_xlnm.Print_Area" localSheetId="69">'E M AMÉRICO FERNANDES RIBEIRO'!$A$1:$D$32</definedName>
    <definedName name="_xlnm._FilterDatabase" localSheetId="70" hidden="1">'E M PROFª JANDIRA PEIXOTO BORDI'!$B$8:$B$27</definedName>
    <definedName name="_xlnm.Print_Area" localSheetId="70">'E M PROFª JANDIRA PEIXOTO BORDI'!$A$1:$D$32</definedName>
    <definedName name="_xlnm._FilterDatabase" localSheetId="71" hidden="1">'E M MONSENHOR JOÃO DE DEUS RODR'!$B$8:$B$27</definedName>
    <definedName name="_xlnm.Print_Area" localSheetId="71">'E M MONSENHOR JOÃO DE DEUS RODR'!$A$1:$D$32</definedName>
    <definedName name="_xlnm._FilterDatabase" localSheetId="72" hidden="1">'E M DOM MANOEL PEDRO DA CUNHA C'!$B$8:$B$27</definedName>
    <definedName name="_xlnm.Print_Area" localSheetId="72">'E M DOM MANOEL PEDRO DA CUNHA C'!$A$1:$D$32</definedName>
    <definedName name="_xlnm._FilterDatabase" localSheetId="73" hidden="1">'E M JOHANN NOEL'!$B$8:$B$27</definedName>
    <definedName name="_xlnm.Print_Area" localSheetId="73">'E M JOHANN NOEL'!$A$1:$D$32</definedName>
    <definedName name="_xlnm._FilterDatabase" localSheetId="74" hidden="1">'E MZDA SANTA TEREZINHA'!$B$8:$B$27</definedName>
    <definedName name="_xlnm.Print_Area" localSheetId="74">'E MZDA SANTA TEREZINHA'!$A$1:$D$32</definedName>
    <definedName name="_xlnm._FilterDatabase" localSheetId="75" hidden="1">'E M PAPA JOÃO PAULO II'!$B$8:$B$27</definedName>
    <definedName name="_xlnm.Print_Area" localSheetId="75">'E M PAPA JOÃO PAULO II'!$A$1:$D$32</definedName>
    <definedName name="_xlnm._FilterDatabase" localSheetId="76" hidden="1">'E M STEFAN ZWEIG'!$B$8:$B$27</definedName>
    <definedName name="_xlnm.Print_Area" localSheetId="76">'E M STEFAN ZWEIG'!$A$1:$D$32</definedName>
    <definedName name="_xlnm._FilterDatabase" localSheetId="77" hidden="1">'ESCOLA MUNICIPAL SENADOR MARIO '!$B$8:$B$27</definedName>
    <definedName name="_xlnm.Print_Area" localSheetId="77">'ESCOLA MUNICIPAL SENADOR MARIO '!$A$1:$D$32</definedName>
    <definedName name="_xlnm._FilterDatabase" localSheetId="78" hidden="1">'E M DR RUBENS DE CASTRO BOMTEMP'!$B$8:$B$27</definedName>
    <definedName name="_xlnm.Print_Area" localSheetId="78">'E M DR RUBENS DE CASTRO BOMTEMP'!$A$1:$D$32</definedName>
    <definedName name="_xlnm._FilterDatabase" localSheetId="79" hidden="1">'E M PAULO FREIRE'!$B$8:$B$27</definedName>
    <definedName name="_xlnm.Print_Area" localSheetId="79">'E M PAULO FREIRE'!$A$1:$D$32</definedName>
    <definedName name="_xlnm._FilterDatabase" localSheetId="80" hidden="1">'E M PROFª MARIA CAMPOS DA SILVA'!$B$8:$B$27</definedName>
    <definedName name="_xlnm.Print_Area" localSheetId="80">'E M PROFª MARIA CAMPOS DA SILVA'!$A$1:$D$32</definedName>
    <definedName name="_xlnm._FilterDatabase" localSheetId="81" hidden="1">'E M HERCÍLIA HENRIQUES MORET'!$B$8:$B$27</definedName>
    <definedName name="_xlnm.Print_Area" localSheetId="81">'E M HERCÍLIA HENRIQUES MORET'!$A$1:$D$32</definedName>
    <definedName name="_xlnm._FilterDatabase" localSheetId="82" hidden="1">'ESCOLA MUNICIPALIZADA MOYSÉS FU'!$B$8:$B$27</definedName>
    <definedName name="_xlnm.Print_Area" localSheetId="82">'ESCOLA MUNICIPALIZADA MOYSÉS FU'!$A$1:$D$32</definedName>
    <definedName name="_xlnm._FilterDatabase" localSheetId="83" hidden="1">'CIEP BRIZOLÃO 474 MAESTRO GUERR'!$B$8:$B$27</definedName>
    <definedName name="_xlnm.Print_Area" localSheetId="83">'CIEP BRIZOLÃO 474 MAESTRO GUERR'!$A$1:$D$32</definedName>
    <definedName name="_xlnm._FilterDatabase" localSheetId="84" hidden="1">'CENTRO DE ENSINO PROF DARCY RIB'!$B$8:$B$27</definedName>
    <definedName name="_xlnm.Print_Area" localSheetId="84">'CENTRO DE ENSINO PROF DARCY RIB'!$A$1:$D$32</definedName>
    <definedName name="_xlnm._FilterDatabase" localSheetId="85" hidden="1">'CASA DA EDUCAÇÃO VISCONDE DE MA'!$B$8:$B$27</definedName>
    <definedName name="_xlnm.Print_Area" localSheetId="85">'CASA DA EDUCAÇÃO VISCONDE DE MA'!$A$1:$D$32</definedName>
    <definedName name="_xlnm._FilterDatabase" localSheetId="86" hidden="1">'CENTRO DE REFERÊNCIA EM EDUCAÇÃ'!$B$8:$B$27</definedName>
    <definedName name="_xlnm.Print_Area" localSheetId="86">'CENTRO DE REFERÊNCIA EM EDUCAÇÃ'!$A$1:$D$32</definedName>
    <definedName name="_xlnm._FilterDatabase" localSheetId="87" hidden="1">'E M PROF NILTON COSTA PEREIRA D'!$B$8:$B$27</definedName>
    <definedName name="_xlnm.Print_Area" localSheetId="87">'E M PROF NILTON COSTA PEREIRA D'!$A$1:$D$32</definedName>
    <definedName name="_xlnm._FilterDatabase" localSheetId="88" hidden="1">'COLÉGIO GUNNAR VINGREN DE PETRÓ'!$B$8:$B$27</definedName>
    <definedName name="_xlnm.Print_Area" localSheetId="88">'COLÉGIO GUNNAR VINGREN DE PETRÓ'!$A$1:$D$32</definedName>
    <definedName name="_xlnm._FilterDatabase" localSheetId="89" hidden="1">'CENTRO DE REFERÊNCIA EM EDUC 2'!$B$8:$B$27</definedName>
    <definedName name="_xlnm.Print_Area" localSheetId="89">'CENTRO DE REFERÊNCIA EM EDUC 2'!$A$1:$D$32</definedName>
    <definedName name="_xlnm._FilterDatabase" localSheetId="90" hidden="1">'ESCOLA SANTA LUIZA DE MARILLAC'!$B$8:$B$27</definedName>
    <definedName name="_xlnm.Print_Area" localSheetId="90">'ESCOLA SANTA LUIZA DE MARILLAC'!$A$1:$D$32</definedName>
    <definedName name="_xlnm._FilterDatabase" localSheetId="91" hidden="1">'CENTRO EDUCACIONAL COMUNIDADE S'!$B$8:$B$27</definedName>
    <definedName name="_xlnm.Print_Area" localSheetId="91">'CENTRO EDUCACIONAL COMUNIDADE S'!$A$1:$D$32</definedName>
    <definedName name="_xlnm._FilterDatabase" localSheetId="92" hidden="1">'EDUCANDÁRIO TERRA SANTA'!$B$8:$B$27</definedName>
    <definedName name="_xlnm.Print_Area" localSheetId="92">'EDUCANDÁRIO TERRA SANTA'!$A$1:$D$32</definedName>
    <definedName name="_xlnm._FilterDatabase" localSheetId="93" hidden="1">'ESCOLA GERMANO VALENTE'!$B$8:$B$27</definedName>
    <definedName name="_xlnm.Print_Area" localSheetId="93">'ESCOLA GERMANO VALENTE'!$A$1:$D$32</definedName>
    <definedName name="_xlnm._FilterDatabase" localSheetId="94" hidden="1">'ESCOLA DAS COMUNIDADES SANTO AN'!$B$8:$B$27</definedName>
    <definedName name="_xlnm.Print_Area" localSheetId="94">'ESCOLA DAS COMUNIDADES SANTO AN'!$A$1:$D$32</definedName>
    <definedName name="_xlnm._FilterDatabase" localSheetId="95" hidden="1">'ESCOLA DOMÉSTICA NOSSA SENHORA '!$B$8:$B$27</definedName>
    <definedName name="_xlnm.Print_Area" localSheetId="95">'ESCOLA DOMÉSTICA NOSSA SENHORA '!$A$1:$D$32</definedName>
    <definedName name="_xlnm._FilterDatabase" localSheetId="96" hidden="1">'ESCOLA PAROQUIAL NOSSA SENHO 3'!$B$8:$B$27</definedName>
    <definedName name="_xlnm.Print_Area" localSheetId="96">'ESCOLA PAROQUIAL NOSSA SENHO 3'!$A$1:$D$32</definedName>
    <definedName name="_xlnm._FilterDatabase" localSheetId="97" hidden="1">'ESCOLA MONSENHOR GENTIL'!$B$8:$B$27</definedName>
    <definedName name="_xlnm.Print_Area" localSheetId="97">'ESCOLA MONSENHOR GENTIL'!$A$1:$D$32</definedName>
    <definedName name="_xlnm._FilterDatabase" localSheetId="98" hidden="1">'ESCOLA PAROQUIAL BOM JESUS'!$B$8:$B$27</definedName>
    <definedName name="_xlnm.Print_Area" localSheetId="98">'ESCOLA PAROQUIAL BOM JESUS'!$A$1:$D$32</definedName>
    <definedName name="_xlnm._FilterDatabase" localSheetId="99" hidden="1">'ESCOLA PAROQUIAL CARLOS DEMIÁ'!$B$8:$B$27</definedName>
    <definedName name="_xlnm.Print_Area" localSheetId="99">'ESCOLA PAROQUIAL CARLOS DEMIÁ'!$A$1:$D$32</definedName>
    <definedName name="_xlnm._FilterDatabase" localSheetId="100" hidden="1">'ESCOLA PAROQUIAL NOSSA SENHO 2'!$B$8:$B$27</definedName>
    <definedName name="_xlnm.Print_Area" localSheetId="100">'ESCOLA PAROQUIAL NOSSA SENHO 2'!$A$1:$D$32</definedName>
    <definedName name="_xlnm._FilterDatabase" localSheetId="101" hidden="1">'ESCOLA PAROQUIAL NOSSA SENHORA '!$B$8:$B$27</definedName>
    <definedName name="_xlnm.Print_Area" localSheetId="101">'ESCOLA PAROQUIAL NOSSA SENHORA '!$A$1:$D$32</definedName>
    <definedName name="_xlnm._FilterDatabase" localSheetId="102" hidden="1">'ESCOLA PAROQUIAL SÃO PEDRO DE A'!$B$8:$B$27</definedName>
    <definedName name="_xlnm.Print_Area" localSheetId="102">'ESCOLA PAROQUIAL SÃO PEDRO DE A'!$A$1:$D$32</definedName>
    <definedName name="_xlnm._FilterDatabase" localSheetId="103" hidden="1">'ESCOLA SANTA MARIA GORETTI'!$B$8:$B$27</definedName>
    <definedName name="_xlnm.Print_Area" localSheetId="103">'ESCOLA SANTA MARIA GORETTI'!$A$1:$D$32</definedName>
    <definedName name="_xlnm._FilterDatabase" localSheetId="104" hidden="1">'ESCOLA SANTA RITA DE CASSIA'!$B$8:$B$27</definedName>
    <definedName name="_xlnm.Print_Area" localSheetId="104">'ESCOLA SANTA RITA DE CASSIA'!$A$1:$D$32</definedName>
    <definedName name="_xlnm._FilterDatabase" localSheetId="105" hidden="1">'ESCOLA SÃO CRISTÓVÃO'!$B$8:$B$27</definedName>
    <definedName name="_xlnm.Print_Area" localSheetId="105">'ESCOLA SÃO CRISTÓVÃO'!$A$1:$D$32</definedName>
    <definedName name="_xlnm._FilterDatabase" localSheetId="106" hidden="1">'ESCOLA PAROQUIAL SÃO FRANCISCO '!$B$8:$B$27</definedName>
    <definedName name="_xlnm.Print_Area" localSheetId="106">'ESCOLA PAROQUIAL SÃO FRANCISCO '!$A$1:$D$32</definedName>
    <definedName name="_xlnm._FilterDatabase" localSheetId="107" hidden="1">'ESCOLA SAO FRANCISCO DE ASSIS'!$B$8:$B$27</definedName>
    <definedName name="_xlnm.Print_Area" localSheetId="107">'ESCOLA SAO FRANCISCO DE ASSIS'!$A$1:$D$32</definedName>
    <definedName name="_xlnm._FilterDatabase" localSheetId="108" hidden="1">'ESCOLA SÃO JOÃO BATISTA'!$B$8:$B$27</definedName>
    <definedName name="_xlnm.Print_Area" localSheetId="108">'ESCOLA SÃO JOÃO BATISTA'!$A$1:$D$32</definedName>
    <definedName name="_xlnm._FilterDatabase" localSheetId="109" hidden="1">'ESCOLA SÃO JUDAS TADEU'!$B$8:$B$27</definedName>
    <definedName name="_xlnm.Print_Area" localSheetId="109">'ESCOLA SÃO JUDAS TADEU'!$A$1:$D$32</definedName>
    <definedName name="_xlnm._FilterDatabase" localSheetId="110" hidden="1">'ESCOLA PAROQUIAL SÃO PIO X'!$B$8:$B$27</definedName>
    <definedName name="_xlnm.Print_Area" localSheetId="110">'ESCOLA PAROQUIAL SÃO PIO X'!$A$1:$D$32</definedName>
    <definedName name="_xlnm._FilterDatabase" localSheetId="111" hidden="1">'COLÉGIO ANGLICANO DE ARARAS'!$B$8:$B$27</definedName>
    <definedName name="_xlnm.Print_Area" localSheetId="111">'COLÉGIO ANGLICANO DE ARARAS'!$A$1:$D$32</definedName>
    <definedName name="_xlnm._FilterDatabase" localSheetId="112" hidden="1">'COLEGIO VICENTINO PADRE CORRÊA'!$B$8:$B$27</definedName>
    <definedName name="_xlnm.Print_Area" localSheetId="112">'COLEGIO VICENTINO PADRE CORRÊA'!$A$1:$D$32</definedName>
    <definedName name="_xlnm._FilterDatabase" localSheetId="113" hidden="1">'ESCOLA NOSSA SENHORA DE FÁTIMA'!$B$8:$B$27</definedName>
    <definedName name="_xlnm.Print_Area" localSheetId="113">'ESCOLA NOSSA SENHORA DE FÁTIMA'!$A$1:$D$32</definedName>
    <definedName name="_xlnm._FilterDatabase" localSheetId="114" hidden="1">'ESCOLA PAROQUIAL DA ALCOBAÇA'!$B$8:$B$27</definedName>
    <definedName name="_xlnm.Print_Area" localSheetId="114">'ESCOLA PAROQUIAL DA ALCOBAÇA'!$A$1:$D$32</definedName>
    <definedName name="_xlnm._FilterDatabase" localSheetId="115" hidden="1">'ESCOLA PAROQUIAL DO LOTEAMENTO '!$B$8:$B$27</definedName>
    <definedName name="_xlnm.Print_Area" localSheetId="115">'ESCOLA PAROQUIAL DO LOTEAMENTO '!$A$1:$D$32</definedName>
    <definedName name="_xlnm._FilterDatabase" localSheetId="116" hidden="1">'ESCOLA PAROQUIAL SANTA BERNADET'!$B$8:$B$27</definedName>
    <definedName name="_xlnm.Print_Area" localSheetId="116">'ESCOLA PAROQUIAL SANTA BERNADET'!$A$1:$D$32</definedName>
    <definedName name="_xlnm._FilterDatabase" localSheetId="117" hidden="1">'ESCOLA SÃO GERALDO'!$B$8:$B$27</definedName>
    <definedName name="_xlnm.Print_Area" localSheetId="117">'ESCOLA SÃO GERALDO'!$A$1:$D$32</definedName>
    <definedName name="_xlnm._FilterDatabase" localSheetId="118" hidden="1">'ESCOLA SANTO ANTÔNIO'!$B$8:$B$27</definedName>
    <definedName name="_xlnm.Print_Area" localSheetId="118">'ESCOLA SANTO ANTÔNIO'!$A$1:$D$32</definedName>
    <definedName name="_xlnm._FilterDatabase" localSheetId="119" hidden="1">'LICEU SÃO JOSÉ DE ITAIPAVA'!$B$8:$B$27</definedName>
    <definedName name="_xlnm.Print_Area" localSheetId="119">'LICEU SÃO JOSÉ DE ITAIPAVA'!$A$1:$D$32</definedName>
    <definedName name="_xlnm._FilterDatabase" localSheetId="120" hidden="1">'ESCOLA SÃO JOSÉ DO CAETITU'!$B$8:$B$27</definedName>
    <definedName name="_xlnm.Print_Area" localSheetId="120">'ESCOLA SÃO JOSÉ DO CAETITU'!$A$1:$D$32</definedName>
    <definedName name="_xlnm._FilterDatabase" localSheetId="121" hidden="1">'CEI ASSOCIAÇÃO BENEFICENTE FAZE'!$B$8:$B$27</definedName>
    <definedName name="_xlnm.Print_Area" localSheetId="121">'CEI ASSOCIAÇÃO BENEFICENTE FAZE'!$A$1:$D$32</definedName>
    <definedName name="_xlnm._FilterDatabase" localSheetId="122" hidden="1">'CEI CASA DA SOLIDARIEDADE DE NO'!$B$8:$B$27</definedName>
    <definedName name="_xlnm.Print_Area" localSheetId="122">'CEI CASA DA SOLIDARIEDADE DE NO'!$A$1:$D$32</definedName>
    <definedName name="_xlnm._FilterDatabase" localSheetId="123" hidden="1">'CEI LULU MONTEIRO DE CASTRO'!$B$8:$B$27</definedName>
    <definedName name="_xlnm.Print_Area" localSheetId="123">'CEI LULU MONTEIRO DE CASTRO'!$A$1:$D$32</definedName>
    <definedName name="_xlnm._FilterDatabase" localSheetId="124" hidden="1">'CEI SÃO JOÃO BATISTA'!$B$8:$B$27</definedName>
    <definedName name="_xlnm.Print_Area" localSheetId="124">'CEI SÃO JOÃO BATISTA'!$A$1:$D$32</definedName>
    <definedName name="_xlnm._FilterDatabase" localSheetId="125" hidden="1">'CEI SÃO FRANCISCO ASSIS'!$B$8:$B$27</definedName>
    <definedName name="_xlnm.Print_Area" localSheetId="125">'CEI SÃO FRANCISCO ASSIS'!$A$1:$D$32</definedName>
    <definedName name="_xlnm._FilterDatabase" localSheetId="126" hidden="1">'CEI A SEMENTEIRA'!$B$8:$B$27</definedName>
    <definedName name="_xlnm.Print_Area" localSheetId="126">'CEI A SEMENTEIRA'!$A$1:$D$32</definedName>
    <definedName name="_xlnm._FilterDatabase" localSheetId="127" hidden="1">'CEI FREI LEÃO'!$B$8:$B$27</definedName>
    <definedName name="_xlnm.Print_Area" localSheetId="127">'CEI FREI LEÃO'!$A$1:$D$32</definedName>
    <definedName name="_xlnm._FilterDatabase" localSheetId="128" hidden="1">'CEI ROMANO CANAVESE'!$B$8:$B$27</definedName>
    <definedName name="_xlnm.Print_Area" localSheetId="128">'CEI ROMANO CANAVESE'!$A$1:$D$32</definedName>
    <definedName name="_xlnm._FilterDatabase" localSheetId="129" hidden="1">'CEI ANDRÉ VANZAN'!$B$8:$B$27</definedName>
    <definedName name="_xlnm.Print_Area" localSheetId="129">'CEI ANDRÉ VANZAN'!$A$1:$D$32</definedName>
    <definedName name="_xlnm._FilterDatabase" localSheetId="130" hidden="1">'CEI CRIANÇA SANTA EDWIGES'!$B$8:$B$27</definedName>
    <definedName name="_xlnm.Print_Area" localSheetId="130">'CEI CRIANÇA SANTA EDWIGES'!$A$1:$D$32</definedName>
    <definedName name="_xlnm._FilterDatabase" localSheetId="131" hidden="1">'CENTRO DE EDUCAÇÃO INFANTIL IRM'!$B$8:$B$27</definedName>
    <definedName name="_xlnm.Print_Area" localSheetId="131">'CENTRO DE EDUCAÇÃO INFANTIL IRM'!$A$1:$D$32</definedName>
    <definedName name="_xlnm._FilterDatabase" localSheetId="132" hidden="1">'CEI PEDRAS BRANCAS'!$B$8:$B$27</definedName>
    <definedName name="_xlnm.Print_Area" localSheetId="132">'CEI PEDRAS BRANCAS'!$A$1:$D$32</definedName>
    <definedName name="_xlnm._FilterDatabase" localSheetId="133" hidden="1">'CEI INÊS BELARMINO DE SOUZA'!$B$8:$B$27</definedName>
    <definedName name="_xlnm.Print_Area" localSheetId="133">'CEI INÊS BELARMINO DE SOUZA'!$A$1:$D$32</definedName>
    <definedName name="_xlnm._FilterDatabase" localSheetId="134" hidden="1">'CEI PROFª ROSANGELA DA SILVA LE'!$B$8:$B$27</definedName>
    <definedName name="_xlnm.Print_Area" localSheetId="134">'CEI PROFª ROSANGELA DA SILVA LE'!$A$1:$D$32</definedName>
    <definedName name="_xlnm._FilterDatabase" localSheetId="135" hidden="1">'CEI VILA SAO JOSE'!$B$8:$B$27</definedName>
    <definedName name="_xlnm.Print_Area" localSheetId="135">'CEI VILA SAO JOSE'!$A$1:$D$32</definedName>
    <definedName name="_xlnm._FilterDatabase" localSheetId="136" hidden="1">'CEI MARIA THEREZA KLING DO VALL'!$B$8:$B$27</definedName>
    <definedName name="_xlnm.Print_Area" localSheetId="136">'CEI MARIA THEREZA KLING DO VALL'!$A$1:$D$32</definedName>
    <definedName name="_xlnm._FilterDatabase" localSheetId="137" hidden="1">'CEI DEISE ELOY GOMES'!$B$8:$B$27</definedName>
    <definedName name="_xlnm.Print_Area" localSheetId="137">'CEI DEISE ELOY GOMES'!$A$1:$D$32</definedName>
    <definedName name="_xlnm._FilterDatabase" localSheetId="138" hidden="1">'CENTRO PAROQUIAL DE EDUCAÇÃO IN'!$B$8:$B$27</definedName>
    <definedName name="_xlnm.Print_Area" localSheetId="138">'CENTRO PAROQUIAL DE EDUCAÇÃO IN'!$A$1:$D$32</definedName>
    <definedName name="_xlnm._FilterDatabase" localSheetId="139" hidden="1">'CEI VISTA ALEGRE'!$B$8:$B$27</definedName>
    <definedName name="_xlnm.Print_Area" localSheetId="139">'CEI VISTA ALEGRE'!$A$1:$D$32</definedName>
    <definedName name="_xlnm._FilterDatabase" localSheetId="140" hidden="1">'CEI ALDEIA DA CRIANCA'!$B$8:$B$27</definedName>
    <definedName name="_xlnm.Print_Area" localSheetId="140">'CEI ALDEIA DA CRIANCA'!$A$1:$D$32</definedName>
    <definedName name="_xlnm._FilterDatabase" localSheetId="141" hidden="1">'CEI DÉA LÚCIA CORDEIRO'!$B$8:$B$27</definedName>
    <definedName name="_xlnm.Print_Area" localSheetId="141">'CEI DÉA LÚCIA CORDEIRO'!$A$1:$D$32</definedName>
    <definedName name="_xlnm._FilterDatabase" localSheetId="142" hidden="1">'CENTRO DE EDUCAÇÃO INFANTIL CAR'!$B$8:$B$27</definedName>
    <definedName name="_xlnm.Print_Area" localSheetId="142">'CENTRO DE EDUCAÇÃO INFANTIL CAR'!$A$1:$D$32</definedName>
    <definedName name="_xlnm._FilterDatabase" localSheetId="143" hidden="1">'CEI IRMÃ SILVANA'!$B$8:$B$27</definedName>
    <definedName name="_xlnm.Print_Area" localSheetId="143">'CEI IRMÃ SILVANA'!$A$1:$D$32</definedName>
    <definedName name="_xlnm._FilterDatabase" localSheetId="144" hidden="1">'CEI MARLI SOARES FERREIRA NETTO'!$B$8:$B$27</definedName>
    <definedName name="_xlnm.Print_Area" localSheetId="144">'CEI MARLI SOARES FERREIRA NETTO'!$A$1:$D$32</definedName>
    <definedName name="_xlnm._FilterDatabase" localSheetId="145" hidden="1">'CEI PROFª SONIA REGINA SCUDESE '!$B$8:$B$27</definedName>
    <definedName name="_xlnm.Print_Area" localSheetId="145">'CEI PROFª SONIA REGINA SCUDESE '!$A$1:$D$32</definedName>
    <definedName name="_xlnm._FilterDatabase" localSheetId="146" hidden="1">'CEI DONA ESPERANZA DE BOURBON D'!$B$8:$B$27</definedName>
    <definedName name="_xlnm.Print_Area" localSheetId="146">'CEI DONA ESPERANZA DE BOURBON D'!$A$1:$D$32</definedName>
    <definedName name="_xlnm._FilterDatabase" localSheetId="147" hidden="1">'CEI PREFEITO SÉRGIO FADEL'!$B$8:$B$27</definedName>
    <definedName name="_xlnm.Print_Area" localSheetId="147">'CEI PREFEITO SÉRGIO FADEL'!$A$1:$D$32</definedName>
    <definedName name="_xlnm._FilterDatabase" localSheetId="148" hidden="1">'CEI ANDRÉ REBOUÇAS'!$B$8:$B$27</definedName>
    <definedName name="_xlnm.Print_Area" localSheetId="148">'CEI ANDRÉ REBOUÇAS'!$A$1:$D$32</definedName>
    <definedName name="_xlnm._FilterDatabase" localSheetId="149" hidden="1">'CENTRO DE EDUCAÇÃO INFANTIL CHI'!$B$8:$B$27</definedName>
    <definedName name="_xlnm.Print_Area" localSheetId="149">'CENTRO DE EDUCAÇÃO INFANTIL CHI'!$A$1:$D$32</definedName>
    <definedName name="_xlnm._FilterDatabase" localSheetId="150" hidden="1">'CEI TIA ALICE'!$B$8:$B$27</definedName>
    <definedName name="_xlnm.Print_Area" localSheetId="150">'CEI TIA ALICE'!$A$1:$D$32</definedName>
    <definedName name="_xlnm._FilterDatabase" localSheetId="151" hidden="1">'CEI TERRA SANTA'!$B$8:$B$27</definedName>
    <definedName name="_xlnm.Print_Area" localSheetId="151">'CEI TERRA SANTA'!$A$1:$D$32</definedName>
    <definedName name="_xlnm._FilterDatabase" localSheetId="152" hidden="1">'CEI JORGE ROLANDO DA SILVA'!$B$8:$B$27</definedName>
    <definedName name="_xlnm.Print_Area" localSheetId="152">'CEI JORGE ROLANDO DA SILVA'!$A$1:$D$32</definedName>
    <definedName name="_xlnm._FilterDatabase" localSheetId="153" hidden="1">'CEI CARANGOLA'!$B$8:$B$27</definedName>
    <definedName name="_xlnm.Print_Area" localSheetId="153">'CEI CARANGOLA'!$A$1:$D$32</definedName>
    <definedName name="_xlnm._FilterDatabase" localSheetId="154" hidden="1">'CEI CÉLIA LÔBO PAULO'!$B$8:$B$27</definedName>
    <definedName name="_xlnm.Print_Area" localSheetId="154">'CEI CÉLIA LÔBO PAULO'!$A$1:$D$32</definedName>
    <definedName name="_xlnm._FilterDatabase" localSheetId="155" hidden="1">'CEI LIONS CLUBE DE PETRÓPOLIS'!$B$8:$B$27</definedName>
    <definedName name="_xlnm.Print_Area" localSheetId="155">'CEI LIONS CLUBE DE PETRÓPOLIS'!$A$1:$D$32</definedName>
    <definedName name="_xlnm._FilterDatabase" localSheetId="156" hidden="1">'CEI PROFª GRAÇA COSTA'!$B$8:$B$27</definedName>
    <definedName name="_xlnm.Print_Area" localSheetId="156">'CEI PROFª GRAÇA COSTA'!$A$1:$D$32</definedName>
    <definedName name="_xlnm._FilterDatabase" localSheetId="157" hidden="1">'CEI ANGELA MARIA DA CONCEIÇÃO S'!$B$8:$B$27</definedName>
    <definedName name="_xlnm.Print_Area" localSheetId="157">'CEI ANGELA MARIA DA CONCEIÇÃO S'!$A$1:$D$32</definedName>
    <definedName name="_xlnm._FilterDatabase" localSheetId="158" hidden="1">'CEI LUIZ MARCHIORI'!$B$8:$B$27</definedName>
    <definedName name="_xlnm.Print_Area" localSheetId="158">'CEI LUIZ MARCHIORI'!$A$1:$D$32</definedName>
    <definedName name="_xlnm._FilterDatabase" localSheetId="159" hidden="1">'CEI PROFª MARLUCE DE SOUZA PEST'!$B$8:$B$27</definedName>
    <definedName name="_xlnm.Print_Area" localSheetId="159">'CEI PROFª MARLUCE DE SOUZA PEST'!$A$1:$D$32</definedName>
    <definedName name="_xlnm._FilterDatabase" localSheetId="160" hidden="1">'CEI OLÍVIA MACHADO DA COSTA NOG'!$B$8:$B$27</definedName>
    <definedName name="_xlnm.Print_Area" localSheetId="160">'CEI OLÍVIA MACHADO DA COSTA NOG'!$A$1:$D$32</definedName>
    <definedName name="_xlnm._FilterDatabase" localSheetId="161" hidden="1">'CEI VILA IPANEMA'!$B$8:$B$27</definedName>
    <definedName name="_xlnm.Print_Area" localSheetId="161">'CEI VILA IPANEMA'!$A$1:$D$32</definedName>
    <definedName name="_xlnm._FilterDatabase" localSheetId="162" hidden="1">'CEI VILA LEOPOLDINA'!$B$8:$B$27</definedName>
    <definedName name="_xlnm.Print_Area" localSheetId="162">'CEI VILA LEOPOLDINA'!$A$1:$D$32</definedName>
    <definedName name="_xlnm._FilterDatabase" localSheetId="163" hidden="1">'CENTRO DE EDUCAÇÃO INFANTIL CAS'!$B$8:$B$27</definedName>
    <definedName name="_xlnm.Print_Area" localSheetId="163">'CENTRO DE EDUCAÇÃO INFANTIL CAS'!$A$1:$D$32</definedName>
    <definedName name="_xlnm._FilterDatabase" localSheetId="164" hidden="1">'CEI PRIMEIRA INFÂNCIA'!$B$8:$B$27</definedName>
    <definedName name="_xlnm.Print_Area" localSheetId="164">'CEI PRIMEIRA INFÂNCIA'!$A$1:$D$32</definedName>
    <definedName name="_xlnm._FilterDatabase" localSheetId="165" hidden="1">'CEI PROFª DORA KILLER'!$B$8:$B$27</definedName>
    <definedName name="_xlnm.Print_Area" localSheetId="165">'CEI PROFª DORA KILLER'!$A$1:$D$32</definedName>
    <definedName name="_xlnm._FilterDatabase" localSheetId="166" hidden="1">'CEI PROFª PATRÍCIA FERREIRA E S'!$B$8:$B$27</definedName>
    <definedName name="_xlnm.Print_Area" localSheetId="166">'CEI PROFª PATRÍCIA FERREIRA E S'!$A$1:$D$32</definedName>
    <definedName name="_xlnm._FilterDatabase" localSheetId="167" hidden="1">'CEI DRA ZILDA ARNS NEUMANN'!$B$8:$B$27</definedName>
    <definedName name="_xlnm.Print_Area" localSheetId="167">'CEI DRA ZILDA ARNS NEUMANN'!$A$1:$D$32</definedName>
    <definedName name="_xlnm._FilterDatabase" localSheetId="168" hidden="1">'CEI DENISE BESSA DE OLIVA MAYA'!$B$8:$B$27</definedName>
    <definedName name="_xlnm.Print_Area" localSheetId="168">'CEI DENISE BESSA DE OLIVA MAYA'!$A$1:$D$32</definedName>
    <definedName name="_xlnm._FilterDatabase" localSheetId="169" hidden="1">'CEI GIUSEPPE-NEVA VOLONTERIO'!$B$8:$B$27</definedName>
    <definedName name="_xlnm.Print_Area" localSheetId="169">'CEI GIUSEPPE-NEVA VOLONTERIO'!$A$1:$D$32</definedName>
    <definedName name="_xlnm._FilterDatabase" localSheetId="170" hidden="1">'CENTRO DE EDUCAÇÃO INFANTIL LOT'!$B$8:$B$27</definedName>
    <definedName name="_xlnm.Print_Area" localSheetId="170">'CENTRO DE EDUCAÇÃO INFANTIL LOT'!$A$1:$D$32</definedName>
    <definedName name="_xlnm._FilterDatabase" localSheetId="171" hidden="1">'CEI IRINEU MARINHO'!$B$8:$B$27</definedName>
    <definedName name="_xlnm.Print_Area" localSheetId="171">'CEI IRINEU MARINHO'!$A$1:$D$32</definedName>
    <definedName name="_xlnm._FilterDatabase" localSheetId="172" hidden="1">'CEI OSWALDO CRUZ'!$B$8:$B$27</definedName>
    <definedName name="_xlnm.Print_Area" localSheetId="172">'CEI OSWALDO CRUZ'!$A$1:$D$32</definedName>
    <definedName name="_xlnm._FilterDatabase" localSheetId="173" hidden="1">'CEI ANA CAROLINA TELLES'!$B$8:$B$27</definedName>
    <definedName name="_xlnm.Print_Area" localSheetId="173">'CEI ANA CAROLINA TELLES'!$A$1:$D$32</definedName>
    <definedName name="_xlnm._FilterDatabase" localSheetId="174" hidden="1">'CEI JOSÉ GONÇALVES DA MOTTA'!$B$8:$B$27</definedName>
    <definedName name="_xlnm.Print_Area" localSheetId="174">'CEI JOSÉ GONÇALVES DA MOTTA'!$A$1:$D$32</definedName>
    <definedName name="_xlnm._FilterDatabase" localSheetId="175" hidden="1">'CEI SAGRADA FAMÍLIA'!$B$8:$B$27</definedName>
    <definedName name="_xlnm.Print_Area" localSheetId="175">'CEI SAGRADA FAMÍLIA'!$A$1:$D$32</definedName>
    <definedName name="_xlnm._FilterDatabase" localSheetId="176" hidden="1">'CEI PROFª HERMÍNIA MATHEUS'!$B$8:$B$27</definedName>
    <definedName name="_xlnm.Print_Area" localSheetId="176">'CEI PROFª HERMÍNIA MATHEUS'!$A$1:$D$32</definedName>
    <definedName name="_xlnm._FilterDatabase" localSheetId="177" hidden="1">'CENTRO DE EDUCAÇÃO INFANTIL PRO'!$B$8:$B$27</definedName>
    <definedName name="_xlnm.Print_Area" localSheetId="177">'CENTRO DE EDUCAÇÃO INFANTIL PRO'!$A$1:$D$32</definedName>
    <definedName name="_xlnm._FilterDatabase" localSheetId="178" hidden="1">'CEI MONSENHOR PAULO ELIAS DAHER'!$B$8:$B$27</definedName>
    <definedName name="_xlnm.Print_Area" localSheetId="178">'CEI MONSENHOR PAULO ELIAS DAHER'!$A$1:$D$32</definedName>
    <definedName name="_xlnm._FilterDatabase" localSheetId="179" hidden="1">'CEI DAGMAR ROLANDO DE OLIVEIRA'!$B$8:$B$27</definedName>
    <definedName name="_xlnm.Print_Area" localSheetId="179">'CEI DAGMAR ROLANDO DE OLIVEIRA'!$A$1:$D$32</definedName>
    <definedName name="_xlnm._FilterDatabase" localSheetId="180" hidden="1">'CENTRO DE EDUCAÇÃO INFANTIL  2'!$B$8:$B$27</definedName>
    <definedName name="_xlnm.Print_Area" localSheetId="180">'CENTRO DE EDUCAÇÃO INFANTIL  2'!$A$1:$D$32</definedName>
    <definedName name="_xlnm._FilterDatabase" localSheetId="181" hidden="1">'CEI BOA VISTA'!$B$8:$B$27</definedName>
    <definedName name="_xlnm.Print_Area" localSheetId="181">'CEI BOA VISTA'!$A$1:$D$32</definedName>
    <definedName name="_xlnm._FilterDatabase" localSheetId="182" hidden="1">'CEI NILO PEÇANHA'!$B$8:$B$27</definedName>
    <definedName name="_xlnm.Print_Area" localSheetId="182">'CEI NILO PEÇANHA'!$A$1:$D$32</definedName>
    <definedName name="_xlnm._FilterDatabase" localSheetId="183" hidden="1">'CENTRO DE EDUCAÇÃO INFANTIL AUG'!$B$8:$B$27</definedName>
    <definedName name="_xlnm.Print_Area" localSheetId="183">'CENTRO DE EDUCAÇÃO INFANTIL AUG'!$A$1:$D$32</definedName>
    <definedName name="_xlnm._FilterDatabase" localSheetId="184" hidden="1">'CEI THEREZINHA DE JESUS LIMA'!$B$8:$B$27</definedName>
    <definedName name="_xlnm.Print_Area" localSheetId="184">'CEI THEREZINHA DE JESUS LIMA'!$A$1:$D$32</definedName>
    <definedName name="_xlnm._FilterDatabase" localSheetId="185" hidden="1">'CEI VIDEIRINHA'!$B$8:$B$27</definedName>
    <definedName name="_xlnm.Print_Area" localSheetId="185">'CEI VIDEIRINHA'!$A$1:$D$32</definedName>
    <definedName name="_xlnm._FilterDatabase" localSheetId="186" hidden="1">'CEI PROFª ADRIANA CONSTÂNCIO TR'!$B$8:$B$27</definedName>
    <definedName name="_xlnm.Print_Area" localSheetId="186">'CEI PROFª ADRIANA CONSTÂNCIO TR'!$A$1:$D$32</definedName>
    <definedName name="_xlnm._FilterDatabase" localSheetId="187" hidden="1">'CENTRO DE EDUCAÇÃO INFANTIL SÉR'!$B$8:$B$27</definedName>
    <definedName name="_xlnm.Print_Area" localSheetId="187">'CENTRO DE EDUCAÇÃO INFANTIL SÉR'!$A$1:$D$32</definedName>
    <definedName name="_xlnm._FilterDatabase" localSheetId="188" hidden="1">'CEI JURACI PINTO DO AMARAL DE C'!$B$8:$B$27</definedName>
    <definedName name="_xlnm.Print_Area" localSheetId="188">'CEI JURACI PINTO DO AMARAL DE C'!$A$1:$D$32</definedName>
    <definedName name="_xlnm._FilterDatabase" localSheetId="189" hidden="1">'CEI NOSSA SENHORA DA GLÓRIA'!$B$8:$B$27</definedName>
    <definedName name="_xlnm.Print_Area" localSheetId="189">'CEI NOSSA SENHORA DA GLÓRIA'!$A$1:$D$32</definedName>
    <definedName name="_xlnm._FilterDatabase" localSheetId="190" hidden="1">'CEI ALTO INDEPENDÊNCIA'!$B$8:$B$27</definedName>
    <definedName name="_xlnm.Print_Area" localSheetId="190">'CEI ALTO INDEPENDÊNCIA'!$A$1:$D$32</definedName>
    <definedName name="_xlnm._FilterDatabase" localSheetId="191" hidden="1">'CEI SÃO JOSÉ DAS OBLATAS DE NAZ'!$B$8:$B$27</definedName>
    <definedName name="_xlnm.Print_Area" localSheetId="191">'CEI SÃO JOSÉ DAS OBLATAS DE NAZ'!$A$1:$D$32</definedName>
    <definedName name="_xlnm._FilterDatabase" localSheetId="192" hidden="1">'CEI SANTO ANTÔNIO AGOSTINHO'!$B$8:$B$27</definedName>
    <definedName name="_xlnm.Print_Area" localSheetId="192">'CEI SANTO ANTÔNIO AGOSTINHO'!$A$1:$D$32</definedName>
    <definedName name="_xlnm._FilterDatabase" localSheetId="193" hidden="1">'CEI SÃO CHARBEL'!$B$8:$B$27</definedName>
    <definedName name="_xlnm.Print_Area" localSheetId="193">'CEI SÃO CHARBEL'!$A$1:$D$32</definedName>
    <definedName name="_xlnm._FilterDatabase" localSheetId="194" hidden="1">'ASSOCIAÇÃO DA CRECHE SÃO FRANCI'!$B$8:$B$27</definedName>
    <definedName name="_xlnm.Print_Area" localSheetId="194">'ASSOCIAÇÃO DA CRECHE SÃO FRANCI'!$A$1:$D$32</definedName>
    <definedName name="_xlnm._FilterDatabase" localSheetId="195" hidden="1">'CEI SÃO JOSÉ DO ITAMARATI'!$B$8:$B$27</definedName>
    <definedName name="_xlnm.Print_Area" localSheetId="195">'CEI SÃO JOSÉ DO ITAMARATI'!$A$1:$D$32</definedName>
    <definedName name="_xlnm._FilterDatabase" localSheetId="196" hidden="1">'ASSOCIAÇÃO RECREAR'!$B$8:$B$27</definedName>
    <definedName name="_xlnm.Print_Area" localSheetId="196">'ASSOCIAÇÃO RECREAR'!$A$1:$D$32</definedName>
    <definedName name="_xlnm._FilterDatabase" localSheetId="197" hidden="1">'CRECHE-ESCOLA CASTELO SÃO MANOE'!$B$8:$B$27</definedName>
    <definedName name="_xlnm.Print_Area" localSheetId="197">'CRECHE-ESCOLA CASTELO SÃO MANOE'!$A$1:$D$32</definedName>
    <definedName name="_xlnm._FilterDatabase" localSheetId="198" hidden="1">'CENTRO DE EDUCAÇÃO INFANTIL SÃO'!$B$8:$B$27</definedName>
    <definedName name="_xlnm.Print_Area" localSheetId="198">'CENTRO DE EDUCAÇÃO INFANTIL SÃO'!$A$1:$D$32</definedName>
    <definedName name="_xlnm._FilterDatabase" localSheetId="199" hidden="1">'PROD - Ana C. C. R. Souza'!$C$5:$C$24</definedName>
    <definedName name="_xlnm.Print_Area" localSheetId="199">'PROD - Ana C. C. R. Souza'!$A$1:$H$24</definedName>
    <definedName name="_xlnm._FilterDatabase" localSheetId="200" hidden="1">'PROD - Anderson Mello Quimas'!$C$5:$C$24</definedName>
    <definedName name="_xlnm.Print_Area" localSheetId="200">'PROD - Anderson Mello Quimas'!$A$1:$H$24</definedName>
    <definedName name="_xlnm._FilterDatabase" localSheetId="201" hidden="1">'PROD - Armando Jose Silva'!$C$5:$C$24</definedName>
    <definedName name="_xlnm.Print_Area" localSheetId="201">'PROD - Armando Jose Silva'!$A$1:$H$24</definedName>
    <definedName name="_xlnm._FilterDatabase" localSheetId="202" hidden="1">'PROD - Arnaldo Silva'!$C$5:$C$24</definedName>
    <definedName name="_xlnm.Print_Area" localSheetId="202">'PROD - Arnaldo Silva'!$A$1:$H$24</definedName>
    <definedName name="_xlnm._FilterDatabase" localSheetId="203" hidden="1">'PROD - Claudeni R. Xavier'!$C$5:$C$24</definedName>
    <definedName name="_xlnm.Print_Area" localSheetId="203">'PROD - Claudeni R. Xavier'!$A$1:$H$24</definedName>
    <definedName name="_xlnm._FilterDatabase" localSheetId="204" hidden="1">'PROD - Edson Jose Silva'!$C$5:$C$24</definedName>
    <definedName name="_xlnm.Print_Area" localSheetId="204">'PROD - Edson Jose Silva'!$A$1:$H$24</definedName>
    <definedName name="_xlnm._FilterDatabase" localSheetId="205" hidden="1">'PROD - Gabriel Adriano Souza'!$C$5:$C$24</definedName>
    <definedName name="_xlnm.Print_Area" localSheetId="205">'PROD - Gabriel Adriano Souza'!$A$1:$H$24</definedName>
    <definedName name="_xlnm._FilterDatabase" localSheetId="206" hidden="1">'PROD - Gustavo Mello Rodrigues'!$C$5:$C$24</definedName>
    <definedName name="_xlnm.Print_Area" localSheetId="206">'PROD - Gustavo Mello Rodrigues'!$A$1:$H$24</definedName>
    <definedName name="_xlnm._FilterDatabase" localSheetId="207" hidden="1">'PROD - Joaquim Sergio Lage'!$C$5:$C$24</definedName>
    <definedName name="_xlnm.Print_Area" localSheetId="207">'PROD - Joaquim Sergio Lage'!$A$1:$H$24</definedName>
    <definedName name="_xlnm._FilterDatabase" localSheetId="208" hidden="1">'PROD - Jorge G. P. Diniz'!$C$5:$C$24</definedName>
    <definedName name="_xlnm.Print_Area" localSheetId="208">'PROD - Jorge G. P. Diniz'!$A$1:$H$24</definedName>
    <definedName name="_xlnm._FilterDatabase" localSheetId="209" hidden="1">'PROD - Jose G. S. Mello'!$C$5:$C$24</definedName>
    <definedName name="_xlnm.Print_Area" localSheetId="209">'PROD - Jose G. S. Mello'!$A$1:$H$24</definedName>
    <definedName name="_xlnm._FilterDatabase" localSheetId="210" hidden="1">'PROD - Jose Rodrigues Melo'!$C$5:$C$24</definedName>
    <definedName name="_xlnm.Print_Area" localSheetId="210">'PROD - Jose Rodrigues Melo'!$A$1:$H$24</definedName>
    <definedName name="_xlnm._FilterDatabase" localSheetId="211" hidden="1">'PROD - Lucio Mauro Felix Silva'!$C$5:$C$24</definedName>
    <definedName name="_xlnm.Print_Area" localSheetId="211">'PROD - Lucio Mauro Felix Silva'!$A$1:$H$24</definedName>
    <definedName name="_xlnm._FilterDatabase" localSheetId="212" hidden="1">'PROD - Luiz A. O. Pinto'!$C$5:$C$24</definedName>
    <definedName name="_xlnm.Print_Area" localSheetId="212">'PROD - Luiz A. O. Pinto'!$A$1:$H$24</definedName>
    <definedName name="_xlnm._FilterDatabase" localSheetId="213" hidden="1">'PROD - Marcelo Marcos Delgado'!$C$5:$C$24</definedName>
    <definedName name="_xlnm.Print_Area" localSheetId="213">'PROD - Marcelo Marcos Delgado'!$A$1:$H$24</definedName>
    <definedName name="_xlnm._FilterDatabase" localSheetId="214" hidden="1">'PROD - Marcio Azevedo Souza'!$C$5:$C$24</definedName>
    <definedName name="_xlnm.Print_Area" localSheetId="214">'PROD - Marcio Azevedo Souza'!$A$1:$H$24</definedName>
    <definedName name="_xlnm._FilterDatabase" localSheetId="215" hidden="1">'PROD - Marco Antonio Coelho'!$C$5:$C$24</definedName>
    <definedName name="_xlnm.Print_Area" localSheetId="215">'PROD - Marco Antonio Coelho'!$A$1:$H$24</definedName>
    <definedName name="_xlnm._FilterDatabase" localSheetId="216" hidden="1">'PROD - Marcos Marcelo Delgado'!$C$5:$C$24</definedName>
    <definedName name="_xlnm.Print_Area" localSheetId="216">'PROD - Marcos Marcelo Delgado'!$A$1:$H$24</definedName>
    <definedName name="_xlnm._FilterDatabase" localSheetId="217" hidden="1">'PROD - Miguel Fernando Almeida'!$C$5:$C$24</definedName>
    <definedName name="_xlnm.Print_Area" localSheetId="217">'PROD - Miguel Fernando Almeida'!$A$1:$H$24</definedName>
    <definedName name="_xlnm._FilterDatabase" localSheetId="218" hidden="1">'PROD - Nilson Ferreira Silva'!$C$5:$C$24</definedName>
    <definedName name="_xlnm.Print_Area" localSheetId="218">'PROD - Nilson Ferreira Silva'!$A$1:$H$24</definedName>
    <definedName name="_xlnm._FilterDatabase" localSheetId="219" hidden="1">'PROD - Renato Jose Silva'!$C$5:$C$24</definedName>
    <definedName name="_xlnm.Print_Area" localSheetId="219">'PROD - Renato Jose Silva'!$A$1:$H$24</definedName>
    <definedName name="_xlnm._FilterDatabase" localSheetId="220" hidden="1">'PROD - Rodolfo Azevedo Andrade'!$C$5:$C$24</definedName>
    <definedName name="_xlnm.Print_Area" localSheetId="220">'PROD - Rodolfo Azevedo Andrade'!$A$1:$H$24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0.00 &quot;kg&quot;"/>
  </numFmts>
  <fonts count="6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2E7D32"/>
      <sz val="16"/>
    </font>
    <font>
      <name val="Cambria"/>
      <charset val="1"/>
      <family val="0"/>
      <sz val="11"/>
    </font>
    <font>
      <name val="Cambria"/>
      <charset val="1"/>
      <family val="0"/>
      <b val="1"/>
      <color rgb="FF2E7D32"/>
      <sz val="12"/>
    </font>
    <font>
      <name val="Calibri"/>
      <charset val="1"/>
      <family val="0"/>
      <color rgb="FF1155CC"/>
      <sz val="11"/>
      <u val="single"/>
    </font>
    <font>
      <name val="Calibri"/>
      <charset val="1"/>
      <family val="0"/>
      <i val="1"/>
      <color rgb="FF666666"/>
      <sz val="10"/>
    </font>
    <font>
      <name val="Calibri"/>
      <charset val="1"/>
      <family val="0"/>
      <b val="1"/>
      <sz val="10.5"/>
    </font>
    <font>
      <name val="Calibri"/>
      <charset val="1"/>
      <family val="0"/>
      <color rgb="FF444444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1B5E20"/>
      <sz val="10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FFFFFF"/>
      <sz val="10"/>
    </font>
    <font>
      <name val="Calibri"/>
      <charset val="1"/>
      <family val="0"/>
      <sz val="10"/>
    </font>
    <font>
      <name val="Calibri"/>
      <charset val="1"/>
      <family val="0"/>
      <color rgb="FF1155CC"/>
      <sz val="10"/>
      <u val="single"/>
    </font>
    <font>
      <name val="Calibri"/>
      <charset val="1"/>
      <family val="0"/>
      <b val="1"/>
      <sz val="10"/>
    </font>
    <font>
      <name val="Calibri"/>
      <charset val="1"/>
      <family val="0"/>
      <color rgb="FF1155CC"/>
      <sz val="9"/>
      <u val="single"/>
    </font>
    <font>
      <name val="Cambria"/>
      <charset val="1"/>
      <family val="0"/>
      <b val="1"/>
      <color rgb="FF2E7D32"/>
      <sz val="18"/>
    </font>
    <font>
      <name val="Calibri"/>
      <charset val="1"/>
      <family val="0"/>
      <i val="1"/>
      <color rgb="FF1155CC"/>
      <sz val="10"/>
      <u val="single"/>
    </font>
    <font>
      <name val="Cambria"/>
      <charset val="1"/>
      <family val="0"/>
      <b val="1"/>
      <color rgb="FFFFFFFF"/>
      <sz val="13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color rgb="FFFFFFFF"/>
      <sz val="18"/>
    </font>
    <font>
      <name val="Calibri"/>
      <charset val="1"/>
      <family val="0"/>
      <i val="1"/>
      <color rgb="FF555555"/>
      <sz val="9"/>
    </font>
    <font>
      <name val="Cambria"/>
      <charset val="1"/>
      <family val="0"/>
      <b val="1"/>
      <color rgb="FFFFFFFF"/>
      <sz val="16"/>
    </font>
    <font>
      <name val="Cambria"/>
      <charset val="1"/>
      <family val="0"/>
      <b val="1"/>
      <color rgb="FFFFFFFF"/>
      <sz val="20"/>
    </font>
    <font>
      <name val="Cambria"/>
      <charset val="1"/>
      <family val="0"/>
      <b val="1"/>
      <color rgb="FFFFFFFF"/>
      <sz val="9"/>
    </font>
    <font>
      <name val="Calibri"/>
      <charset val="1"/>
      <family val="0"/>
      <sz val="9"/>
    </font>
    <font>
      <name val="Calibri"/>
      <charset val="1"/>
      <family val="0"/>
      <b val="1"/>
      <sz val="9"/>
    </font>
    <font>
      <name val="Calibri"/>
      <charset val="1"/>
      <family val="0"/>
      <i val="1"/>
      <color rgb="FFCC0000"/>
      <sz val="9"/>
    </font>
    <font>
      <name val="Cambria"/>
      <charset val="1"/>
      <family val="0"/>
      <b val="1"/>
      <color rgb="FF2E7D32"/>
      <sz val="14"/>
    </font>
    <font>
      <name val="Cambria"/>
      <charset val="1"/>
      <family val="0"/>
      <b val="1"/>
      <color rgb="FF2E7D32"/>
      <sz val="15"/>
    </font>
    <font>
      <name val="Cambria"/>
      <charset val="1"/>
      <family val="0"/>
      <b val="1"/>
      <sz val="12"/>
    </font>
    <font>
      <name val="Calibri"/>
      <charset val="1"/>
      <family val="0"/>
      <sz val="12"/>
    </font>
    <font>
      <name val="Calibri"/>
      <charset val="1"/>
      <family val="0"/>
      <b val="1"/>
      <sz val="13"/>
    </font>
    <font>
      <name val="Calibri"/>
      <charset val="1"/>
      <family val="0"/>
      <b val="1"/>
      <sz val="12"/>
    </font>
    <font>
      <name val="Calibri"/>
      <charset val="1"/>
      <family val="0"/>
      <b val="1"/>
      <color theme="1"/>
      <sz val="12"/>
    </font>
    <font>
      <name val="Calibri"/>
      <charset val="1"/>
      <family val="0"/>
      <b val="1"/>
      <color rgb="FF2E7D32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sz val="14"/>
    </font>
    <font/>
    <font>
      <name val="Cambria"/>
      <b val="1"/>
      <color rgb="FF2E7D32"/>
      <sz val="16"/>
    </font>
    <font>
      <name val="Cambria"/>
      <b val="1"/>
      <color rgb="FF2E7D32"/>
      <sz val="12"/>
    </font>
    <font>
      <name val="Calibri"/>
      <color rgb="FF1155CC"/>
      <sz val="11"/>
      <u val="single"/>
    </font>
    <font>
      <name val="Calibri"/>
      <i val="1"/>
      <color rgb="FF666666"/>
      <sz val="10"/>
    </font>
    <font>
      <name val="Calibri"/>
      <b val="1"/>
      <sz val="10.5"/>
    </font>
    <font>
      <name val="Calibri"/>
      <color rgb="FF444444"/>
      <sz val="10"/>
    </font>
    <font>
      <name val="Cambria"/>
      <b val="1"/>
      <color rgb="FFFFFFFF"/>
      <sz val="11"/>
    </font>
    <font>
      <name val="Calibri"/>
      <sz val="11"/>
    </font>
    <font>
      <name val="Cambria"/>
      <b val="1"/>
      <color rgb="FF2E7D32"/>
      <sz val="18"/>
    </font>
    <font>
      <name val="Calibri"/>
      <i val="1"/>
      <color rgb="FF555555"/>
      <sz val="9"/>
    </font>
    <font>
      <name val="Calibri"/>
      <i val="1"/>
      <color rgb="FF1155CC"/>
      <sz val="10"/>
      <u val="single"/>
    </font>
    <font>
      <name val="Cambria"/>
      <b val="1"/>
      <color rgb="FFFFFFFF"/>
      <sz val="14"/>
    </font>
    <font>
      <name val="Cambria"/>
      <b val="1"/>
      <color rgb="FFFFFFFF"/>
      <sz val="12"/>
    </font>
    <font>
      <name val="Calibri"/>
      <i val="1"/>
      <color rgb="FFEFEFE0"/>
      <sz val="9.5"/>
    </font>
    <font>
      <name val="Cambria"/>
      <b val="1"/>
      <color rgb="FFFFFFFF"/>
      <sz val="9.5"/>
    </font>
    <font>
      <name val="Calibri"/>
      <sz val="9.5"/>
    </font>
    <font>
      <name val="Calibri"/>
      <b val="1"/>
      <color rgb="FF8B3A2E"/>
      <sz val="9.5"/>
    </font>
    <font>
      <name val="Calibri"/>
      <b val="1"/>
      <sz val="10"/>
    </font>
    <font>
      <name val="Calibri"/>
      <i val="1"/>
      <color rgb="FF8B3A2E"/>
      <sz val="10"/>
    </font>
    <font>
      <name val="Calibri"/>
      <b val="1"/>
      <color rgb="FF1B4F72"/>
      <sz val="9.5"/>
    </font>
    <font>
      <name val="Calibri"/>
      <sz val="10.5"/>
    </font>
  </fonts>
  <fills count="18">
    <fill>
      <patternFill/>
    </fill>
    <fill>
      <patternFill patternType="gray125"/>
    </fill>
    <fill>
      <patternFill patternType="solid">
        <fgColor rgb="FF2E7D32"/>
        <bgColor rgb="FF4C8C4A"/>
      </patternFill>
    </fill>
    <fill>
      <patternFill patternType="solid">
        <fgColor rgb="FFFFF3CD"/>
        <bgColor rgb="FFE8F5E9"/>
      </patternFill>
    </fill>
    <fill>
      <patternFill patternType="solid">
        <fgColor rgb="FF4C8C4A"/>
        <bgColor rgb="FF2E7D32"/>
      </patternFill>
    </fill>
    <fill>
      <patternFill patternType="solid">
        <fgColor rgb="FFE8F5E9"/>
        <bgColor rgb="FFFFF3CD"/>
      </patternFill>
    </fill>
    <fill>
      <patternFill patternType="solid">
        <fgColor rgb="FF1B5E20"/>
        <bgColor rgb="FF2E7D32"/>
      </patternFill>
    </fill>
    <fill>
      <patternFill patternType="solid">
        <fgColor rgb="FFB8860B"/>
        <bgColor rgb="FF9C6500"/>
      </patternFill>
    </fill>
    <fill>
      <patternFill patternType="solid">
        <fgColor rgb="FFC8E6C9"/>
        <bgColor rgb="FFD0D0D0"/>
      </patternFill>
    </fill>
    <fill>
      <patternFill patternType="solid">
        <fgColor rgb="FF2E7D32"/>
      </patternFill>
    </fill>
    <fill>
      <patternFill patternType="solid">
        <fgColor rgb="FF1B4A22"/>
      </patternFill>
    </fill>
    <fill>
      <patternFill patternType="solid">
        <fgColor rgb="FF2E5E38"/>
      </patternFill>
    </fill>
    <fill>
      <patternFill patternType="solid">
        <fgColor rgb="FF4C8C4A"/>
      </patternFill>
    </fill>
    <fill>
      <patternFill patternType="solid">
        <fgColor rgb="FFF3DAD3"/>
      </patternFill>
    </fill>
    <fill>
      <patternFill patternType="solid">
        <fgColor rgb="FFF3E7BE"/>
      </patternFill>
    </fill>
    <fill>
      <patternFill patternType="solid">
        <fgColor rgb="FFFFFFFF"/>
      </patternFill>
    </fill>
    <fill>
      <patternFill patternType="solid">
        <fgColor rgb="FFDCE6F5"/>
      </patternFill>
    </fill>
    <fill>
      <patternFill patternType="solid">
        <fgColor rgb="FFE8F5E9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/>
    <border>
      <left style="thin"/>
      <right style="thin"/>
      <top style="thin"/>
      <bottom style="thin"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3" borderId="2" applyAlignment="1" applyProtection="1" pivotButton="0" quotePrefix="0" xfId="0">
      <alignment horizontal="center" vertical="center"/>
      <protection locked="0" hidden="0"/>
    </xf>
    <xf numFmtId="0" fontId="14" fillId="2" borderId="0" applyAlignment="1" pivotButton="0" quotePrefix="0" xfId="0">
      <alignment horizontal="left" vertical="center" indent="1"/>
    </xf>
    <xf numFmtId="0" fontId="15" fillId="4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left" vertical="center"/>
    </xf>
    <xf numFmtId="2" fontId="16" fillId="0" borderId="2" applyAlignment="1" applyProtection="1" pivotButton="0" quotePrefix="0" xfId="0">
      <alignment horizontal="center" vertical="center"/>
      <protection locked="0" hidden="0"/>
    </xf>
    <xf numFmtId="0" fontId="18" fillId="5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left" vertical="center"/>
    </xf>
    <xf numFmtId="2" fontId="18" fillId="5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16" fillId="0" borderId="2" applyAlignment="1" pivotButton="0" quotePrefix="0" xfId="0">
      <alignment horizontal="left" vertical="center"/>
    </xf>
    <xf numFmtId="2" fontId="16" fillId="0" borderId="2" applyAlignment="1" pivotButton="0" quotePrefix="0" xfId="0">
      <alignment horizontal="center" vertical="center"/>
    </xf>
    <xf numFmtId="2" fontId="18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left" vertical="center" indent="1"/>
    </xf>
    <xf numFmtId="2" fontId="18" fillId="2" borderId="2" applyAlignment="1" pivotButton="0" quotePrefix="0" xfId="0">
      <alignment horizontal="center" vertical="center"/>
    </xf>
    <xf numFmtId="2" fontId="15" fillId="4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2" fontId="16" fillId="0" borderId="2" applyAlignment="1" pivotButton="0" quotePrefix="0" xfId="0">
      <alignment horizontal="right" vertical="center"/>
    </xf>
    <xf numFmtId="164" fontId="16" fillId="0" borderId="2" applyAlignment="1" pivotButton="0" quotePrefix="0" xfId="0">
      <alignment horizontal="right" vertical="center"/>
    </xf>
    <xf numFmtId="2" fontId="18" fillId="5" borderId="2" applyAlignment="1" pivotButton="0" quotePrefix="0" xfId="0">
      <alignment horizontal="right" vertical="center"/>
    </xf>
    <xf numFmtId="0" fontId="18" fillId="5" borderId="2" applyAlignment="1" pivotButton="0" quotePrefix="0" xfId="0">
      <alignment horizontal="right" vertical="center"/>
    </xf>
    <xf numFmtId="164" fontId="18" fillId="5" borderId="2" applyAlignment="1" pivotButton="0" quotePrefix="0" xfId="0">
      <alignment horizontal="right" vertical="center"/>
    </xf>
    <xf numFmtId="1" fontId="16" fillId="0" borderId="2" applyAlignment="1" pivotButton="0" quotePrefix="0" xfId="0">
      <alignment horizontal="right" vertical="center"/>
    </xf>
    <xf numFmtId="0" fontId="14" fillId="6" borderId="0" applyAlignment="1" pivotButton="0" quotePrefix="0" xfId="0">
      <alignment horizontal="left" vertical="center" indent="1"/>
    </xf>
    <xf numFmtId="164" fontId="23" fillId="6" borderId="0" applyAlignment="1" pivotButton="0" quotePrefix="0" xfId="0">
      <alignment horizontal="right" vertical="center" indent="1"/>
    </xf>
    <xf numFmtId="0" fontId="14" fillId="7" borderId="0" applyAlignment="1" pivotButton="0" quotePrefix="0" xfId="0">
      <alignment horizontal="left" vertical="center" indent="1"/>
    </xf>
    <xf numFmtId="164" fontId="24" fillId="7" borderId="0" applyAlignment="1" pivotButton="0" quotePrefix="0" xfId="0">
      <alignment horizontal="right" vertical="center" indent="1"/>
    </xf>
    <xf numFmtId="0" fontId="25" fillId="0" borderId="0" applyAlignment="1" pivotButton="0" quotePrefix="0" xfId="0">
      <alignment horizontal="general" vertical="bottom"/>
    </xf>
    <xf numFmtId="164" fontId="23" fillId="6" borderId="0" applyAlignment="1" pivotButton="0" quotePrefix="0" xfId="0">
      <alignment horizontal="right" vertical="center" indent="1"/>
    </xf>
    <xf numFmtId="164" fontId="23" fillId="7" borderId="0" applyAlignment="1" pivotButton="0" quotePrefix="0" xfId="0">
      <alignment horizontal="right" vertical="center" indent="1"/>
    </xf>
    <xf numFmtId="0" fontId="16" fillId="0" borderId="2" applyAlignment="1" pivotButton="0" quotePrefix="0" xfId="0">
      <alignment horizontal="left" vertical="center" indent="1"/>
    </xf>
    <xf numFmtId="164" fontId="16" fillId="3" borderId="2" applyAlignment="1" pivotButton="0" quotePrefix="0" xfId="0">
      <alignment horizontal="right" vertical="center" indent="1"/>
    </xf>
    <xf numFmtId="0" fontId="18" fillId="5" borderId="2" applyAlignment="1" pivotButton="0" quotePrefix="0" xfId="0">
      <alignment horizontal="left" vertical="center" indent="1"/>
    </xf>
    <xf numFmtId="164" fontId="18" fillId="5" borderId="2" applyAlignment="1" pivotButton="0" quotePrefix="0" xfId="0">
      <alignment horizontal="right" vertical="center" indent="1"/>
    </xf>
    <xf numFmtId="0" fontId="26" fillId="6" borderId="0" applyAlignment="1" pivotButton="0" quotePrefix="0" xfId="0">
      <alignment horizontal="left" vertical="center" indent="1"/>
    </xf>
    <xf numFmtId="164" fontId="27" fillId="6" borderId="0" applyAlignment="1" pivotButton="0" quotePrefix="0" xfId="0">
      <alignment horizontal="right" vertical="center" indent="1"/>
    </xf>
    <xf numFmtId="0" fontId="15" fillId="4" borderId="3" applyAlignment="1" pivotButton="0" quotePrefix="0" xfId="0">
      <alignment horizontal="left" vertical="center" indent="1"/>
    </xf>
    <xf numFmtId="164" fontId="16" fillId="0" borderId="2" applyAlignment="1" pivotButton="0" quotePrefix="0" xfId="0">
      <alignment horizontal="right" vertical="center" indent="1"/>
    </xf>
    <xf numFmtId="0" fontId="28" fillId="4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left" vertical="center" indent="1"/>
    </xf>
    <xf numFmtId="1" fontId="29" fillId="0" borderId="2" applyAlignment="1" pivotButton="0" quotePrefix="0" xfId="0">
      <alignment horizontal="center" vertical="center"/>
    </xf>
    <xf numFmtId="1" fontId="30" fillId="0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 indent="1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2" borderId="4" applyAlignment="1" pivotButton="0" quotePrefix="0" xfId="0">
      <alignment horizontal="general" vertical="center"/>
    </xf>
    <xf numFmtId="0" fontId="35" fillId="0" borderId="4" applyAlignment="1" applyProtection="1" pivotButton="0" quotePrefix="0" xfId="0">
      <alignment horizontal="left" vertical="center"/>
      <protection locked="0" hidden="0"/>
    </xf>
    <xf numFmtId="0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general" vertical="bottom"/>
    </xf>
    <xf numFmtId="2" fontId="35" fillId="0" borderId="4" applyAlignment="1" pivotButton="0" quotePrefix="0" xfId="0">
      <alignment horizontal="center" vertical="bottom"/>
    </xf>
    <xf numFmtId="2" fontId="36" fillId="0" borderId="4" applyAlignment="1" applyProtection="1" pivotButton="0" quotePrefix="0" xfId="0">
      <alignment horizontal="center" vertical="bottom"/>
      <protection locked="0" hidden="0"/>
    </xf>
    <xf numFmtId="1" fontId="0" fillId="0" borderId="4" applyAlignment="1" applyProtection="1" pivotButton="0" quotePrefix="0" xfId="0">
      <alignment horizontal="center" vertical="bottom"/>
      <protection locked="0" hidden="0"/>
    </xf>
    <xf numFmtId="0" fontId="0" fillId="0" borderId="4" applyAlignment="1" pivotButton="0" quotePrefix="0" xfId="0">
      <alignment horizontal="center" vertical="bottom"/>
    </xf>
    <xf numFmtId="0" fontId="35" fillId="5" borderId="4" applyAlignment="1" pivotButton="0" quotePrefix="0" xfId="0">
      <alignment horizontal="general" vertical="bottom"/>
    </xf>
    <xf numFmtId="2" fontId="35" fillId="5" borderId="4" applyAlignment="1" pivotButton="0" quotePrefix="0" xfId="0">
      <alignment horizontal="center" vertical="bottom"/>
    </xf>
    <xf numFmtId="2" fontId="36" fillId="5" borderId="4" applyAlignment="1" applyProtection="1" pivotButton="0" quotePrefix="0" xfId="0">
      <alignment horizontal="center" vertical="bottom"/>
      <protection locked="0" hidden="0"/>
    </xf>
    <xf numFmtId="0" fontId="36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35" fillId="0" borderId="4" applyAlignment="1" pivotButton="0" quotePrefix="0" xfId="0">
      <alignment horizontal="left" vertical="center"/>
    </xf>
    <xf numFmtId="0" fontId="11" fillId="2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general" vertical="bottom"/>
    </xf>
    <xf numFmtId="2" fontId="12" fillId="0" borderId="4" applyAlignment="1" pivotButton="0" quotePrefix="0" xfId="0">
      <alignment horizontal="center" vertical="bottom"/>
    </xf>
    <xf numFmtId="2" fontId="37" fillId="0" borderId="4" applyAlignment="1" applyProtection="1" pivotButton="0" quotePrefix="0" xfId="0">
      <alignment horizontal="center" vertical="bottom"/>
      <protection locked="0" hidden="0"/>
    </xf>
    <xf numFmtId="1" fontId="12" fillId="0" borderId="4" applyAlignment="1" applyProtection="1" pivotButton="0" quotePrefix="0" xfId="0">
      <alignment horizontal="center" vertical="bottom"/>
      <protection locked="0" hidden="0"/>
    </xf>
    <xf numFmtId="0" fontId="12" fillId="0" borderId="4" applyAlignment="1" pivotButton="0" quotePrefix="0" xfId="0">
      <alignment horizontal="center" vertical="bottom"/>
    </xf>
    <xf numFmtId="0" fontId="12" fillId="5" borderId="4" applyAlignment="1" pivotButton="0" quotePrefix="0" xfId="0">
      <alignment horizontal="general" vertical="bottom"/>
    </xf>
    <xf numFmtId="0" fontId="38" fillId="8" borderId="4" applyAlignment="1" pivotButton="0" quotePrefix="0" xfId="0">
      <alignment horizontal="general" vertical="bottom"/>
    </xf>
    <xf numFmtId="0" fontId="39" fillId="8" borderId="4" applyAlignment="1" pivotButton="0" quotePrefix="0" xfId="0">
      <alignment horizontal="right" vertical="bottom"/>
    </xf>
    <xf numFmtId="164" fontId="39" fillId="8" borderId="4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 wrapText="1"/>
    </xf>
    <xf numFmtId="164" fontId="16" fillId="0" borderId="2" applyAlignment="1" pivotButton="0" quotePrefix="0" xfId="0">
      <alignment horizontal="center" vertical="center"/>
    </xf>
    <xf numFmtId="164" fontId="18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164" fontId="18" fillId="5" borderId="2" applyAlignment="1" pivotButton="0" quotePrefix="0" xfId="0">
      <alignment horizontal="center" vertical="center"/>
    </xf>
    <xf numFmtId="0" fontId="15" fillId="2" borderId="6" applyAlignment="1" pivotButton="0" quotePrefix="0" xfId="0">
      <alignment horizontal="center" vertical="bottom"/>
    </xf>
    <xf numFmtId="0" fontId="0" fillId="5" borderId="6" applyAlignment="1" pivotButton="0" quotePrefix="0" xfId="0">
      <alignment horizontal="general" vertical="bottom"/>
    </xf>
    <xf numFmtId="2" fontId="0" fillId="5" borderId="6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2" fontId="0" fillId="0" borderId="6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13" fillId="3" borderId="2" applyAlignment="1" applyProtection="1" pivotButton="0" quotePrefix="0" xfId="0">
      <alignment horizontal="center" vertical="center"/>
      <protection locked="0" hidden="0"/>
    </xf>
    <xf numFmtId="0" fontId="14" fillId="2" borderId="0" applyAlignment="1" pivotButton="0" quotePrefix="0" xfId="0">
      <alignment horizontal="left" vertical="center" indent="1"/>
    </xf>
    <xf numFmtId="0" fontId="15" fillId="4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left" vertical="center"/>
    </xf>
    <xf numFmtId="2" fontId="16" fillId="0" borderId="2" applyAlignment="1" applyProtection="1" pivotButton="0" quotePrefix="0" xfId="0">
      <alignment horizontal="center" vertical="center"/>
      <protection locked="0" hidden="0"/>
    </xf>
    <xf numFmtId="0" fontId="18" fillId="5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left" vertical="center"/>
    </xf>
    <xf numFmtId="2" fontId="18" fillId="5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16" fillId="0" borderId="2" applyAlignment="1" pivotButton="0" quotePrefix="0" xfId="0">
      <alignment horizontal="left" vertical="center"/>
    </xf>
    <xf numFmtId="2" fontId="16" fillId="0" borderId="2" applyAlignment="1" pivotButton="0" quotePrefix="0" xfId="0">
      <alignment horizontal="center" vertical="center"/>
    </xf>
    <xf numFmtId="2" fontId="18" fillId="0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left" vertical="center" indent="1"/>
    </xf>
    <xf numFmtId="0" fontId="0" fillId="0" borderId="9" pivotButton="0" quotePrefix="0" xfId="0"/>
    <xf numFmtId="2" fontId="18" fillId="2" borderId="2" applyAlignment="1" pivotButton="0" quotePrefix="0" xfId="0">
      <alignment horizontal="center" vertical="center"/>
    </xf>
    <xf numFmtId="2" fontId="15" fillId="4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2" fontId="16" fillId="0" borderId="2" applyAlignment="1" pivotButton="0" quotePrefix="0" xfId="0">
      <alignment horizontal="right" vertical="center"/>
    </xf>
    <xf numFmtId="164" fontId="16" fillId="0" borderId="2" applyAlignment="1" pivotButton="0" quotePrefix="0" xfId="0">
      <alignment horizontal="right" vertical="center"/>
    </xf>
    <xf numFmtId="2" fontId="18" fillId="5" borderId="2" applyAlignment="1" pivotButton="0" quotePrefix="0" xfId="0">
      <alignment horizontal="right" vertical="center"/>
    </xf>
    <xf numFmtId="0" fontId="18" fillId="5" borderId="2" applyAlignment="1" pivotButton="0" quotePrefix="0" xfId="0">
      <alignment horizontal="right" vertical="center"/>
    </xf>
    <xf numFmtId="164" fontId="18" fillId="5" borderId="2" applyAlignment="1" pivotButton="0" quotePrefix="0" xfId="0">
      <alignment horizontal="right" vertical="center"/>
    </xf>
    <xf numFmtId="1" fontId="16" fillId="0" borderId="2" applyAlignment="1" pivotButton="0" quotePrefix="0" xfId="0">
      <alignment horizontal="right" vertical="center"/>
    </xf>
    <xf numFmtId="0" fontId="14" fillId="6" borderId="0" applyAlignment="1" pivotButton="0" quotePrefix="0" xfId="0">
      <alignment horizontal="left" vertical="center" indent="1"/>
    </xf>
    <xf numFmtId="164" fontId="23" fillId="6" borderId="0" applyAlignment="1" pivotButton="0" quotePrefix="0" xfId="0">
      <alignment horizontal="right" vertical="center" indent="1"/>
    </xf>
    <xf numFmtId="0" fontId="14" fillId="7" borderId="0" applyAlignment="1" pivotButton="0" quotePrefix="0" xfId="0">
      <alignment horizontal="left" vertical="center" indent="1"/>
    </xf>
    <xf numFmtId="164" fontId="24" fillId="7" borderId="0" applyAlignment="1" pivotButton="0" quotePrefix="0" xfId="0">
      <alignment horizontal="right" vertical="center" indent="1"/>
    </xf>
    <xf numFmtId="0" fontId="25" fillId="0" borderId="0" applyAlignment="1" pivotButton="0" quotePrefix="0" xfId="0">
      <alignment horizontal="general" vertical="bottom"/>
    </xf>
    <xf numFmtId="164" fontId="23" fillId="7" borderId="0" applyAlignment="1" pivotButton="0" quotePrefix="0" xfId="0">
      <alignment horizontal="right" vertical="center" indent="1"/>
    </xf>
    <xf numFmtId="0" fontId="16" fillId="0" borderId="2" applyAlignment="1" pivotButton="0" quotePrefix="0" xfId="0">
      <alignment horizontal="left" vertical="center" indent="1"/>
    </xf>
    <xf numFmtId="0" fontId="0" fillId="0" borderId="10" pivotButton="0" quotePrefix="0" xfId="0"/>
    <xf numFmtId="164" fontId="16" fillId="3" borderId="2" applyAlignment="1" pivotButton="0" quotePrefix="0" xfId="0">
      <alignment horizontal="right" vertical="center" indent="1"/>
    </xf>
    <xf numFmtId="0" fontId="18" fillId="5" borderId="2" applyAlignment="1" pivotButton="0" quotePrefix="0" xfId="0">
      <alignment horizontal="left" vertical="center" indent="1"/>
    </xf>
    <xf numFmtId="164" fontId="18" fillId="5" borderId="2" applyAlignment="1" pivotButton="0" quotePrefix="0" xfId="0">
      <alignment horizontal="right" vertical="center" indent="1"/>
    </xf>
    <xf numFmtId="0" fontId="26" fillId="6" borderId="0" applyAlignment="1" pivotButton="0" quotePrefix="0" xfId="0">
      <alignment horizontal="left" vertical="center" indent="1"/>
    </xf>
    <xf numFmtId="164" fontId="27" fillId="6" borderId="0" applyAlignment="1" pivotButton="0" quotePrefix="0" xfId="0">
      <alignment horizontal="right" vertical="center" indent="1"/>
    </xf>
    <xf numFmtId="0" fontId="15" fillId="4" borderId="3" applyAlignment="1" pivotButton="0" quotePrefix="0" xfId="0">
      <alignment horizontal="left" vertical="center" indent="1"/>
    </xf>
    <xf numFmtId="164" fontId="16" fillId="0" borderId="2" applyAlignment="1" pivotButton="0" quotePrefix="0" xfId="0">
      <alignment horizontal="right" vertical="center" indent="1"/>
    </xf>
    <xf numFmtId="0" fontId="28" fillId="4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left" vertical="center" indent="1"/>
    </xf>
    <xf numFmtId="1" fontId="29" fillId="0" borderId="2" applyAlignment="1" pivotButton="0" quotePrefix="0" xfId="0">
      <alignment horizontal="center" vertical="center"/>
    </xf>
    <xf numFmtId="1" fontId="30" fillId="0" borderId="2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 indent="1"/>
    </xf>
    <xf numFmtId="0" fontId="32" fillId="0" borderId="0" applyAlignment="1" pivotButton="0" quotePrefix="0" xfId="0">
      <alignment horizontal="general" vertical="bottom"/>
    </xf>
    <xf numFmtId="0" fontId="33" fillId="0" borderId="0" applyAlignment="1" pivotButton="0" quotePrefix="0" xfId="0">
      <alignment horizontal="general" vertical="bottom"/>
    </xf>
    <xf numFmtId="0" fontId="34" fillId="2" borderId="4" applyAlignment="1" pivotButton="0" quotePrefix="0" xfId="0">
      <alignment horizontal="general" vertical="center"/>
    </xf>
    <xf numFmtId="0" fontId="35" fillId="0" borderId="4" applyAlignment="1" applyProtection="1" pivotButton="0" quotePrefix="0" xfId="0">
      <alignment horizontal="left" vertical="center"/>
      <protection locked="0" hidden="0"/>
    </xf>
    <xf numFmtId="0" fontId="0" fillId="0" borderId="13" applyProtection="1" pivotButton="0" quotePrefix="0" xfId="0">
      <protection locked="0" hidden="0"/>
    </xf>
    <xf numFmtId="0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general" vertical="bottom"/>
    </xf>
    <xf numFmtId="2" fontId="35" fillId="0" borderId="4" applyAlignment="1" pivotButton="0" quotePrefix="0" xfId="0">
      <alignment horizontal="center" vertical="bottom"/>
    </xf>
    <xf numFmtId="2" fontId="36" fillId="0" borderId="4" applyAlignment="1" applyProtection="1" pivotButton="0" quotePrefix="0" xfId="0">
      <alignment horizontal="center" vertical="bottom"/>
      <protection locked="0" hidden="0"/>
    </xf>
    <xf numFmtId="1" fontId="0" fillId="0" borderId="4" applyAlignment="1" applyProtection="1" pivotButton="0" quotePrefix="0" xfId="0">
      <alignment horizontal="center" vertical="bottom"/>
      <protection locked="0" hidden="0"/>
    </xf>
    <xf numFmtId="0" fontId="0" fillId="0" borderId="4" applyAlignment="1" pivotButton="0" quotePrefix="0" xfId="0">
      <alignment horizontal="center" vertical="bottom"/>
    </xf>
    <xf numFmtId="0" fontId="35" fillId="5" borderId="4" applyAlignment="1" pivotButton="0" quotePrefix="0" xfId="0">
      <alignment horizontal="general" vertical="bottom"/>
    </xf>
    <xf numFmtId="2" fontId="35" fillId="5" borderId="4" applyAlignment="1" pivotButton="0" quotePrefix="0" xfId="0">
      <alignment horizontal="center" vertical="bottom"/>
    </xf>
    <xf numFmtId="2" fontId="36" fillId="5" borderId="4" applyAlignment="1" applyProtection="1" pivotButton="0" quotePrefix="0" xfId="0">
      <alignment horizontal="center" vertical="bottom"/>
      <protection locked="0" hidden="0"/>
    </xf>
    <xf numFmtId="0" fontId="36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5" pivotButton="0" quotePrefix="0" xfId="0"/>
    <xf numFmtId="0" fontId="35" fillId="0" borderId="4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11" fillId="2" borderId="4" applyAlignment="1" pivotButton="0" quotePrefix="0" xfId="0">
      <alignment horizontal="center" vertical="center" wrapText="1"/>
    </xf>
    <xf numFmtId="0" fontId="11" fillId="2" borderId="4" applyAlignment="1" applyProtection="1" pivotButton="0" quotePrefix="0" xfId="0">
      <alignment horizontal="center" vertical="center" wrapText="1"/>
      <protection locked="0" hidden="0"/>
    </xf>
    <xf numFmtId="0" fontId="12" fillId="0" borderId="4" applyAlignment="1" pivotButton="0" quotePrefix="0" xfId="0">
      <alignment horizontal="general" vertical="bottom"/>
    </xf>
    <xf numFmtId="2" fontId="12" fillId="0" borderId="4" applyAlignment="1" pivotButton="0" quotePrefix="0" xfId="0">
      <alignment horizontal="center" vertical="bottom"/>
    </xf>
    <xf numFmtId="2" fontId="37" fillId="0" borderId="4" applyAlignment="1" applyProtection="1" pivotButton="0" quotePrefix="0" xfId="0">
      <alignment horizontal="center" vertical="bottom"/>
      <protection locked="0" hidden="0"/>
    </xf>
    <xf numFmtId="1" fontId="12" fillId="0" borderId="4" applyAlignment="1" applyProtection="1" pivotButton="0" quotePrefix="0" xfId="0">
      <alignment horizontal="center" vertical="bottom"/>
      <protection locked="0" hidden="0"/>
    </xf>
    <xf numFmtId="0" fontId="12" fillId="0" borderId="4" applyAlignment="1" pivotButton="0" quotePrefix="0" xfId="0">
      <alignment horizontal="center" vertical="bottom"/>
    </xf>
    <xf numFmtId="0" fontId="12" fillId="5" borderId="4" applyAlignment="1" pivotButton="0" quotePrefix="0" xfId="0">
      <alignment horizontal="general" vertical="bottom"/>
    </xf>
    <xf numFmtId="0" fontId="38" fillId="8" borderId="4" applyAlignment="1" pivotButton="0" quotePrefix="0" xfId="0">
      <alignment horizontal="general" vertical="bottom"/>
    </xf>
    <xf numFmtId="0" fontId="39" fillId="8" borderId="4" applyAlignment="1" pivotButton="0" quotePrefix="0" xfId="0">
      <alignment horizontal="right" vertical="bottom"/>
    </xf>
    <xf numFmtId="164" fontId="39" fillId="8" borderId="4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center" wrapText="1"/>
    </xf>
    <xf numFmtId="164" fontId="16" fillId="0" borderId="2" applyAlignment="1" pivotButton="0" quotePrefix="0" xfId="0">
      <alignment horizontal="center" vertical="center"/>
    </xf>
    <xf numFmtId="164" fontId="18" fillId="0" borderId="2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164" fontId="18" fillId="5" borderId="2" applyAlignment="1" pivotButton="0" quotePrefix="0" xfId="0">
      <alignment horizontal="center" vertical="center"/>
    </xf>
    <xf numFmtId="0" fontId="15" fillId="2" borderId="6" applyAlignment="1" pivotButton="0" quotePrefix="0" xfId="0">
      <alignment horizontal="center" vertical="bottom"/>
    </xf>
    <xf numFmtId="0" fontId="0" fillId="5" borderId="6" applyAlignment="1" pivotButton="0" quotePrefix="0" xfId="0">
      <alignment horizontal="general" vertical="bottom"/>
    </xf>
    <xf numFmtId="2" fontId="0" fillId="5" borderId="6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2" fontId="0" fillId="0" borderId="6" applyAlignment="1" pivotButton="0" quotePrefix="0" xfId="0">
      <alignment horizontal="center" vertical="bottom"/>
    </xf>
    <xf numFmtId="0" fontId="4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43" fillId="0" borderId="15" pivotButton="0" quotePrefix="0" xfId="0"/>
    <xf numFmtId="0" fontId="42" fillId="0" borderId="15" pivotButton="0" quotePrefix="0" xfId="0"/>
    <xf numFmtId="0" fontId="44" fillId="0" borderId="15" pivotButton="0" quotePrefix="0" xfId="0"/>
    <xf numFmtId="0" fontId="45" fillId="0" borderId="15" applyAlignment="1" pivotButton="0" quotePrefix="0" xfId="0">
      <alignment horizontal="left" vertical="center"/>
    </xf>
    <xf numFmtId="0" fontId="46" fillId="0" borderId="15" applyAlignment="1" pivotButton="0" quotePrefix="0" xfId="0">
      <alignment horizontal="left" vertical="center"/>
    </xf>
    <xf numFmtId="0" fontId="47" fillId="0" borderId="15" applyAlignment="1" pivotButton="0" quotePrefix="0" xfId="0">
      <alignment horizontal="left" vertical="center"/>
    </xf>
    <xf numFmtId="0" fontId="48" fillId="0" borderId="15" applyAlignment="1" pivotButton="0" quotePrefix="0" xfId="0">
      <alignment horizontal="left" vertical="center" wrapText="1"/>
    </xf>
    <xf numFmtId="0" fontId="49" fillId="9" borderId="16" applyAlignment="1" pivotButton="0" quotePrefix="0" xfId="0">
      <alignment horizontal="center" vertical="center"/>
    </xf>
    <xf numFmtId="0" fontId="50" fillId="0" borderId="16" applyAlignment="1" pivotButton="0" quotePrefix="0" xfId="0">
      <alignment horizontal="center" vertical="center"/>
    </xf>
    <xf numFmtId="0" fontId="45" fillId="0" borderId="16" applyAlignment="1" pivotButton="0" quotePrefix="0" xfId="0">
      <alignment horizontal="left" vertical="center"/>
    </xf>
    <xf numFmtId="0" fontId="50" fillId="0" borderId="16" applyAlignment="1" pivotButton="0" quotePrefix="0" xfId="0">
      <alignment horizontal="left" vertical="center"/>
    </xf>
    <xf numFmtId="0" fontId="42" fillId="0" borderId="16" pivotButton="0" quotePrefix="0" xfId="0"/>
    <xf numFmtId="0" fontId="0" fillId="0" borderId="16" pivotButton="0" quotePrefix="0" xfId="0"/>
    <xf numFmtId="0" fontId="51" fillId="0" borderId="0" applyAlignment="1" pivotButton="0" quotePrefix="0" xfId="0">
      <alignment horizontal="general" vertical="bottom"/>
    </xf>
    <xf numFmtId="0" fontId="52" fillId="0" borderId="0" applyAlignment="1" pivotButton="0" quotePrefix="0" xfId="0">
      <alignment vertical="center" wrapText="1"/>
    </xf>
    <xf numFmtId="0" fontId="53" fillId="0" borderId="0" pivotButton="0" quotePrefix="0" xfId="0"/>
    <xf numFmtId="0" fontId="54" fillId="10" borderId="0" applyAlignment="1" pivotButton="0" quotePrefix="0" xfId="0">
      <alignment horizontal="left" vertical="center" indent="1"/>
    </xf>
    <xf numFmtId="0" fontId="0" fillId="10" borderId="0" pivotButton="0" quotePrefix="0" xfId="0"/>
    <xf numFmtId="0" fontId="55" fillId="9" borderId="0" applyAlignment="1" pivotButton="0" quotePrefix="0" xfId="0">
      <alignment horizontal="left" vertical="center" indent="1"/>
    </xf>
    <xf numFmtId="0" fontId="0" fillId="9" borderId="0" pivotButton="0" quotePrefix="0" xfId="0"/>
    <xf numFmtId="0" fontId="56" fillId="11" borderId="0" applyAlignment="1" pivotButton="0" quotePrefix="0" xfId="0">
      <alignment horizontal="left" vertical="center" wrapText="1" indent="1"/>
    </xf>
    <xf numFmtId="0" fontId="0" fillId="11" borderId="0" pivotButton="0" quotePrefix="0" xfId="0"/>
    <xf numFmtId="0" fontId="57" fillId="12" borderId="17" applyAlignment="1" pivotButton="0" quotePrefix="0" xfId="0">
      <alignment horizontal="center" vertical="center" wrapText="1"/>
    </xf>
    <xf numFmtId="0" fontId="58" fillId="0" borderId="17" applyAlignment="1" pivotButton="0" quotePrefix="0" xfId="0">
      <alignment horizontal="center" vertical="center"/>
    </xf>
    <xf numFmtId="0" fontId="58" fillId="0" borderId="17" applyAlignment="1" pivotButton="0" quotePrefix="0" xfId="0">
      <alignment horizontal="left" vertical="center" indent="1"/>
    </xf>
    <xf numFmtId="2" fontId="58" fillId="0" borderId="17" applyAlignment="1" pivotButton="0" quotePrefix="0" xfId="0">
      <alignment horizontal="center" vertical="center"/>
    </xf>
    <xf numFmtId="0" fontId="58" fillId="13" borderId="17" applyAlignment="1" pivotButton="0" quotePrefix="0" xfId="0">
      <alignment horizontal="center" vertical="center"/>
    </xf>
    <xf numFmtId="0" fontId="59" fillId="13" borderId="17" applyAlignment="1" pivotButton="0" quotePrefix="0" xfId="0">
      <alignment horizontal="center" vertical="center"/>
    </xf>
    <xf numFmtId="0" fontId="59" fillId="13" borderId="17" applyAlignment="1" pivotButton="0" quotePrefix="0" xfId="0">
      <alignment horizontal="left" vertical="center" indent="1"/>
    </xf>
    <xf numFmtId="2" fontId="59" fillId="13" borderId="17" applyAlignment="1" pivotButton="0" quotePrefix="0" xfId="0">
      <alignment horizontal="center" vertical="center"/>
    </xf>
    <xf numFmtId="0" fontId="60" fillId="14" borderId="0" applyAlignment="1" pivotButton="0" quotePrefix="0" xfId="0">
      <alignment horizontal="left" vertical="center" indent="1"/>
    </xf>
    <xf numFmtId="165" fontId="60" fillId="14" borderId="0" applyAlignment="1" pivotButton="0" quotePrefix="0" xfId="0">
      <alignment horizontal="center" vertical="center"/>
    </xf>
    <xf numFmtId="0" fontId="61" fillId="15" borderId="17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58" fillId="16" borderId="17" applyAlignment="1" pivotButton="0" quotePrefix="0" xfId="0">
      <alignment horizontal="center" vertical="center"/>
    </xf>
    <xf numFmtId="0" fontId="62" fillId="16" borderId="17" applyAlignment="1" pivotButton="0" quotePrefix="0" xfId="0">
      <alignment horizontal="center" vertical="center"/>
    </xf>
    <xf numFmtId="0" fontId="62" fillId="16" borderId="17" applyAlignment="1" pivotButton="0" quotePrefix="0" xfId="0">
      <alignment horizontal="left" vertical="center" indent="1"/>
    </xf>
    <xf numFmtId="2" fontId="62" fillId="16" borderId="17" applyAlignment="1" pivotButton="0" quotePrefix="0" xfId="0">
      <alignment horizontal="center" vertical="center"/>
    </xf>
    <xf numFmtId="0" fontId="49" fillId="9" borderId="17" applyAlignment="1" pivotButton="0" quotePrefix="0" xfId="0">
      <alignment horizontal="center" vertical="center"/>
    </xf>
    <xf numFmtId="0" fontId="63" fillId="17" borderId="17" applyAlignment="1" pivotButton="0" quotePrefix="0" xfId="0">
      <alignment horizontal="left" vertical="center" indent="1"/>
    </xf>
    <xf numFmtId="2" fontId="63" fillId="17" borderId="17" applyAlignment="1" pivotButton="0" quotePrefix="0" xfId="0">
      <alignment horizontal="center" vertical="center"/>
    </xf>
    <xf numFmtId="0" fontId="47" fillId="0" borderId="17" applyAlignment="1" pivotButton="0" quotePrefix="0" xfId="0">
      <alignment horizontal="center" vertical="center"/>
    </xf>
    <xf numFmtId="0" fontId="63" fillId="0" borderId="17" applyAlignment="1" pivotButton="0" quotePrefix="0" xfId="0">
      <alignment horizontal="left" vertical="center" indent="1"/>
    </xf>
    <xf numFmtId="2" fontId="63" fillId="0" borderId="17" applyAlignment="1" pivotButton="0" quotePrefix="0" xfId="0">
      <alignment horizontal="center" vertical="center"/>
    </xf>
    <xf numFmtId="0" fontId="49" fillId="9" borderId="17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ont>
        <b val="1"/>
        <color rgb="FF9C65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FFFFFF"/>
        <sz val="20"/>
      </font>
      <fill>
        <patternFill>
          <bgColor rgb="FFB00020"/>
        </patternFill>
      </fill>
    </dxf>
    <dxf>
      <fill>
        <patternFill>
          <bgColor rgb="FFB0002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9C0006"/>
      </font>
      <fill>
        <patternFill patternType="solid">
          <fgColor rgb="FFF4CCCC"/>
        </patternFill>
      </fill>
    </dxf>
    <dxf>
      <font>
        <b val="1"/>
        <color rgb="FF7F6000"/>
      </font>
      <fill>
        <patternFill patternType="solid">
          <fgColor rgb="FFFFF2CC"/>
        </patternFill>
      </fill>
    </dxf>
    <dxf>
      <font>
        <b val="1"/>
        <color rgb="FF274E13"/>
      </font>
      <fill>
        <patternFill patternType="solid">
          <fgColor rgb="FFE2F0D9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2E7D32"/>
      <rgbColor rgb="FF000080"/>
      <rgbColor rgb="FF9C6500"/>
      <rgbColor rgb="FF800080"/>
      <rgbColor rgb="FF008080"/>
      <rgbColor rgb="FFBBBBBB"/>
      <rgbColor rgb="FF808080"/>
      <rgbColor rgb="FF9999FF"/>
      <rgbColor rgb="FF993366"/>
      <rgbColor rgb="FFFFF3CD"/>
      <rgbColor rgb="FFE8F5E9"/>
      <rgbColor rgb="FF660066"/>
      <rgbColor rgb="FFFF8080"/>
      <rgbColor rgb="FF1155CC"/>
      <rgbColor rgb="FFD0D0D0"/>
      <rgbColor rgb="FF000080"/>
      <rgbColor rgb="FFFF00FF"/>
      <rgbColor rgb="FFFFFF00"/>
      <rgbColor rgb="FF00FFFF"/>
      <rgbColor rgb="FF800080"/>
      <rgbColor rgb="FFB00020"/>
      <rgbColor rgb="FF008080"/>
      <rgbColor rgb="FF0000FF"/>
      <rgbColor rgb="FF00CCFF"/>
      <rgbColor rgb="FFCCFFFF"/>
      <rgbColor rgb="FFC8E6C9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8860B"/>
      <rgbColor rgb="FFFF6600"/>
      <rgbColor rgb="FF666666"/>
      <rgbColor rgb="FFB0B0B0"/>
      <rgbColor rgb="FF003366"/>
      <rgbColor rgb="FF4C8C4A"/>
      <rgbColor rgb="FF003300"/>
      <rgbColor rgb="FF1B5E20"/>
      <rgbColor rgb="FF993300"/>
      <rgbColor rgb="FF993366"/>
      <rgbColor rgb="FF555555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styles" Target="styles.xml" Id="rId225"/><Relationship Type="http://schemas.openxmlformats.org/officeDocument/2006/relationships/theme" Target="theme/theme1.xml" Id="rId22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6" min="1" max="1"/>
    <col width="45" customWidth="1" style="106" min="2" max="2"/>
    <col width="30" customWidth="1" style="106" min="3" max="3"/>
    <col width="28" customWidth="1" style="106" min="4" max="4"/>
  </cols>
  <sheetData>
    <row r="1" ht="19.5" customHeight="1" s="107">
      <c r="A1" s="218" t="inlineStr">
        <is>
          <t>ÍNDICE — CLIQUE NO NOME PARA ABRIR A ABA</t>
        </is>
      </c>
      <c r="B1" s="219" t="n"/>
      <c r="C1" s="219" t="n"/>
    </row>
    <row r="2" ht="15" customHeight="1" s="107">
      <c r="A2" s="219" t="n"/>
      <c r="B2" s="219" t="n"/>
      <c r="C2" s="219" t="n"/>
    </row>
    <row r="3" ht="15" customHeight="1" s="107">
      <c r="A3" s="220" t="inlineStr">
        <is>
          <t>ABAS DE TRABALHO</t>
        </is>
      </c>
      <c r="B3" s="219" t="n"/>
      <c r="C3" s="219" t="n"/>
    </row>
    <row r="4" ht="15" customHeight="1" s="107">
      <c r="A4" s="221">
        <f>HYPERLINK("#'Entrada de Dados'!A1","Entrada de Dados")</f>
        <v/>
      </c>
      <c r="B4" s="222" t="inlineStr">
        <is>
          <t>onde você digita pedido e entrega</t>
        </is>
      </c>
      <c r="C4" s="219" t="n"/>
    </row>
    <row r="5" ht="15" customHeight="1" s="107">
      <c r="A5" s="221">
        <f>HYPERLINK("#'RESUMO'!A1","RESUMO")</f>
        <v/>
      </c>
      <c r="B5" s="222" t="inlineStr">
        <is>
          <t>o resultado final, calculado sozinho</t>
        </is>
      </c>
      <c r="C5" s="219" t="n"/>
    </row>
    <row r="6" ht="15" customHeight="1" s="107">
      <c r="A6" s="221">
        <f>HYPERLINK("#'BALANÇO FINANCEIRO'!A1","BALANÇO FINANCEIRO")</f>
        <v/>
      </c>
      <c r="B6" s="222" t="inlineStr">
        <is>
          <t>custos reais da semana e saldo (positivo ou negativo)</t>
        </is>
      </c>
      <c r="C6" s="219" t="n"/>
    </row>
    <row r="7" ht="15" customHeight="1" s="107">
      <c r="A7" s="221">
        <f>HYPERLINK("#'DIFERENÇA'!A1","DIFERENÇA")</f>
        <v/>
      </c>
      <c r="B7" s="222" t="inlineStr">
        <is>
          <t>quanto faltou entregar, produto por produto</t>
        </is>
      </c>
      <c r="C7" s="219" t="n"/>
    </row>
    <row r="8" ht="15" customHeight="1" s="107">
      <c r="A8" s="221">
        <f>HYPERLINK("#'MAPA DE MONTAGEM'!A1","MAPA DE MONTAGEM")</f>
        <v/>
      </c>
      <c r="B8" s="222" t="inlineStr">
        <is>
          <t>separação da carga por rota — segunda e terça</t>
        </is>
      </c>
      <c r="C8" s="219" t="n"/>
    </row>
    <row r="9" ht="15" customHeight="1" s="107">
      <c r="A9" s="221">
        <f>HYPERLINK("#'MAPA DE PRODUÇÃO'!A1","MAPA DE PRODUÇÃO")</f>
        <v/>
      </c>
      <c r="B9" s="222" t="inlineStr">
        <is>
          <t>quem planta o quê, por mês</t>
        </is>
      </c>
      <c r="C9" s="219" t="n"/>
    </row>
    <row r="10" ht="25.5" customHeight="1" s="107">
      <c r="A10" s="221">
        <f>HYPERLINK("#'MOTIVO'!A1","MOTIVO")</f>
        <v/>
      </c>
      <c r="B10" s="222" t="inlineStr">
        <is>
          <t>lista de motivos de devolução</t>
        </is>
      </c>
      <c r="C10" s="219" t="n"/>
    </row>
    <row r="11" ht="25.5" customHeight="1" s="107">
      <c r="A11" s="219" t="n"/>
      <c r="B11" s="219" t="n"/>
      <c r="C11" s="219" t="n"/>
    </row>
    <row r="12" ht="27.75" customHeight="1" s="107">
      <c r="A12" s="220" t="inlineStr">
        <is>
          <t>COMO USAR — PASSO A PASSO</t>
        </is>
      </c>
      <c r="B12" s="219" t="n"/>
      <c r="C12" s="219" t="n"/>
    </row>
    <row r="13" ht="28" customHeight="1" s="107">
      <c r="A13" s="223" t="inlineStr">
        <is>
          <t>1. Pedido da prefeitura</t>
        </is>
      </c>
      <c r="B13" s="224" t="inlineStr">
        <is>
          <t>Entrada de Dados, bloco de cima → digite a quantidade de cada produto, na linha de cada escola.</t>
        </is>
      </c>
    </row>
    <row r="14" ht="28" customHeight="1" s="107">
      <c r="A14" s="223" t="inlineStr">
        <is>
          <t>2. Decidir quem entrega</t>
        </is>
      </c>
      <c r="B14" s="224" t="inlineStr">
        <is>
          <t>Abra o Mapa de Produção → veja quem planta cada produto e quanto planejou naquele mês.</t>
        </is>
      </c>
    </row>
    <row r="15" ht="28" customHeight="1" s="107">
      <c r="A15" s="223" t="inlineStr">
        <is>
          <t>3. Pedido aos produtores</t>
        </is>
      </c>
      <c r="B15" s="224" t="inlineStr">
        <is>
          <t>Entrada de Dados, bloco do meio → digite quanto vai pedir a cada produtor.</t>
        </is>
      </c>
    </row>
    <row r="16" ht="28" customHeight="1" s="107">
      <c r="A16" s="223" t="inlineStr">
        <is>
          <t>4. Entrega real</t>
        </is>
      </c>
      <c r="B16" s="224" t="inlineStr">
        <is>
          <t>Caminhão chegou → Entrada de Dados, bloco de baixo → digite quanto cada produtor realmente trouxe.</t>
        </is>
      </c>
    </row>
    <row r="17" ht="28" customHeight="1" s="107">
      <c r="A17" s="223" t="inlineStr">
        <is>
          <t>5. Devolução da escola (se houver)</t>
        </is>
      </c>
      <c r="B17" s="224" t="inlineStr">
        <is>
          <t>Clique no nome da escola (vira link) → anote a devolução e o motivo.</t>
        </is>
      </c>
    </row>
    <row r="18" ht="28" customHeight="1" s="107">
      <c r="A18" s="223" t="inlineStr">
        <is>
          <t>6. Devolução do produtor (se houver)</t>
        </is>
      </c>
      <c r="B18" s="224" t="inlineStr">
        <is>
          <t>Clique em "Anotar devolução" na linha do produtor → registre lá, com o motivo.</t>
        </is>
      </c>
    </row>
    <row r="19" ht="28" customHeight="1" s="107">
      <c r="A19" s="223" t="inlineStr">
        <is>
          <t>7. Montagem da carga</t>
        </is>
      </c>
      <c r="B19" s="224" t="inlineStr">
        <is>
          <t>Abra o Mapa de Montagem → escolha a rota do dia (S1–S10 segunda, T1–T8 terça) e separe os produtos na ordem da parada.</t>
        </is>
      </c>
    </row>
    <row r="20" ht="28" customHeight="1" s="107">
      <c r="A20" s="223" t="inlineStr">
        <is>
          <t>8. Resultado</t>
        </is>
      </c>
      <c r="B20" s="224" t="inlineStr">
        <is>
          <t>Abra o RESUMO — não precisa digitar nada, já mostra quanto cobrar, quanto pagar, e a margem.</t>
        </is>
      </c>
    </row>
    <row r="21" ht="28" customHeight="1" s="107">
      <c r="A21" s="223" t="inlineStr">
        <is>
          <t>9. Balanço financeiro</t>
        </is>
      </c>
      <c r="B21" s="224" t="inlineStr">
        <is>
          <t>Abra o Balanço Financeiro → digite os custos reais da semana (frete, montagem, etc.) e veja o saldo final.</t>
        </is>
      </c>
    </row>
    <row r="22" ht="15" customHeight="1" s="107">
      <c r="A22" s="219" t="n"/>
      <c r="B22" s="219" t="n"/>
      <c r="C22" s="219" t="n"/>
    </row>
    <row r="23" ht="15" customHeight="1" s="107">
      <c r="A23" s="220" t="inlineStr">
        <is>
          <t>ESCOLAS</t>
        </is>
      </c>
      <c r="B23" s="219" t="n"/>
      <c r="C23" s="219" t="n"/>
    </row>
    <row r="24" ht="15" customHeight="1" s="107">
      <c r="A24" s="225" t="inlineStr">
        <is>
          <t>CÓDIGO</t>
        </is>
      </c>
      <c r="B24" s="225" t="inlineStr">
        <is>
          <t>ESCOLA (clique para abrir)</t>
        </is>
      </c>
      <c r="C24" s="225" t="inlineStr">
        <is>
          <t>BAIRRO</t>
        </is>
      </c>
    </row>
    <row r="25" ht="15" customHeight="1" s="107">
      <c r="A25" s="226">
        <f>'E M ABELARDO DE LAMARE'!B5</f>
        <v/>
      </c>
      <c r="B25" s="227">
        <f>HYPERLINK("#'E M ABELARDO DE LAMARE'!A1",'E M ABELARDO DE LAMARE'!B2)</f>
        <v/>
      </c>
      <c r="C25" s="228">
        <f>'E M ABELARDO DE LAMARE'!B3</f>
        <v/>
      </c>
    </row>
    <row r="26" ht="15" customHeight="1" s="107">
      <c r="A26" s="226">
        <f>'E M BATAILLARD'!B5</f>
        <v/>
      </c>
      <c r="B26" s="227">
        <f>HYPERLINK("#'E M BATAILLARD'!A1",'E M BATAILLARD'!B2)</f>
        <v/>
      </c>
      <c r="C26" s="228">
        <f>'E M BATAILLARD'!B3</f>
        <v/>
      </c>
    </row>
    <row r="27" ht="15" customHeight="1" s="107">
      <c r="A27" s="226">
        <f>'E M LEONARDO BOFF'!B5</f>
        <v/>
      </c>
      <c r="B27" s="227">
        <f>HYPERLINK("#'E M LEONARDO BOFF'!A1",'E M LEONARDO BOFF'!B2)</f>
        <v/>
      </c>
      <c r="C27" s="228">
        <f>'E M LEONARDO BOFF'!B3</f>
        <v/>
      </c>
    </row>
    <row r="28" ht="15" customHeight="1" s="107">
      <c r="A28" s="226">
        <f>'E M CLEMENTE FERNANDES'!B5</f>
        <v/>
      </c>
      <c r="B28" s="227">
        <f>HYPERLINK("#'E M CLEMENTE FERNANDES'!A1",'E M CLEMENTE FERNANDES'!B2)</f>
        <v/>
      </c>
      <c r="C28" s="228">
        <f>'E M CLEMENTE FERNANDES'!B3</f>
        <v/>
      </c>
    </row>
    <row r="29" ht="15" customHeight="1" s="107">
      <c r="A29" s="226">
        <f>'E M DOM PEDRO DE ALCÂNTARA'!B5</f>
        <v/>
      </c>
      <c r="B29" s="227">
        <f>HYPERLINK("#'E M DOM PEDRO DE ALCÂNTARA'!A1",'E M DOM PEDRO DE ALCÂNTARA'!B2)</f>
        <v/>
      </c>
      <c r="C29" s="228">
        <f>'E M DOM PEDRO DE ALCÂNTARA'!B3</f>
        <v/>
      </c>
    </row>
    <row r="30" ht="15" customHeight="1" s="107">
      <c r="A30" s="226">
        <f>'E M DUQUE DE CAXIAS'!B5</f>
        <v/>
      </c>
      <c r="B30" s="227">
        <f>HYPERLINK("#'E M DUQUE DE CAXIAS'!A1",'E M DUQUE DE CAXIAS'!B2)</f>
        <v/>
      </c>
      <c r="C30" s="228">
        <f>'E M DUQUE DE CAXIAS'!B3</f>
        <v/>
      </c>
    </row>
    <row r="31" ht="15" customHeight="1" s="107">
      <c r="A31" s="226">
        <f>'E M LUIZ CARLOS SOARES'!B5</f>
        <v/>
      </c>
      <c r="B31" s="227">
        <f>HYPERLINK("#'E M LUIZ CARLOS SOARES'!A1",'E M LUIZ CARLOS SOARES'!B2)</f>
        <v/>
      </c>
      <c r="C31" s="228">
        <f>'E M LUIZ CARLOS SOARES'!B3</f>
        <v/>
      </c>
    </row>
    <row r="32" ht="15" customHeight="1" s="107">
      <c r="A32" s="226">
        <f>'ESCOLA MUNICIPAL GENERAL HEITOR'!B5</f>
        <v/>
      </c>
      <c r="B32" s="227">
        <f>HYPERLINK("#'ESCOLA MUNICIPAL GENERAL HEITOR'!A1",'ESCOLA MUNICIPAL GENERAL HEITOR'!B2)</f>
        <v/>
      </c>
      <c r="C32" s="228">
        <f>'ESCOLA MUNICIPAL GENERAL HEITOR'!B3</f>
        <v/>
      </c>
    </row>
    <row r="33" ht="15" customHeight="1" s="107">
      <c r="A33" s="226">
        <f>'E M JOÃO KOPKE'!B5</f>
        <v/>
      </c>
      <c r="B33" s="227">
        <f>HYPERLINK("#'E M JOÃO KOPKE'!A1",'E M JOÃO KOPKE'!B2)</f>
        <v/>
      </c>
      <c r="C33" s="228">
        <f>'E M JOÃO KOPKE'!B3</f>
        <v/>
      </c>
    </row>
    <row r="34" ht="15" customHeight="1" s="107">
      <c r="A34" s="226">
        <f>'ESCOLA MUNICIPAL ODETTE FONSECA'!B5</f>
        <v/>
      </c>
      <c r="B34" s="227">
        <f>HYPERLINK("#'ESCOLA MUNICIPAL ODETTE FONSECA'!A1",'ESCOLA MUNICIPAL ODETTE FONSECA'!B2)</f>
        <v/>
      </c>
      <c r="C34" s="228">
        <f>'ESCOLA MUNICIPAL ODETTE FONSECA'!B3</f>
        <v/>
      </c>
    </row>
    <row r="35" ht="15" customHeight="1" s="107">
      <c r="A35" s="226">
        <f>'E M GOVERNADOR MARCELLO ALENCAR'!B5</f>
        <v/>
      </c>
      <c r="B35" s="227">
        <f>HYPERLINK("#'E M GOVERNADOR MARCELLO ALENCAR'!A1",'E M GOVERNADOR MARCELLO ALENCAR'!B2)</f>
        <v/>
      </c>
      <c r="C35" s="228">
        <f>'E M GOVERNADOR MARCELLO ALENCAR'!B3</f>
        <v/>
      </c>
    </row>
    <row r="36" ht="15" customHeight="1" s="107">
      <c r="A36" s="226">
        <f>'E M PROF JOAQUIM DEISTER'!B5</f>
        <v/>
      </c>
      <c r="B36" s="227">
        <f>HYPERLINK("#'E M PROF JOAQUIM DEISTER'!A1",'E M PROF JOAQUIM DEISTER'!B2)</f>
        <v/>
      </c>
      <c r="C36" s="228">
        <f>'E M PROF JOAQUIM DEISTER'!B3</f>
        <v/>
      </c>
    </row>
    <row r="37" ht="15" customHeight="1" s="107">
      <c r="A37" s="226">
        <f>'E M ROBERT KENNEDY'!B5</f>
        <v/>
      </c>
      <c r="B37" s="227">
        <f>HYPERLINK("#'E M ROBERT KENNEDY'!A1",'E M ROBERT KENNEDY'!B2)</f>
        <v/>
      </c>
      <c r="C37" s="228">
        <f>'E M ROBERT KENNEDY'!B3</f>
        <v/>
      </c>
    </row>
    <row r="38" ht="15" customHeight="1" s="107">
      <c r="A38" s="226">
        <f>'E M ROTARY'!B5</f>
        <v/>
      </c>
      <c r="B38" s="227">
        <f>HYPERLINK("#'E M ROTARY'!A1",'E M ROTARY'!B2)</f>
        <v/>
      </c>
      <c r="C38" s="228">
        <f>'E M ROTARY'!B3</f>
        <v/>
      </c>
    </row>
    <row r="39" ht="15" customHeight="1" s="107">
      <c r="A39" s="226">
        <f>'E M ROSALINA NICOLAY'!B5</f>
        <v/>
      </c>
      <c r="B39" s="227">
        <f>HYPERLINK("#'E M ROSALINA NICOLAY'!A1",'E M ROSALINA NICOLAY'!B2)</f>
        <v/>
      </c>
      <c r="C39" s="228">
        <f>'E M ROSALINA NICOLAY'!B3</f>
        <v/>
      </c>
    </row>
    <row r="40" ht="15" customHeight="1" s="107">
      <c r="A40" s="226">
        <f>'E M DE EDUCAÇÃO ESPECIAL SANTOS'!B5</f>
        <v/>
      </c>
      <c r="B40" s="227">
        <f>HYPERLINK("#'E M DE EDUCAÇÃO ESPECIAL SANTOS'!A1",'E M DE EDUCAÇÃO ESPECIAL SANTOS'!B2)</f>
        <v/>
      </c>
      <c r="C40" s="228">
        <f>'E M DE EDUCAÇÃO ESPECIAL SANTOS'!B3</f>
        <v/>
      </c>
    </row>
    <row r="41" ht="15" customHeight="1" s="107">
      <c r="A41" s="226">
        <f>'E M SOROPTIMISTA'!B5</f>
        <v/>
      </c>
      <c r="B41" s="227">
        <f>HYPERLINK("#'E M SOROPTIMISTA'!A1",'E M SOROPTIMISTA'!B2)</f>
        <v/>
      </c>
      <c r="C41" s="228">
        <f>'E M SOROPTIMISTA'!B3</f>
        <v/>
      </c>
    </row>
    <row r="42" ht="15" customHeight="1" s="107">
      <c r="A42" s="226">
        <f>'LICEU MUN PREFEITO CORDOLINO AM'!B5</f>
        <v/>
      </c>
      <c r="B42" s="227">
        <f>HYPERLINK("#'LICEU MUN PREFEITO CORDOLINO AM'!A1",'LICEU MUN PREFEITO CORDOLINO AM'!B2)</f>
        <v/>
      </c>
      <c r="C42" s="228">
        <f>'LICEU MUN PREFEITO CORDOLINO AM'!B3</f>
        <v/>
      </c>
    </row>
    <row r="43" ht="15" customHeight="1" s="107">
      <c r="A43" s="226">
        <f>'E M ANTÔNIO LEITE GARCIA'!B5</f>
        <v/>
      </c>
      <c r="B43" s="227">
        <f>HYPERLINK("#'E M ANTÔNIO LEITE GARCIA'!A1",'E M ANTÔNIO LEITE GARCIA'!B2)</f>
        <v/>
      </c>
      <c r="C43" s="228">
        <f>'E M ANTÔNIO LEITE GARCIA'!B3</f>
        <v/>
      </c>
    </row>
    <row r="44" ht="15" customHeight="1" s="107">
      <c r="A44" s="226">
        <f>'ESCOLA MUNICIPAL JORGE AMADO'!B5</f>
        <v/>
      </c>
      <c r="B44" s="227">
        <f>HYPERLINK("#'ESCOLA MUNICIPAL JORGE AMADO'!A1",'ESCOLA MUNICIPAL JORGE AMADO'!B2)</f>
        <v/>
      </c>
      <c r="C44" s="228">
        <f>'ESCOLA MUNICIPAL JORGE AMADO'!B3</f>
        <v/>
      </c>
    </row>
    <row r="45" ht="15" customHeight="1" s="107">
      <c r="A45" s="226">
        <f>'ESCOLA MUNICIPAL LÚCIA DE ALMEI'!B5</f>
        <v/>
      </c>
      <c r="B45" s="227">
        <f>HYPERLINK("#'ESCOLA MUNICIPAL LÚCIA DE ALMEI'!A1",'ESCOLA MUNICIPAL LÚCIA DE ALMEI'!B2)</f>
        <v/>
      </c>
      <c r="C45" s="228">
        <f>'ESCOLA MUNICIPAL LÚCIA DE ALMEI'!B3</f>
        <v/>
      </c>
    </row>
    <row r="46" ht="15" customHeight="1" s="107">
      <c r="A46" s="226">
        <f>'E M MAGDALENA TAGLIAFERRO'!B5</f>
        <v/>
      </c>
      <c r="B46" s="227">
        <f>HYPERLINK("#'E M MAGDALENA TAGLIAFERRO'!A1",'E M MAGDALENA TAGLIAFERRO'!B2)</f>
        <v/>
      </c>
      <c r="C46" s="228">
        <f>'E M MAGDALENA TAGLIAFERRO'!B3</f>
        <v/>
      </c>
    </row>
    <row r="47" ht="15" customHeight="1" s="107">
      <c r="A47" s="226">
        <f>'ESCOLA MUNICIPAL MAJOR JÚLIO FR'!B5</f>
        <v/>
      </c>
      <c r="B47" s="227">
        <f>HYPERLINK("#'ESCOLA MUNICIPAL MAJOR JÚLIO FR'!A1",'ESCOLA MUNICIPAL MAJOR JÚLIO FR'!B2)</f>
        <v/>
      </c>
      <c r="C47" s="228">
        <f>'ESCOLA MUNICIPAL MAJOR JÚLIO FR'!B3</f>
        <v/>
      </c>
    </row>
    <row r="48" ht="15" customHeight="1" s="107">
      <c r="A48" s="226">
        <f>'E M MARIETA GONÇALVES'!B5</f>
        <v/>
      </c>
      <c r="B48" s="227">
        <f>HYPERLINK("#'E M MARIETA GONÇALVES'!A1",'E M MARIETA GONÇALVES'!B2)</f>
        <v/>
      </c>
      <c r="C48" s="228">
        <f>'E M MARIETA GONÇALVES'!B3</f>
        <v/>
      </c>
    </row>
    <row r="49" ht="15" customHeight="1" s="107">
      <c r="A49" s="226">
        <f>'ESCOLA MUNICIPAL ODETTE YOUNG M'!B5</f>
        <v/>
      </c>
      <c r="B49" s="227">
        <f>HYPERLINK("#'ESCOLA MUNICIPAL ODETTE YOUNG M'!A1",'ESCOLA MUNICIPAL ODETTE YOUNG M'!B2)</f>
        <v/>
      </c>
      <c r="C49" s="228">
        <f>'ESCOLA MUNICIPAL ODETTE YOUNG M'!B3</f>
        <v/>
      </c>
    </row>
    <row r="50" ht="15" customHeight="1" s="107">
      <c r="A50" s="226">
        <f>'E M FÁBRICA DO SABER'!B5</f>
        <v/>
      </c>
      <c r="B50" s="227">
        <f>HYPERLINK("#'E M FÁBRICA DO SABER'!A1",'E M FÁBRICA DO SABER'!B2)</f>
        <v/>
      </c>
      <c r="C50" s="228">
        <f>'E M FÁBRICA DO SABER'!B3</f>
        <v/>
      </c>
    </row>
    <row r="51" ht="15" customHeight="1" s="107">
      <c r="A51" s="226">
        <f>'ESCOLA MUNICIPAL PROFESSOR PAUL'!B5</f>
        <v/>
      </c>
      <c r="B51" s="227">
        <f>HYPERLINK("#'ESCOLA MUNICIPAL PROFESSOR PAUL'!A1",'ESCOLA MUNICIPAL PROFESSOR PAUL'!B2)</f>
        <v/>
      </c>
      <c r="C51" s="228">
        <f>'ESCOLA MUNICIPAL PROFESSOR PAUL'!B3</f>
        <v/>
      </c>
    </row>
    <row r="52" ht="15" customHeight="1" s="107">
      <c r="A52" s="226">
        <f>'E M ROSEMIRA DE OLIVEIRA CAVALC'!B5</f>
        <v/>
      </c>
      <c r="B52" s="227">
        <f>HYPERLINK("#'E M ROSEMIRA DE OLIVEIRA CAVALC'!A1",'E M ROSEMIRA DE OLIVEIRA CAVALC'!B2)</f>
        <v/>
      </c>
      <c r="C52" s="228">
        <f>'E M ROSEMIRA DE OLIVEIRA CAVALC'!B3</f>
        <v/>
      </c>
    </row>
    <row r="53" ht="15" customHeight="1" s="107">
      <c r="A53" s="226">
        <f>'E M AMÉLIA ANTUNES RABELLO'!B5</f>
        <v/>
      </c>
      <c r="B53" s="227">
        <f>HYPERLINK("#'E M AMÉLIA ANTUNES RABELLO'!A1",'E M AMÉLIA ANTUNES RABELLO'!B2)</f>
        <v/>
      </c>
      <c r="C53" s="228">
        <f>'E M AMÉLIA ANTUNES RABELLO'!B3</f>
        <v/>
      </c>
    </row>
    <row r="54" ht="15" customHeight="1" s="107">
      <c r="A54" s="226">
        <f>'ESCOLA MUNICIPAL AUGUSTO PUGNAL'!B5</f>
        <v/>
      </c>
      <c r="B54" s="227">
        <f>HYPERLINK("#'ESCOLA MUNICIPAL AUGUSTO PUGNAL'!A1",'ESCOLA MUNICIPAL AUGUSTO PUGNAL'!B2)</f>
        <v/>
      </c>
      <c r="C54" s="228">
        <f>'ESCOLA MUNICIPAL AUGUSTO PUGNAL'!B3</f>
        <v/>
      </c>
    </row>
    <row r="55" ht="15" customHeight="1" s="107">
      <c r="A55" s="226">
        <f>'ESCOLA MUNICIPAL CELINA SCHECHN'!B5</f>
        <v/>
      </c>
      <c r="B55" s="227">
        <f>HYPERLINK("#'ESCOLA MUNICIPAL CELINA SCHECHN'!A1",'ESCOLA MUNICIPAL CELINA SCHECHN'!B2)</f>
        <v/>
      </c>
      <c r="C55" s="228">
        <f>'ESCOLA MUNICIPAL CELINA SCHECHN'!B3</f>
        <v/>
      </c>
    </row>
    <row r="56" ht="15" customHeight="1" s="107">
      <c r="A56" s="226">
        <f>'E M DARCY CORREA DA VEIGA'!B5</f>
        <v/>
      </c>
      <c r="B56" s="227">
        <f>HYPERLINK("#'E M DARCY CORREA DA VEIGA'!A1",'E M DARCY CORREA DA VEIGA'!B2)</f>
        <v/>
      </c>
      <c r="C56" s="228">
        <f>'E M DARCY CORREA DA VEIGA'!B3</f>
        <v/>
      </c>
    </row>
    <row r="57" ht="15" customHeight="1" s="107">
      <c r="A57" s="226">
        <f>'E M DR PAULA BUARQUE'!B5</f>
        <v/>
      </c>
      <c r="B57" s="227">
        <f>HYPERLINK("#'E M DR PAULA BUARQUE'!A1",'E M DR PAULA BUARQUE'!B2)</f>
        <v/>
      </c>
      <c r="C57" s="228">
        <f>'E M DR PAULA BUARQUE'!B3</f>
        <v/>
      </c>
    </row>
    <row r="58" ht="15" customHeight="1" s="107">
      <c r="A58" s="226">
        <f>'E M DR THEODORO MACHADO'!B5</f>
        <v/>
      </c>
      <c r="B58" s="227">
        <f>HYPERLINK("#'E M DR THEODORO MACHADO'!A1",'E M DR THEODORO MACHADO'!B2)</f>
        <v/>
      </c>
      <c r="C58" s="228">
        <f>'E M DR THEODORO MACHADO'!B3</f>
        <v/>
      </c>
    </row>
    <row r="59" ht="15" customHeight="1" s="107">
      <c r="A59" s="226">
        <f>'E M ARNALDO DYCKERHOFF'!B5</f>
        <v/>
      </c>
      <c r="B59" s="227">
        <f>HYPERLINK("#'E M ARNALDO DYCKERHOFF'!A1",'E M ARNALDO DYCKERHOFF'!B2)</f>
        <v/>
      </c>
      <c r="C59" s="228">
        <f>'E M ARNALDO DYCKERHOFF'!B3</f>
        <v/>
      </c>
    </row>
    <row r="60" ht="15" customHeight="1" s="107">
      <c r="A60" s="226">
        <f>'E M CARLOS CANEDO'!B5</f>
        <v/>
      </c>
      <c r="B60" s="227">
        <f>HYPERLINK("#'E M CARLOS CANEDO'!A1",'E M CARLOS CANEDO'!B2)</f>
        <v/>
      </c>
      <c r="C60" s="228">
        <f>'E M CARLOS CANEDO'!B3</f>
        <v/>
      </c>
    </row>
    <row r="61" ht="15" customHeight="1" s="107">
      <c r="A61" s="226">
        <f>'E M DR BARROS FRANCO'!B5</f>
        <v/>
      </c>
      <c r="B61" s="227">
        <f>HYPERLINK("#'E M DR BARROS FRANCO'!A1",'E M DR BARROS FRANCO'!B2)</f>
        <v/>
      </c>
      <c r="C61" s="228">
        <f>'E M DR BARROS FRANCO'!B3</f>
        <v/>
      </c>
    </row>
    <row r="62" ht="15" customHeight="1" s="107">
      <c r="A62" s="226">
        <f>'E M MAJOR THEÓFILO DE CARVALHO'!B5</f>
        <v/>
      </c>
      <c r="B62" s="227">
        <f>HYPERLINK("#'E M MAJOR THEÓFILO DE CARVALHO'!A1",'E M MAJOR THEÓFILO DE CARVALHO'!B2)</f>
        <v/>
      </c>
      <c r="C62" s="228">
        <f>'E M MAJOR THEÓFILO DE CARVALHO'!B3</f>
        <v/>
      </c>
    </row>
    <row r="63" ht="15" customHeight="1" s="107">
      <c r="A63" s="226">
        <f>'E M TAQUARIL'!B5</f>
        <v/>
      </c>
      <c r="B63" s="227">
        <f>HYPERLINK("#'E M TAQUARIL'!A1",'E M TAQUARIL'!B2)</f>
        <v/>
      </c>
      <c r="C63" s="228">
        <f>'E M TAQUARIL'!B3</f>
        <v/>
      </c>
    </row>
    <row r="64" ht="15" customHeight="1" s="107">
      <c r="A64" s="226">
        <f>'E M BEATRIZ ZALESKI'!B5</f>
        <v/>
      </c>
      <c r="B64" s="227">
        <f>HYPERLINK("#'E M BEATRIZ ZALESKI'!A1",'E M BEATRIZ ZALESKI'!B2)</f>
        <v/>
      </c>
      <c r="C64" s="228">
        <f>'E M BEATRIZ ZALESKI'!B3</f>
        <v/>
      </c>
    </row>
    <row r="65" ht="15" customHeight="1" s="107">
      <c r="A65" s="226">
        <f>'E M ANTÔNIO JOSÉ DE LIMA'!B5</f>
        <v/>
      </c>
      <c r="B65" s="227">
        <f>HYPERLINK("#'E M ANTÔNIO JOSÉ DE LIMA'!A1",'E M ANTÔNIO JOSÉ DE LIMA'!B2)</f>
        <v/>
      </c>
      <c r="C65" s="228">
        <f>'E M ANTÔNIO JOSÉ DE LIMA'!B3</f>
        <v/>
      </c>
    </row>
    <row r="66" ht="15" customHeight="1" s="107">
      <c r="A66" s="226">
        <f>'E M FELIX WAN ERVEN DE BARROS'!B5</f>
        <v/>
      </c>
      <c r="B66" s="227">
        <f>HYPERLINK("#'E M FELIX WAN ERVEN DE BARROS'!A1",'E M FELIX WAN ERVEN DE BARROS'!B2)</f>
        <v/>
      </c>
      <c r="C66" s="228">
        <f>'E M FELIX WAN ERVEN DE BARROS'!B3</f>
        <v/>
      </c>
    </row>
    <row r="67" ht="15" customHeight="1" s="107">
      <c r="A67" s="226">
        <f>'ESCOLA MUNICIPAL HILDEBRANDO DE'!B5</f>
        <v/>
      </c>
      <c r="B67" s="227">
        <f>HYPERLINK("#'ESCOLA MUNICIPAL HILDEBRANDO DE'!A1",'ESCOLA MUNICIPAL HILDEBRANDO DE'!B2)</f>
        <v/>
      </c>
      <c r="C67" s="228">
        <f>'ESCOLA MUNICIPAL HILDEBRANDO DE'!B3</f>
        <v/>
      </c>
    </row>
    <row r="68" ht="15" customHeight="1" s="107">
      <c r="A68" s="226">
        <f>'E M OSWALDO DA COSTA FRIAS'!B5</f>
        <v/>
      </c>
      <c r="B68" s="227">
        <f>HYPERLINK("#'E M OSWALDO DA COSTA FRIAS'!A1",'E M OSWALDO DA COSTA FRIAS'!B2)</f>
        <v/>
      </c>
      <c r="C68" s="228">
        <f>'E M OSWALDO DA COSTA FRIAS'!B3</f>
        <v/>
      </c>
    </row>
    <row r="69" ht="15" customHeight="1" s="107">
      <c r="A69" s="226">
        <f>'E MZDA CARMEM NUNES MARTINS'!B5</f>
        <v/>
      </c>
      <c r="B69" s="227">
        <f>HYPERLINK("#'E MZDA CARMEM NUNES MARTINS'!A1",'E MZDA CARMEM NUNES MARTINS'!B2)</f>
        <v/>
      </c>
      <c r="C69" s="228">
        <f>'E MZDA CARMEM NUNES MARTINS'!B3</f>
        <v/>
      </c>
    </row>
    <row r="70" ht="15" customHeight="1" s="107">
      <c r="A70" s="226">
        <f>'E MZDA AVELINO DE CARVALHO'!B5</f>
        <v/>
      </c>
      <c r="B70" s="227">
        <f>HYPERLINK("#'E MZDA AVELINO DE CARVALHO'!A1",'E MZDA AVELINO DE CARVALHO'!B2)</f>
        <v/>
      </c>
      <c r="C70" s="228">
        <f>'E MZDA AVELINO DE CARVALHO'!B3</f>
        <v/>
      </c>
    </row>
    <row r="71" ht="15" customHeight="1" s="107">
      <c r="A71" s="226">
        <f>'E M GERALDO VENTURA DIAS'!B5</f>
        <v/>
      </c>
      <c r="B71" s="227">
        <f>HYPERLINK("#'E M GERALDO VENTURA DIAS'!A1",'E M GERALDO VENTURA DIAS'!B2)</f>
        <v/>
      </c>
      <c r="C71" s="228">
        <f>'E M GERALDO VENTURA DIAS'!B3</f>
        <v/>
      </c>
    </row>
    <row r="72" ht="15" customHeight="1" s="107">
      <c r="A72" s="226">
        <f>'E M SALVADOR KLING'!B5</f>
        <v/>
      </c>
      <c r="B72" s="227">
        <f>HYPERLINK("#'E M SALVADOR KLING'!A1",'E M SALVADOR KLING'!B2)</f>
        <v/>
      </c>
      <c r="C72" s="228">
        <f>'E M SALVADOR KLING'!B3</f>
        <v/>
      </c>
    </row>
    <row r="73" ht="15" customHeight="1" s="107">
      <c r="A73" s="226">
        <f>'E M PREFEITO JAMIL SABRÁ'!B5</f>
        <v/>
      </c>
      <c r="B73" s="227">
        <f>HYPERLINK("#'E M PREFEITO JAMIL SABRÁ'!A1",'E M PREFEITO JAMIL SABRÁ'!B2)</f>
        <v/>
      </c>
      <c r="C73" s="228">
        <f>'E M PREFEITO JAMIL SABRÁ'!B3</f>
        <v/>
      </c>
    </row>
    <row r="74" ht="15" customHeight="1" s="107">
      <c r="A74" s="226">
        <f>'LICEU MUNICIPAL CARLOS CHAGAS F'!B5</f>
        <v/>
      </c>
      <c r="B74" s="227">
        <f>HYPERLINK("#'LICEU MUNICIPAL CARLOS CHAGAS F'!A1",'LICEU MUNICIPAL CARLOS CHAGAS F'!B2)</f>
        <v/>
      </c>
      <c r="C74" s="228">
        <f>'LICEU MUNICIPAL CARLOS CHAGAS F'!B3</f>
        <v/>
      </c>
    </row>
    <row r="75" ht="15" customHeight="1" s="107">
      <c r="A75" s="226">
        <f>'ESCOLA MUNICIPAL ANA MOHAMMAD'!B5</f>
        <v/>
      </c>
      <c r="B75" s="227">
        <f>HYPERLINK("#'ESCOLA MUNICIPAL ANA MOHAMMAD'!A1",'ESCOLA MUNICIPAL ANA MOHAMMAD'!B2)</f>
        <v/>
      </c>
      <c r="C75" s="228">
        <f>'ESCOLA MUNICIPAL ANA MOHAMMAD'!B3</f>
        <v/>
      </c>
    </row>
    <row r="76" ht="15" customHeight="1" s="107">
      <c r="A76" s="226">
        <f>'ESCOLA MUNICIPAL ALTO INDEPENDÊ'!B5</f>
        <v/>
      </c>
      <c r="B76" s="227">
        <f>HYPERLINK("#'ESCOLA MUNICIPAL ALTO INDEPENDÊ'!A1",'ESCOLA MUNICIPAL ALTO INDEPENDÊ'!B2)</f>
        <v/>
      </c>
      <c r="C76" s="228">
        <f>'ESCOLA MUNICIPAL ALTO INDEPENDÊ'!B3</f>
        <v/>
      </c>
    </row>
    <row r="77" ht="15" customHeight="1" s="107">
      <c r="A77" s="226">
        <f>'E M ALMIRANTE TAMANDARÉ'!B5</f>
        <v/>
      </c>
      <c r="B77" s="227">
        <f>HYPERLINK("#'E M ALMIRANTE TAMANDARÉ'!A1",'E M ALMIRANTE TAMANDARÉ'!B2)</f>
        <v/>
      </c>
      <c r="C77" s="228">
        <f>'E M ALMIRANTE TAMANDARÉ'!B3</f>
        <v/>
      </c>
    </row>
    <row r="78" ht="15" customHeight="1" s="107">
      <c r="A78" s="226">
        <f>'ESCOLA MUNICIPALIZADA FREI ANIC'!B5</f>
        <v/>
      </c>
      <c r="B78" s="227">
        <f>HYPERLINK("#'ESCOLA MUNICIPALIZADA FREI ANIC'!A1",'ESCOLA MUNICIPALIZADA FREI ANIC'!B2)</f>
        <v/>
      </c>
      <c r="C78" s="228">
        <f>'ESCOLA MUNICIPALIZADA FREI ANIC'!B3</f>
        <v/>
      </c>
    </row>
    <row r="79" ht="15" customHeight="1" s="107">
      <c r="A79" s="226">
        <f>'E M PEDRO AMADO'!B5</f>
        <v/>
      </c>
      <c r="B79" s="227">
        <f>HYPERLINK("#'E M PEDRO AMADO'!A1",'E M PEDRO AMADO'!B2)</f>
        <v/>
      </c>
      <c r="C79" s="228">
        <f>'E M PEDRO AMADO'!B3</f>
        <v/>
      </c>
    </row>
    <row r="80" ht="15" customHeight="1" s="107">
      <c r="A80" s="226">
        <f>'E M PROFª MARIA DA GLÓRIA QUEIR'!B5</f>
        <v/>
      </c>
      <c r="B80" s="227">
        <f>HYPERLINK("#'E M PROFª MARIA DA GLÓRIA QUEIR'!A1",'E M PROFª MARIA DA GLÓRIA QUEIR'!B2)</f>
        <v/>
      </c>
      <c r="C80" s="228">
        <f>'E M PROFª MARIA DA GLÓRIA QUEIR'!B3</f>
        <v/>
      </c>
    </row>
    <row r="81" ht="15" customHeight="1" s="107">
      <c r="A81" s="226">
        <f>'E M SEBASTIÃO LACERDA'!B5</f>
        <v/>
      </c>
      <c r="B81" s="227">
        <f>HYPERLINK("#'E M SEBASTIÃO LACERDA'!A1",'E M SEBASTIÃO LACERDA'!B2)</f>
        <v/>
      </c>
      <c r="C81" s="228">
        <f>'E M SEBASTIÃO LACERDA'!B3</f>
        <v/>
      </c>
    </row>
    <row r="82" ht="15" customHeight="1" s="107">
      <c r="A82" s="226">
        <f>'E M PROFESSOR FLÁVIO MACIEL'!B5</f>
        <v/>
      </c>
      <c r="B82" s="227">
        <f>HYPERLINK("#'E M PROFESSOR FLÁVIO MACIEL'!A1",'E M PROFESSOR FLÁVIO MACIEL'!B2)</f>
        <v/>
      </c>
      <c r="C82" s="228">
        <f>'E M PROFESSOR FLÁVIO MACIEL'!B3</f>
        <v/>
      </c>
    </row>
    <row r="83" ht="15" customHeight="1" s="107">
      <c r="A83" s="226">
        <f>'ESCOLA MUNICIPAL PAULO SALDANHA'!B5</f>
        <v/>
      </c>
      <c r="B83" s="227">
        <f>HYPERLINK("#'ESCOLA MUNICIPAL PAULO SALDANHA'!A1",'ESCOLA MUNICIPAL PAULO SALDANHA'!B2)</f>
        <v/>
      </c>
      <c r="C83" s="228">
        <f>'ESCOLA MUNICIPAL PAULO SALDANHA'!B3</f>
        <v/>
      </c>
    </row>
    <row r="84" ht="15" customHeight="1" s="107">
      <c r="A84" s="226">
        <f>'ESCOLA MUNICIPAL PROFESSOR JOSE'!B5</f>
        <v/>
      </c>
      <c r="B84" s="227">
        <f>HYPERLINK("#'ESCOLA MUNICIPAL PROFESSOR JOSE'!A1",'ESCOLA MUNICIPAL PROFESSOR JOSE'!B2)</f>
        <v/>
      </c>
      <c r="C84" s="228">
        <f>'ESCOLA MUNICIPAL PROFESSOR JOSE'!B3</f>
        <v/>
      </c>
    </row>
    <row r="85" ht="15" customHeight="1" s="107">
      <c r="A85" s="226">
        <f>'E M MONSENHOR CIRILLO CALAON'!B5</f>
        <v/>
      </c>
      <c r="B85" s="227">
        <f>HYPERLINK("#'E M MONSENHOR CIRILLO CALAON'!A1",'E M MONSENHOR CIRILLO CALAON'!B2)</f>
        <v/>
      </c>
      <c r="C85" s="228">
        <f>'E M MONSENHOR CIRILLO CALAON'!B3</f>
        <v/>
      </c>
    </row>
    <row r="86" ht="15" customHeight="1" s="107">
      <c r="A86" s="226">
        <f>'E M AMÉRICO FERNANDES RIBEIRO'!B5</f>
        <v/>
      </c>
      <c r="B86" s="227">
        <f>HYPERLINK("#'E M AMÉRICO FERNANDES RIBEIRO'!A1",'E M AMÉRICO FERNANDES RIBEIRO'!B2)</f>
        <v/>
      </c>
      <c r="C86" s="228">
        <f>'E M AMÉRICO FERNANDES RIBEIRO'!B3</f>
        <v/>
      </c>
    </row>
    <row r="87" ht="15" customHeight="1" s="107">
      <c r="A87" s="226">
        <f>'E M PROFª JANDIRA PEIXOTO BORDI'!B5</f>
        <v/>
      </c>
      <c r="B87" s="227">
        <f>HYPERLINK("#'E M PROFª JANDIRA PEIXOTO BORDI'!A1",'E M PROFª JANDIRA PEIXOTO BORDI'!B2)</f>
        <v/>
      </c>
      <c r="C87" s="228">
        <f>'E M PROFª JANDIRA PEIXOTO BORDI'!B3</f>
        <v/>
      </c>
    </row>
    <row r="88" ht="15" customHeight="1" s="107">
      <c r="A88" s="226">
        <f>'E M MONSENHOR JOÃO DE DEUS RODR'!B5</f>
        <v/>
      </c>
      <c r="B88" s="227">
        <f>HYPERLINK("#'E M MONSENHOR JOÃO DE DEUS RODR'!A1",'E M MONSENHOR JOÃO DE DEUS RODR'!B2)</f>
        <v/>
      </c>
      <c r="C88" s="228">
        <f>'E M MONSENHOR JOÃO DE DEUS RODR'!B3</f>
        <v/>
      </c>
    </row>
    <row r="89" ht="15" customHeight="1" s="107">
      <c r="A89" s="226">
        <f>'E M DOM MANOEL PEDRO DA CUNHA C'!B5</f>
        <v/>
      </c>
      <c r="B89" s="227">
        <f>HYPERLINK("#'E M DOM MANOEL PEDRO DA CUNHA C'!A1",'E M DOM MANOEL PEDRO DA CUNHA C'!B2)</f>
        <v/>
      </c>
      <c r="C89" s="228">
        <f>'E M DOM MANOEL PEDRO DA CUNHA C'!B3</f>
        <v/>
      </c>
    </row>
    <row r="90" ht="15" customHeight="1" s="107">
      <c r="A90" s="226">
        <f>'E M JOHANN NOEL'!B5</f>
        <v/>
      </c>
      <c r="B90" s="227">
        <f>HYPERLINK("#'E M JOHANN NOEL'!A1",'E M JOHANN NOEL'!B2)</f>
        <v/>
      </c>
      <c r="C90" s="228">
        <f>'E M JOHANN NOEL'!B3</f>
        <v/>
      </c>
    </row>
    <row r="91" ht="15" customHeight="1" s="107">
      <c r="A91" s="226">
        <f>'E MZDA SANTA TEREZINHA'!B5</f>
        <v/>
      </c>
      <c r="B91" s="227">
        <f>HYPERLINK("#'E MZDA SANTA TEREZINHA'!A1",'E MZDA SANTA TEREZINHA'!B2)</f>
        <v/>
      </c>
      <c r="C91" s="228">
        <f>'E MZDA SANTA TEREZINHA'!B3</f>
        <v/>
      </c>
    </row>
    <row r="92" ht="15" customHeight="1" s="107">
      <c r="A92" s="226">
        <f>'E M PAPA JOÃO PAULO II'!B5</f>
        <v/>
      </c>
      <c r="B92" s="227">
        <f>HYPERLINK("#'E M PAPA JOÃO PAULO II'!A1",'E M PAPA JOÃO PAULO II'!B2)</f>
        <v/>
      </c>
      <c r="C92" s="228">
        <f>'E M PAPA JOÃO PAULO II'!B3</f>
        <v/>
      </c>
    </row>
    <row r="93" ht="15" customHeight="1" s="107">
      <c r="A93" s="226">
        <f>'E M STEFAN ZWEIG'!B5</f>
        <v/>
      </c>
      <c r="B93" s="227">
        <f>HYPERLINK("#'E M STEFAN ZWEIG'!A1",'E M STEFAN ZWEIG'!B2)</f>
        <v/>
      </c>
      <c r="C93" s="228">
        <f>'E M STEFAN ZWEIG'!B3</f>
        <v/>
      </c>
    </row>
    <row r="94" ht="15" customHeight="1" s="107">
      <c r="A94" s="226">
        <f>'ESCOLA MUNICIPAL SENADOR MARIO '!B5</f>
        <v/>
      </c>
      <c r="B94" s="227">
        <f>HYPERLINK("#'ESCOLA MUNICIPAL SENADOR MARIO '!A1",'ESCOLA MUNICIPAL SENADOR MARIO '!B2)</f>
        <v/>
      </c>
      <c r="C94" s="228">
        <f>'ESCOLA MUNICIPAL SENADOR MARIO '!B3</f>
        <v/>
      </c>
    </row>
    <row r="95" ht="15" customHeight="1" s="107">
      <c r="A95" s="226">
        <f>'E M DR RUBENS DE CASTRO BOMTEMP'!B5</f>
        <v/>
      </c>
      <c r="B95" s="227">
        <f>HYPERLINK("#'E M DR RUBENS DE CASTRO BOMTEMP'!A1",'E M DR RUBENS DE CASTRO BOMTEMP'!B2)</f>
        <v/>
      </c>
      <c r="C95" s="228">
        <f>'E M DR RUBENS DE CASTRO BOMTEMP'!B3</f>
        <v/>
      </c>
    </row>
    <row r="96" ht="15" customHeight="1" s="107">
      <c r="A96" s="226">
        <f>'E M PAULO FREIRE'!B5</f>
        <v/>
      </c>
      <c r="B96" s="227">
        <f>HYPERLINK("#'E M PAULO FREIRE'!A1",'E M PAULO FREIRE'!B2)</f>
        <v/>
      </c>
      <c r="C96" s="228">
        <f>'E M PAULO FREIRE'!B3</f>
        <v/>
      </c>
    </row>
    <row r="97" ht="15" customHeight="1" s="107">
      <c r="A97" s="226">
        <f>'E M PROFª MARIA CAMPOS DA SILVA'!B5</f>
        <v/>
      </c>
      <c r="B97" s="227">
        <f>HYPERLINK("#'E M PROFª MARIA CAMPOS DA SILVA'!A1",'E M PROFª MARIA CAMPOS DA SILVA'!B2)</f>
        <v/>
      </c>
      <c r="C97" s="228">
        <f>'E M PROFª MARIA CAMPOS DA SILVA'!B3</f>
        <v/>
      </c>
    </row>
    <row r="98" ht="15" customHeight="1" s="107">
      <c r="A98" s="226">
        <f>'E M HERCÍLIA HENRIQUES MORET'!B5</f>
        <v/>
      </c>
      <c r="B98" s="227">
        <f>HYPERLINK("#'E M HERCÍLIA HENRIQUES MORET'!A1",'E M HERCÍLIA HENRIQUES MORET'!B2)</f>
        <v/>
      </c>
      <c r="C98" s="228">
        <f>'E M HERCÍLIA HENRIQUES MORET'!B3</f>
        <v/>
      </c>
    </row>
    <row r="99" ht="15" customHeight="1" s="107">
      <c r="A99" s="226">
        <f>'ESCOLA MUNICIPALIZADA MOYSÉS FU'!B5</f>
        <v/>
      </c>
      <c r="B99" s="227">
        <f>HYPERLINK("#'ESCOLA MUNICIPALIZADA MOYSÉS FU'!A1",'ESCOLA MUNICIPALIZADA MOYSÉS FU'!B2)</f>
        <v/>
      </c>
      <c r="C99" s="228">
        <f>'ESCOLA MUNICIPALIZADA MOYSÉS FU'!B3</f>
        <v/>
      </c>
    </row>
    <row r="100" ht="15" customHeight="1" s="107">
      <c r="A100" s="226">
        <f>'CIEP BRIZOLÃO 474 MAESTRO GUERR'!B5</f>
        <v/>
      </c>
      <c r="B100" s="227">
        <f>HYPERLINK("#'CIEP BRIZOLÃO 474 MAESTRO GUERR'!A1",'CIEP BRIZOLÃO 474 MAESTRO GUERR'!B2)</f>
        <v/>
      </c>
      <c r="C100" s="228">
        <f>'CIEP BRIZOLÃO 474 MAESTRO GUERR'!B3</f>
        <v/>
      </c>
    </row>
    <row r="101" ht="15" customHeight="1" s="107">
      <c r="A101" s="226">
        <f>'CENTRO DE ENSINO PROF DARCY RIB'!B5</f>
        <v/>
      </c>
      <c r="B101" s="227">
        <f>HYPERLINK("#'CENTRO DE ENSINO PROF DARCY RIB'!A1",'CENTRO DE ENSINO PROF DARCY RIB'!B2)</f>
        <v/>
      </c>
      <c r="C101" s="228">
        <f>'CENTRO DE ENSINO PROF DARCY RIB'!B3</f>
        <v/>
      </c>
    </row>
    <row r="102" ht="15" customHeight="1" s="107">
      <c r="A102" s="226">
        <f>'CASA DA EDUCAÇÃO VISCONDE DE MA'!B5</f>
        <v/>
      </c>
      <c r="B102" s="227">
        <f>HYPERLINK("#'CASA DA EDUCAÇÃO VISCONDE DE MA'!A1",'CASA DA EDUCAÇÃO VISCONDE DE MA'!B2)</f>
        <v/>
      </c>
      <c r="C102" s="228">
        <f>'CASA DA EDUCAÇÃO VISCONDE DE MA'!B3</f>
        <v/>
      </c>
    </row>
    <row r="103" ht="15" customHeight="1" s="107">
      <c r="A103" s="226">
        <f>'CENTRO DE REFERÊNCIA EM EDUCAÇÃ'!B5</f>
        <v/>
      </c>
      <c r="B103" s="227">
        <f>HYPERLINK("#'CENTRO DE REFERÊNCIA EM EDUCAÇÃ'!A1",'CENTRO DE REFERÊNCIA EM EDUCAÇÃ'!B2)</f>
        <v/>
      </c>
      <c r="C103" s="228">
        <f>'CENTRO DE REFERÊNCIA EM EDUCAÇÃ'!B3</f>
        <v/>
      </c>
    </row>
    <row r="104" ht="15" customHeight="1" s="107">
      <c r="A104" s="226">
        <f>'E M PROF NILTON COSTA PEREIRA D'!B5</f>
        <v/>
      </c>
      <c r="B104" s="227">
        <f>HYPERLINK("#'E M PROF NILTON COSTA PEREIRA D'!A1",'E M PROF NILTON COSTA PEREIRA D'!B2)</f>
        <v/>
      </c>
      <c r="C104" s="228">
        <f>'E M PROF NILTON COSTA PEREIRA D'!B3</f>
        <v/>
      </c>
    </row>
    <row r="105" ht="15" customHeight="1" s="107">
      <c r="A105" s="226">
        <f>'COLÉGIO GUNNAR VINGREN DE PETRÓ'!B5</f>
        <v/>
      </c>
      <c r="B105" s="227">
        <f>HYPERLINK("#'COLÉGIO GUNNAR VINGREN DE PETRÓ'!A1",'COLÉGIO GUNNAR VINGREN DE PETRÓ'!B2)</f>
        <v/>
      </c>
      <c r="C105" s="228">
        <f>'COLÉGIO GUNNAR VINGREN DE PETRÓ'!B3</f>
        <v/>
      </c>
    </row>
    <row r="106" ht="15" customHeight="1" s="107">
      <c r="A106" s="226">
        <f>'CENTRO DE REFERÊNCIA EM EDUC 2'!B5</f>
        <v/>
      </c>
      <c r="B106" s="227">
        <f>HYPERLINK("#'CENTRO DE REFERÊNCIA EM EDUC 2'!A1",'CENTRO DE REFERÊNCIA EM EDUC 2'!B2)</f>
        <v/>
      </c>
      <c r="C106" s="228">
        <f>'CENTRO DE REFERÊNCIA EM EDUC 2'!B3</f>
        <v/>
      </c>
    </row>
    <row r="107" ht="15" customHeight="1" s="107">
      <c r="A107" s="226">
        <f>'ESCOLA SANTA LUIZA DE MARILLAC'!B5</f>
        <v/>
      </c>
      <c r="B107" s="227">
        <f>HYPERLINK("#'ESCOLA SANTA LUIZA DE MARILLAC'!A1",'ESCOLA SANTA LUIZA DE MARILLAC'!B2)</f>
        <v/>
      </c>
      <c r="C107" s="228">
        <f>'ESCOLA SANTA LUIZA DE MARILLAC'!B3</f>
        <v/>
      </c>
    </row>
    <row r="108" ht="15" customHeight="1" s="107">
      <c r="A108" s="226">
        <f>'CENTRO EDUCACIONAL COMUNIDADE S'!B5</f>
        <v/>
      </c>
      <c r="B108" s="227">
        <f>HYPERLINK("#'CENTRO EDUCACIONAL COMUNIDADE S'!A1",'CENTRO EDUCACIONAL COMUNIDADE S'!B2)</f>
        <v/>
      </c>
      <c r="C108" s="228">
        <f>'CENTRO EDUCACIONAL COMUNIDADE S'!B3</f>
        <v/>
      </c>
    </row>
    <row r="109" ht="15" customHeight="1" s="107">
      <c r="A109" s="226">
        <f>'EDUCANDÁRIO TERRA SANTA'!B5</f>
        <v/>
      </c>
      <c r="B109" s="227">
        <f>HYPERLINK("#'EDUCANDÁRIO TERRA SANTA'!A1",'EDUCANDÁRIO TERRA SANTA'!B2)</f>
        <v/>
      </c>
      <c r="C109" s="228">
        <f>'EDUCANDÁRIO TERRA SANTA'!B3</f>
        <v/>
      </c>
    </row>
    <row r="110" ht="15" customHeight="1" s="107">
      <c r="A110" s="226">
        <f>'ESCOLA GERMANO VALENTE'!B5</f>
        <v/>
      </c>
      <c r="B110" s="227">
        <f>HYPERLINK("#'ESCOLA GERMANO VALENTE'!A1",'ESCOLA GERMANO VALENTE'!B2)</f>
        <v/>
      </c>
      <c r="C110" s="228">
        <f>'ESCOLA GERMANO VALENTE'!B3</f>
        <v/>
      </c>
    </row>
    <row r="111" ht="15" customHeight="1" s="107">
      <c r="A111" s="226">
        <f>'ESCOLA DAS COMUNIDADES SANTO AN'!B5</f>
        <v/>
      </c>
      <c r="B111" s="227">
        <f>HYPERLINK("#'ESCOLA DAS COMUNIDADES SANTO AN'!A1",'ESCOLA DAS COMUNIDADES SANTO AN'!B2)</f>
        <v/>
      </c>
      <c r="C111" s="228">
        <f>'ESCOLA DAS COMUNIDADES SANTO AN'!B3</f>
        <v/>
      </c>
    </row>
    <row r="112" ht="15" customHeight="1" s="107">
      <c r="A112" s="226">
        <f>'ESCOLA DOMÉSTICA NOSSA SENHORA '!B5</f>
        <v/>
      </c>
      <c r="B112" s="227">
        <f>HYPERLINK("#'ESCOLA DOMÉSTICA NOSSA SENHORA '!A1",'ESCOLA DOMÉSTICA NOSSA SENHORA '!B2)</f>
        <v/>
      </c>
      <c r="C112" s="228">
        <f>'ESCOLA DOMÉSTICA NOSSA SENHORA '!B3</f>
        <v/>
      </c>
    </row>
    <row r="113" ht="15" customHeight="1" s="107">
      <c r="A113" s="226">
        <f>'ESCOLA PAROQUIAL NOSSA SENHO 3'!B5</f>
        <v/>
      </c>
      <c r="B113" s="227">
        <f>HYPERLINK("#'ESCOLA PAROQUIAL NOSSA SENHO 3'!A1",'ESCOLA PAROQUIAL NOSSA SENHO 3'!B2)</f>
        <v/>
      </c>
      <c r="C113" s="228">
        <f>'ESCOLA PAROQUIAL NOSSA SENHO 3'!B3</f>
        <v/>
      </c>
    </row>
    <row r="114" ht="15" customHeight="1" s="107">
      <c r="A114" s="226">
        <f>'ESCOLA MONSENHOR GENTIL'!B5</f>
        <v/>
      </c>
      <c r="B114" s="227">
        <f>HYPERLINK("#'ESCOLA MONSENHOR GENTIL'!A1",'ESCOLA MONSENHOR GENTIL'!B2)</f>
        <v/>
      </c>
      <c r="C114" s="228">
        <f>'ESCOLA MONSENHOR GENTIL'!B3</f>
        <v/>
      </c>
    </row>
    <row r="115" ht="15" customHeight="1" s="107">
      <c r="A115" s="226">
        <f>'ESCOLA PAROQUIAL BOM JESUS'!B5</f>
        <v/>
      </c>
      <c r="B115" s="227">
        <f>HYPERLINK("#'ESCOLA PAROQUIAL BOM JESUS'!A1",'ESCOLA PAROQUIAL BOM JESUS'!B2)</f>
        <v/>
      </c>
      <c r="C115" s="228">
        <f>'ESCOLA PAROQUIAL BOM JESUS'!B3</f>
        <v/>
      </c>
    </row>
    <row r="116" ht="15" customHeight="1" s="107">
      <c r="A116" s="226">
        <f>'ESCOLA PAROQUIAL CARLOS DEMIÁ'!B5</f>
        <v/>
      </c>
      <c r="B116" s="227">
        <f>HYPERLINK("#'ESCOLA PAROQUIAL CARLOS DEMIÁ'!A1",'ESCOLA PAROQUIAL CARLOS DEMIÁ'!B2)</f>
        <v/>
      </c>
      <c r="C116" s="228">
        <f>'ESCOLA PAROQUIAL CARLOS DEMIÁ'!B3</f>
        <v/>
      </c>
    </row>
    <row r="117" ht="15" customHeight="1" s="107">
      <c r="A117" s="226">
        <f>'ESCOLA PAROQUIAL NOSSA SENHO 2'!B5</f>
        <v/>
      </c>
      <c r="B117" s="227">
        <f>HYPERLINK("#'ESCOLA PAROQUIAL NOSSA SENHO 2'!A1",'ESCOLA PAROQUIAL NOSSA SENHO 2'!B2)</f>
        <v/>
      </c>
      <c r="C117" s="228">
        <f>'ESCOLA PAROQUIAL NOSSA SENHO 2'!B3</f>
        <v/>
      </c>
    </row>
    <row r="118" ht="15" customHeight="1" s="107">
      <c r="A118" s="226">
        <f>'ESCOLA PAROQUIAL NOSSA SENHORA '!B5</f>
        <v/>
      </c>
      <c r="B118" s="227">
        <f>HYPERLINK("#'ESCOLA PAROQUIAL NOSSA SENHORA '!A1",'ESCOLA PAROQUIAL NOSSA SENHORA '!B2)</f>
        <v/>
      </c>
      <c r="C118" s="228">
        <f>'ESCOLA PAROQUIAL NOSSA SENHORA '!B3</f>
        <v/>
      </c>
    </row>
    <row r="119" ht="15" customHeight="1" s="107">
      <c r="A119" s="226">
        <f>'ESCOLA PAROQUIAL SÃO PEDRO DE A'!B5</f>
        <v/>
      </c>
      <c r="B119" s="227">
        <f>HYPERLINK("#'ESCOLA PAROQUIAL SÃO PEDRO DE A'!A1",'ESCOLA PAROQUIAL SÃO PEDRO DE A'!B2)</f>
        <v/>
      </c>
      <c r="C119" s="228">
        <f>'ESCOLA PAROQUIAL SÃO PEDRO DE A'!B3</f>
        <v/>
      </c>
    </row>
    <row r="120" ht="15" customHeight="1" s="107">
      <c r="A120" s="226">
        <f>'ESCOLA SANTA MARIA GORETTI'!B5</f>
        <v/>
      </c>
      <c r="B120" s="227">
        <f>HYPERLINK("#'ESCOLA SANTA MARIA GORETTI'!A1",'ESCOLA SANTA MARIA GORETTI'!B2)</f>
        <v/>
      </c>
      <c r="C120" s="228">
        <f>'ESCOLA SANTA MARIA GORETTI'!B3</f>
        <v/>
      </c>
    </row>
    <row r="121" ht="15" customHeight="1" s="107">
      <c r="A121" s="226">
        <f>'ESCOLA SANTA RITA DE CASSIA'!B5</f>
        <v/>
      </c>
      <c r="B121" s="227">
        <f>HYPERLINK("#'ESCOLA SANTA RITA DE CASSIA'!A1",'ESCOLA SANTA RITA DE CASSIA'!B2)</f>
        <v/>
      </c>
      <c r="C121" s="228">
        <f>'ESCOLA SANTA RITA DE CASSIA'!B3</f>
        <v/>
      </c>
    </row>
    <row r="122" ht="15" customHeight="1" s="107">
      <c r="A122" s="226">
        <f>'ESCOLA SÃO CRISTÓVÃO'!B5</f>
        <v/>
      </c>
      <c r="B122" s="227">
        <f>HYPERLINK("#'ESCOLA SÃO CRISTÓVÃO'!A1",'ESCOLA SÃO CRISTÓVÃO'!B2)</f>
        <v/>
      </c>
      <c r="C122" s="228">
        <f>'ESCOLA SÃO CRISTÓVÃO'!B3</f>
        <v/>
      </c>
    </row>
    <row r="123" ht="15" customHeight="1" s="107">
      <c r="A123" s="226">
        <f>'ESCOLA PAROQUIAL SÃO FRANCISCO '!B5</f>
        <v/>
      </c>
      <c r="B123" s="227">
        <f>HYPERLINK("#'ESCOLA PAROQUIAL SÃO FRANCISCO '!A1",'ESCOLA PAROQUIAL SÃO FRANCISCO '!B2)</f>
        <v/>
      </c>
      <c r="C123" s="228">
        <f>'ESCOLA PAROQUIAL SÃO FRANCISCO '!B3</f>
        <v/>
      </c>
    </row>
    <row r="124" ht="15" customHeight="1" s="107">
      <c r="A124" s="226">
        <f>'ESCOLA SAO FRANCISCO DE ASSIS'!B5</f>
        <v/>
      </c>
      <c r="B124" s="227">
        <f>HYPERLINK("#'ESCOLA SAO FRANCISCO DE ASSIS'!A1",'ESCOLA SAO FRANCISCO DE ASSIS'!B2)</f>
        <v/>
      </c>
      <c r="C124" s="228">
        <f>'ESCOLA SAO FRANCISCO DE ASSIS'!B3</f>
        <v/>
      </c>
    </row>
    <row r="125" ht="15" customHeight="1" s="107">
      <c r="A125" s="226">
        <f>'ESCOLA SÃO JOÃO BATISTA'!B5</f>
        <v/>
      </c>
      <c r="B125" s="227">
        <f>HYPERLINK("#'ESCOLA SÃO JOÃO BATISTA'!A1",'ESCOLA SÃO JOÃO BATISTA'!B2)</f>
        <v/>
      </c>
      <c r="C125" s="228">
        <f>'ESCOLA SÃO JOÃO BATISTA'!B3</f>
        <v/>
      </c>
    </row>
    <row r="126" ht="15" customHeight="1" s="107">
      <c r="A126" s="226">
        <f>'ESCOLA SÃO JUDAS TADEU'!B5</f>
        <v/>
      </c>
      <c r="B126" s="227">
        <f>HYPERLINK("#'ESCOLA SÃO JUDAS TADEU'!A1",'ESCOLA SÃO JUDAS TADEU'!B2)</f>
        <v/>
      </c>
      <c r="C126" s="228">
        <f>'ESCOLA SÃO JUDAS TADEU'!B3</f>
        <v/>
      </c>
    </row>
    <row r="127" ht="15" customHeight="1" s="107">
      <c r="A127" s="226">
        <f>'ESCOLA PAROQUIAL SÃO PIO X'!B5</f>
        <v/>
      </c>
      <c r="B127" s="227">
        <f>HYPERLINK("#'ESCOLA PAROQUIAL SÃO PIO X'!A1",'ESCOLA PAROQUIAL SÃO PIO X'!B2)</f>
        <v/>
      </c>
      <c r="C127" s="228">
        <f>'ESCOLA PAROQUIAL SÃO PIO X'!B3</f>
        <v/>
      </c>
    </row>
    <row r="128" ht="15" customHeight="1" s="107">
      <c r="A128" s="226">
        <f>'COLÉGIO ANGLICANO DE ARARAS'!B5</f>
        <v/>
      </c>
      <c r="B128" s="227">
        <f>HYPERLINK("#'COLÉGIO ANGLICANO DE ARARAS'!A1",'COLÉGIO ANGLICANO DE ARARAS'!B2)</f>
        <v/>
      </c>
      <c r="C128" s="228">
        <f>'COLÉGIO ANGLICANO DE ARARAS'!B3</f>
        <v/>
      </c>
    </row>
    <row r="129" ht="15" customHeight="1" s="107">
      <c r="A129" s="226">
        <f>'COLEGIO VICENTINO PADRE CORRÊA'!B5</f>
        <v/>
      </c>
      <c r="B129" s="227">
        <f>HYPERLINK("#'COLEGIO VICENTINO PADRE CORRÊA'!A1",'COLEGIO VICENTINO PADRE CORRÊA'!B2)</f>
        <v/>
      </c>
      <c r="C129" s="228">
        <f>'COLEGIO VICENTINO PADRE CORRÊA'!B3</f>
        <v/>
      </c>
    </row>
    <row r="130" ht="15" customHeight="1" s="107">
      <c r="A130" s="226">
        <f>'ESCOLA NOSSA SENHORA DE FÁTIMA'!B5</f>
        <v/>
      </c>
      <c r="B130" s="227">
        <f>HYPERLINK("#'ESCOLA NOSSA SENHORA DE FÁTIMA'!A1",'ESCOLA NOSSA SENHORA DE FÁTIMA'!B2)</f>
        <v/>
      </c>
      <c r="C130" s="228">
        <f>'ESCOLA NOSSA SENHORA DE FÁTIMA'!B3</f>
        <v/>
      </c>
    </row>
    <row r="131" ht="15" customHeight="1" s="107">
      <c r="A131" s="226">
        <f>'ESCOLA PAROQUIAL DA ALCOBAÇA'!B5</f>
        <v/>
      </c>
      <c r="B131" s="227">
        <f>HYPERLINK("#'ESCOLA PAROQUIAL DA ALCOBAÇA'!A1",'ESCOLA PAROQUIAL DA ALCOBAÇA'!B2)</f>
        <v/>
      </c>
      <c r="C131" s="228">
        <f>'ESCOLA PAROQUIAL DA ALCOBAÇA'!B3</f>
        <v/>
      </c>
    </row>
    <row r="132" ht="15" customHeight="1" s="107">
      <c r="A132" s="226">
        <f>'ESCOLA PAROQUIAL DO LOTEAMENTO '!B5</f>
        <v/>
      </c>
      <c r="B132" s="227">
        <f>HYPERLINK("#'ESCOLA PAROQUIAL DO LOTEAMENTO '!A1",'ESCOLA PAROQUIAL DO LOTEAMENTO '!B2)</f>
        <v/>
      </c>
      <c r="C132" s="228">
        <f>'ESCOLA PAROQUIAL DO LOTEAMENTO '!B3</f>
        <v/>
      </c>
    </row>
    <row r="133" ht="15" customHeight="1" s="107">
      <c r="A133" s="226">
        <f>'ESCOLA PAROQUIAL SANTA BERNADET'!B5</f>
        <v/>
      </c>
      <c r="B133" s="227">
        <f>HYPERLINK("#'ESCOLA PAROQUIAL SANTA BERNADET'!A1",'ESCOLA PAROQUIAL SANTA BERNADET'!B2)</f>
        <v/>
      </c>
      <c r="C133" s="228">
        <f>'ESCOLA PAROQUIAL SANTA BERNADET'!B3</f>
        <v/>
      </c>
    </row>
    <row r="134" ht="15" customHeight="1" s="107">
      <c r="A134" s="226">
        <f>'ESCOLA SÃO GERALDO'!B5</f>
        <v/>
      </c>
      <c r="B134" s="227">
        <f>HYPERLINK("#'ESCOLA SÃO GERALDO'!A1",'ESCOLA SÃO GERALDO'!B2)</f>
        <v/>
      </c>
      <c r="C134" s="228">
        <f>'ESCOLA SÃO GERALDO'!B3</f>
        <v/>
      </c>
    </row>
    <row r="135" ht="15" customHeight="1" s="107">
      <c r="A135" s="226">
        <f>'ESCOLA SANTO ANTÔNIO'!B5</f>
        <v/>
      </c>
      <c r="B135" s="227">
        <f>HYPERLINK("#'ESCOLA SANTO ANTÔNIO'!A1",'ESCOLA SANTO ANTÔNIO'!B2)</f>
        <v/>
      </c>
      <c r="C135" s="228">
        <f>'ESCOLA SANTO ANTÔNIO'!B3</f>
        <v/>
      </c>
    </row>
    <row r="136" ht="15" customHeight="1" s="107">
      <c r="A136" s="226">
        <f>'LICEU SÃO JOSÉ DE ITAIPAVA'!B5</f>
        <v/>
      </c>
      <c r="B136" s="227">
        <f>HYPERLINK("#'LICEU SÃO JOSÉ DE ITAIPAVA'!A1",'LICEU SÃO JOSÉ DE ITAIPAVA'!B2)</f>
        <v/>
      </c>
      <c r="C136" s="228">
        <f>'LICEU SÃO JOSÉ DE ITAIPAVA'!B3</f>
        <v/>
      </c>
    </row>
    <row r="137" ht="15" customHeight="1" s="107">
      <c r="A137" s="226">
        <f>'ESCOLA SÃO JOSÉ DO CAETITU'!B5</f>
        <v/>
      </c>
      <c r="B137" s="227">
        <f>HYPERLINK("#'ESCOLA SÃO JOSÉ DO CAETITU'!A1",'ESCOLA SÃO JOSÉ DO CAETITU'!B2)</f>
        <v/>
      </c>
      <c r="C137" s="228">
        <f>'ESCOLA SÃO JOSÉ DO CAETITU'!B3</f>
        <v/>
      </c>
    </row>
    <row r="138" ht="15" customHeight="1" s="107">
      <c r="A138" s="226">
        <f>'CEI ASSOCIAÇÃO BENEFICENTE FAZE'!B5</f>
        <v/>
      </c>
      <c r="B138" s="227">
        <f>HYPERLINK("#'CEI ASSOCIAÇÃO BENEFICENTE FAZE'!A1",'CEI ASSOCIAÇÃO BENEFICENTE FAZE'!B2)</f>
        <v/>
      </c>
      <c r="C138" s="228">
        <f>'CEI ASSOCIAÇÃO BENEFICENTE FAZE'!B3</f>
        <v/>
      </c>
    </row>
    <row r="139" ht="15" customHeight="1" s="107">
      <c r="A139" s="226">
        <f>'CEI CASA DA SOLIDARIEDADE DE NO'!B5</f>
        <v/>
      </c>
      <c r="B139" s="227">
        <f>HYPERLINK("#'CEI CASA DA SOLIDARIEDADE DE NO'!A1",'CEI CASA DA SOLIDARIEDADE DE NO'!B2)</f>
        <v/>
      </c>
      <c r="C139" s="228">
        <f>'CEI CASA DA SOLIDARIEDADE DE NO'!B3</f>
        <v/>
      </c>
    </row>
    <row r="140" ht="15" customHeight="1" s="107">
      <c r="A140" s="226">
        <f>'CEI LULU MONTEIRO DE CASTRO'!B5</f>
        <v/>
      </c>
      <c r="B140" s="227">
        <f>HYPERLINK("#'CEI LULU MONTEIRO DE CASTRO'!A1",'CEI LULU MONTEIRO DE CASTRO'!B2)</f>
        <v/>
      </c>
      <c r="C140" s="228">
        <f>'CEI LULU MONTEIRO DE CASTRO'!B3</f>
        <v/>
      </c>
    </row>
    <row r="141" ht="15" customHeight="1" s="107">
      <c r="A141" s="226">
        <f>'CEI SÃO JOÃO BATISTA'!B5</f>
        <v/>
      </c>
      <c r="B141" s="227">
        <f>HYPERLINK("#'CEI SÃO JOÃO BATISTA'!A1",'CEI SÃO JOÃO BATISTA'!B2)</f>
        <v/>
      </c>
      <c r="C141" s="228">
        <f>'CEI SÃO JOÃO BATISTA'!B3</f>
        <v/>
      </c>
    </row>
    <row r="142" ht="15" customHeight="1" s="107">
      <c r="A142" s="226">
        <f>'CEI SÃO FRANCISCO ASSIS'!B5</f>
        <v/>
      </c>
      <c r="B142" s="227">
        <f>HYPERLINK("#'CEI SÃO FRANCISCO ASSIS'!A1",'CEI SÃO FRANCISCO ASSIS'!B2)</f>
        <v/>
      </c>
      <c r="C142" s="228">
        <f>'CEI SÃO FRANCISCO ASSIS'!B3</f>
        <v/>
      </c>
    </row>
    <row r="143" ht="15" customHeight="1" s="107">
      <c r="A143" s="226">
        <f>'CEI A SEMENTEIRA'!B5</f>
        <v/>
      </c>
      <c r="B143" s="227">
        <f>HYPERLINK("#'CEI A SEMENTEIRA'!A1",'CEI A SEMENTEIRA'!B2)</f>
        <v/>
      </c>
      <c r="C143" s="228">
        <f>'CEI A SEMENTEIRA'!B3</f>
        <v/>
      </c>
    </row>
    <row r="144" ht="15" customHeight="1" s="107">
      <c r="A144" s="226">
        <f>'CEI FREI LEÃO'!B5</f>
        <v/>
      </c>
      <c r="B144" s="227">
        <f>HYPERLINK("#'CEI FREI LEÃO'!A1",'CEI FREI LEÃO'!B2)</f>
        <v/>
      </c>
      <c r="C144" s="228">
        <f>'CEI FREI LEÃO'!B3</f>
        <v/>
      </c>
    </row>
    <row r="145" ht="15" customHeight="1" s="107">
      <c r="A145" s="226">
        <f>'CEI ROMANO CANAVESE'!B5</f>
        <v/>
      </c>
      <c r="B145" s="227">
        <f>HYPERLINK("#'CEI ROMANO CANAVESE'!A1",'CEI ROMANO CANAVESE'!B2)</f>
        <v/>
      </c>
      <c r="C145" s="228">
        <f>'CEI ROMANO CANAVESE'!B3</f>
        <v/>
      </c>
    </row>
    <row r="146" ht="15" customHeight="1" s="107">
      <c r="A146" s="226">
        <f>'CEI ANDRÉ VANZAN'!B5</f>
        <v/>
      </c>
      <c r="B146" s="227">
        <f>HYPERLINK("#'CEI ANDRÉ VANZAN'!A1",'CEI ANDRÉ VANZAN'!B2)</f>
        <v/>
      </c>
      <c r="C146" s="228">
        <f>'CEI ANDRÉ VANZAN'!B3</f>
        <v/>
      </c>
    </row>
    <row r="147" ht="15" customHeight="1" s="107">
      <c r="A147" s="226">
        <f>'CEI CRIANÇA SANTA EDWIGES'!B5</f>
        <v/>
      </c>
      <c r="B147" s="227">
        <f>HYPERLINK("#'CEI CRIANÇA SANTA EDWIGES'!A1",'CEI CRIANÇA SANTA EDWIGES'!B2)</f>
        <v/>
      </c>
      <c r="C147" s="228">
        <f>'CEI CRIANÇA SANTA EDWIGES'!B3</f>
        <v/>
      </c>
    </row>
    <row r="148" ht="15" customHeight="1" s="107">
      <c r="A148" s="226">
        <f>'CENTRO DE EDUCAÇÃO INFANTIL IRM'!B5</f>
        <v/>
      </c>
      <c r="B148" s="227">
        <f>HYPERLINK("#'CENTRO DE EDUCAÇÃO INFANTIL IRM'!A1",'CENTRO DE EDUCAÇÃO INFANTIL IRM'!B2)</f>
        <v/>
      </c>
      <c r="C148" s="228">
        <f>'CENTRO DE EDUCAÇÃO INFANTIL IRM'!B3</f>
        <v/>
      </c>
    </row>
    <row r="149" ht="15" customHeight="1" s="107">
      <c r="A149" s="226">
        <f>'CEI PEDRAS BRANCAS'!B5</f>
        <v/>
      </c>
      <c r="B149" s="227">
        <f>HYPERLINK("#'CEI PEDRAS BRANCAS'!A1",'CEI PEDRAS BRANCAS'!B2)</f>
        <v/>
      </c>
      <c r="C149" s="228">
        <f>'CEI PEDRAS BRANCAS'!B3</f>
        <v/>
      </c>
    </row>
    <row r="150" ht="15" customHeight="1" s="107">
      <c r="A150" s="226">
        <f>'CEI INÊS BELARMINO DE SOUZA'!B5</f>
        <v/>
      </c>
      <c r="B150" s="227">
        <f>HYPERLINK("#'CEI INÊS BELARMINO DE SOUZA'!A1",'CEI INÊS BELARMINO DE SOUZA'!B2)</f>
        <v/>
      </c>
      <c r="C150" s="228">
        <f>'CEI INÊS BELARMINO DE SOUZA'!B3</f>
        <v/>
      </c>
    </row>
    <row r="151" ht="15" customHeight="1" s="107">
      <c r="A151" s="226">
        <f>'CEI PROFª ROSANGELA DA SILVA LE'!B5</f>
        <v/>
      </c>
      <c r="B151" s="227">
        <f>HYPERLINK("#'CEI PROFª ROSANGELA DA SILVA LE'!A1",'CEI PROFª ROSANGELA DA SILVA LE'!B2)</f>
        <v/>
      </c>
      <c r="C151" s="228">
        <f>'CEI PROFª ROSANGELA DA SILVA LE'!B3</f>
        <v/>
      </c>
    </row>
    <row r="152" ht="15" customHeight="1" s="107">
      <c r="A152" s="226">
        <f>'CEI VILA SAO JOSE'!B5</f>
        <v/>
      </c>
      <c r="B152" s="227">
        <f>HYPERLINK("#'CEI VILA SAO JOSE'!A1",'CEI VILA SAO JOSE'!B2)</f>
        <v/>
      </c>
      <c r="C152" s="228">
        <f>'CEI VILA SAO JOSE'!B3</f>
        <v/>
      </c>
    </row>
    <row r="153" ht="15" customHeight="1" s="107">
      <c r="A153" s="226">
        <f>'CEI MARIA THEREZA KLING DO VALL'!B5</f>
        <v/>
      </c>
      <c r="B153" s="227">
        <f>HYPERLINK("#'CEI MARIA THEREZA KLING DO VALL'!A1",'CEI MARIA THEREZA KLING DO VALL'!B2)</f>
        <v/>
      </c>
      <c r="C153" s="228">
        <f>'CEI MARIA THEREZA KLING DO VALL'!B3</f>
        <v/>
      </c>
    </row>
    <row r="154" ht="15" customHeight="1" s="107">
      <c r="A154" s="226">
        <f>'CEI DEISE ELOY GOMES'!B5</f>
        <v/>
      </c>
      <c r="B154" s="227">
        <f>HYPERLINK("#'CEI DEISE ELOY GOMES'!A1",'CEI DEISE ELOY GOMES'!B2)</f>
        <v/>
      </c>
      <c r="C154" s="228">
        <f>'CEI DEISE ELOY GOMES'!B3</f>
        <v/>
      </c>
    </row>
    <row r="155" ht="15" customHeight="1" s="107">
      <c r="A155" s="226">
        <f>'CENTRO PAROQUIAL DE EDUCAÇÃO IN'!B5</f>
        <v/>
      </c>
      <c r="B155" s="227">
        <f>HYPERLINK("#'CENTRO PAROQUIAL DE EDUCAÇÃO IN'!A1",'CENTRO PAROQUIAL DE EDUCAÇÃO IN'!B2)</f>
        <v/>
      </c>
      <c r="C155" s="228">
        <f>'CENTRO PAROQUIAL DE EDUCAÇÃO IN'!B3</f>
        <v/>
      </c>
    </row>
    <row r="156" ht="15" customHeight="1" s="107">
      <c r="A156" s="226">
        <f>'CEI VISTA ALEGRE'!B5</f>
        <v/>
      </c>
      <c r="B156" s="227">
        <f>HYPERLINK("#'CEI VISTA ALEGRE'!A1",'CEI VISTA ALEGRE'!B2)</f>
        <v/>
      </c>
      <c r="C156" s="228">
        <f>'CEI VISTA ALEGRE'!B3</f>
        <v/>
      </c>
    </row>
    <row r="157" ht="15" customHeight="1" s="107">
      <c r="A157" s="226">
        <f>'CEI ALDEIA DA CRIANCA'!B5</f>
        <v/>
      </c>
      <c r="B157" s="227">
        <f>HYPERLINK("#'CEI ALDEIA DA CRIANCA'!A1",'CEI ALDEIA DA CRIANCA'!B2)</f>
        <v/>
      </c>
      <c r="C157" s="228">
        <f>'CEI ALDEIA DA CRIANCA'!B3</f>
        <v/>
      </c>
    </row>
    <row r="158" ht="15" customHeight="1" s="107">
      <c r="A158" s="226">
        <f>'CEI DÉA LÚCIA CORDEIRO'!B5</f>
        <v/>
      </c>
      <c r="B158" s="227">
        <f>HYPERLINK("#'CEI DÉA LÚCIA CORDEIRO'!A1",'CEI DÉA LÚCIA CORDEIRO'!B2)</f>
        <v/>
      </c>
      <c r="C158" s="228">
        <f>'CEI DÉA LÚCIA CORDEIRO'!B3</f>
        <v/>
      </c>
    </row>
    <row r="159" ht="15" customHeight="1" s="107">
      <c r="A159" s="226">
        <f>'CENTRO DE EDUCAÇÃO INFANTIL CAR'!B5</f>
        <v/>
      </c>
      <c r="B159" s="227">
        <f>HYPERLINK("#'CENTRO DE EDUCAÇÃO INFANTIL CAR'!A1",'CENTRO DE EDUCAÇÃO INFANTIL CAR'!B2)</f>
        <v/>
      </c>
      <c r="C159" s="228">
        <f>'CENTRO DE EDUCAÇÃO INFANTIL CAR'!B3</f>
        <v/>
      </c>
    </row>
    <row r="160" ht="15" customHeight="1" s="107">
      <c r="A160" s="226">
        <f>'CEI IRMÃ SILVANA'!B5</f>
        <v/>
      </c>
      <c r="B160" s="227">
        <f>HYPERLINK("#'CEI IRMÃ SILVANA'!A1",'CEI IRMÃ SILVANA'!B2)</f>
        <v/>
      </c>
      <c r="C160" s="228">
        <f>'CEI IRMÃ SILVANA'!B3</f>
        <v/>
      </c>
    </row>
    <row r="161" ht="15" customHeight="1" s="107">
      <c r="A161" s="226">
        <f>'CEI MARLI SOARES FERREIRA NETTO'!B5</f>
        <v/>
      </c>
      <c r="B161" s="227">
        <f>HYPERLINK("#'CEI MARLI SOARES FERREIRA NETTO'!A1",'CEI MARLI SOARES FERREIRA NETTO'!B2)</f>
        <v/>
      </c>
      <c r="C161" s="228">
        <f>'CEI MARLI SOARES FERREIRA NETTO'!B3</f>
        <v/>
      </c>
    </row>
    <row r="162" ht="15" customHeight="1" s="107">
      <c r="A162" s="226">
        <f>'CEI PROFª SONIA REGINA SCUDESE '!B5</f>
        <v/>
      </c>
      <c r="B162" s="227">
        <f>HYPERLINK("#'CEI PROFª SONIA REGINA SCUDESE '!A1",'CEI PROFª SONIA REGINA SCUDESE '!B2)</f>
        <v/>
      </c>
      <c r="C162" s="228">
        <f>'CEI PROFª SONIA REGINA SCUDESE '!B3</f>
        <v/>
      </c>
    </row>
    <row r="163" ht="15" customHeight="1" s="107">
      <c r="A163" s="226">
        <f>'CEI DONA ESPERANZA DE BOURBON D'!B5</f>
        <v/>
      </c>
      <c r="B163" s="227">
        <f>HYPERLINK("#'CEI DONA ESPERANZA DE BOURBON D'!A1",'CEI DONA ESPERANZA DE BOURBON D'!B2)</f>
        <v/>
      </c>
      <c r="C163" s="228">
        <f>'CEI DONA ESPERANZA DE BOURBON D'!B3</f>
        <v/>
      </c>
    </row>
    <row r="164" ht="15" customHeight="1" s="107">
      <c r="A164" s="226">
        <f>'CEI PREFEITO SÉRGIO FADEL'!B5</f>
        <v/>
      </c>
      <c r="B164" s="227">
        <f>HYPERLINK("#'CEI PREFEITO SÉRGIO FADEL'!A1",'CEI PREFEITO SÉRGIO FADEL'!B2)</f>
        <v/>
      </c>
      <c r="C164" s="228">
        <f>'CEI PREFEITO SÉRGIO FADEL'!B3</f>
        <v/>
      </c>
    </row>
    <row r="165" ht="15" customHeight="1" s="107">
      <c r="A165" s="226">
        <f>'CEI ANDRÉ REBOUÇAS'!B5</f>
        <v/>
      </c>
      <c r="B165" s="227">
        <f>HYPERLINK("#'CEI ANDRÉ REBOUÇAS'!A1",'CEI ANDRÉ REBOUÇAS'!B2)</f>
        <v/>
      </c>
      <c r="C165" s="228">
        <f>'CEI ANDRÉ REBOUÇAS'!B3</f>
        <v/>
      </c>
    </row>
    <row r="166" ht="15" customHeight="1" s="107">
      <c r="A166" s="226">
        <f>'CENTRO DE EDUCAÇÃO INFANTIL CHI'!B5</f>
        <v/>
      </c>
      <c r="B166" s="227">
        <f>HYPERLINK("#'CENTRO DE EDUCAÇÃO INFANTIL CHI'!A1",'CENTRO DE EDUCAÇÃO INFANTIL CHI'!B2)</f>
        <v/>
      </c>
      <c r="C166" s="228">
        <f>'CENTRO DE EDUCAÇÃO INFANTIL CHI'!B3</f>
        <v/>
      </c>
    </row>
    <row r="167" ht="15" customHeight="1" s="107">
      <c r="A167" s="226">
        <f>'CEI TIA ALICE'!B5</f>
        <v/>
      </c>
      <c r="B167" s="227">
        <f>HYPERLINK("#'CEI TIA ALICE'!A1",'CEI TIA ALICE'!B2)</f>
        <v/>
      </c>
      <c r="C167" s="228">
        <f>'CEI TIA ALICE'!B3</f>
        <v/>
      </c>
    </row>
    <row r="168" ht="15" customHeight="1" s="107">
      <c r="A168" s="226">
        <f>'CEI TERRA SANTA'!B5</f>
        <v/>
      </c>
      <c r="B168" s="227">
        <f>HYPERLINK("#'CEI TERRA SANTA'!A1",'CEI TERRA SANTA'!B2)</f>
        <v/>
      </c>
      <c r="C168" s="228">
        <f>'CEI TERRA SANTA'!B3</f>
        <v/>
      </c>
    </row>
    <row r="169" ht="15" customHeight="1" s="107">
      <c r="A169" s="226">
        <f>'CEI JORGE ROLANDO DA SILVA'!B5</f>
        <v/>
      </c>
      <c r="B169" s="227">
        <f>HYPERLINK("#'CEI JORGE ROLANDO DA SILVA'!A1",'CEI JORGE ROLANDO DA SILVA'!B2)</f>
        <v/>
      </c>
      <c r="C169" s="228">
        <f>'CEI JORGE ROLANDO DA SILVA'!B3</f>
        <v/>
      </c>
    </row>
    <row r="170" ht="15" customHeight="1" s="107">
      <c r="A170" s="226">
        <f>'CEI CARANGOLA'!B5</f>
        <v/>
      </c>
      <c r="B170" s="227">
        <f>HYPERLINK("#'CEI CARANGOLA'!A1",'CEI CARANGOLA'!B2)</f>
        <v/>
      </c>
      <c r="C170" s="228">
        <f>'CEI CARANGOLA'!B3</f>
        <v/>
      </c>
    </row>
    <row r="171" ht="15" customHeight="1" s="107">
      <c r="A171" s="226">
        <f>'CEI CÉLIA LÔBO PAULO'!B5</f>
        <v/>
      </c>
      <c r="B171" s="227">
        <f>HYPERLINK("#'CEI CÉLIA LÔBO PAULO'!A1",'CEI CÉLIA LÔBO PAULO'!B2)</f>
        <v/>
      </c>
      <c r="C171" s="228">
        <f>'CEI CÉLIA LÔBO PAULO'!B3</f>
        <v/>
      </c>
    </row>
    <row r="172" ht="15" customHeight="1" s="107">
      <c r="A172" s="226">
        <f>'CEI LIONS CLUBE DE PETRÓPOLIS'!B5</f>
        <v/>
      </c>
      <c r="B172" s="227">
        <f>HYPERLINK("#'CEI LIONS CLUBE DE PETRÓPOLIS'!A1",'CEI LIONS CLUBE DE PETRÓPOLIS'!B2)</f>
        <v/>
      </c>
      <c r="C172" s="228">
        <f>'CEI LIONS CLUBE DE PETRÓPOLIS'!B3</f>
        <v/>
      </c>
    </row>
    <row r="173" ht="15" customHeight="1" s="107">
      <c r="A173" s="226">
        <f>'CEI PROFª GRAÇA COSTA'!B5</f>
        <v/>
      </c>
      <c r="B173" s="227">
        <f>HYPERLINK("#'CEI PROFª GRAÇA COSTA'!A1",'CEI PROFª GRAÇA COSTA'!B2)</f>
        <v/>
      </c>
      <c r="C173" s="228">
        <f>'CEI PROFª GRAÇA COSTA'!B3</f>
        <v/>
      </c>
    </row>
    <row r="174" ht="15" customHeight="1" s="107">
      <c r="A174" s="226">
        <f>'CEI ANGELA MARIA DA CONCEIÇÃO S'!B5</f>
        <v/>
      </c>
      <c r="B174" s="227">
        <f>HYPERLINK("#'CEI ANGELA MARIA DA CONCEIÇÃO S'!A1",'CEI ANGELA MARIA DA CONCEIÇÃO S'!B2)</f>
        <v/>
      </c>
      <c r="C174" s="228">
        <f>'CEI ANGELA MARIA DA CONCEIÇÃO S'!B3</f>
        <v/>
      </c>
    </row>
    <row r="175" ht="15" customHeight="1" s="107">
      <c r="A175" s="226">
        <f>'CEI LUIZ MARCHIORI'!B5</f>
        <v/>
      </c>
      <c r="B175" s="227">
        <f>HYPERLINK("#'CEI LUIZ MARCHIORI'!A1",'CEI LUIZ MARCHIORI'!B2)</f>
        <v/>
      </c>
      <c r="C175" s="228">
        <f>'CEI LUIZ MARCHIORI'!B3</f>
        <v/>
      </c>
    </row>
    <row r="176" ht="15" customHeight="1" s="107">
      <c r="A176" s="226">
        <f>'CEI PROFª MARLUCE DE SOUZA PEST'!B5</f>
        <v/>
      </c>
      <c r="B176" s="227">
        <f>HYPERLINK("#'CEI PROFª MARLUCE DE SOUZA PEST'!A1",'CEI PROFª MARLUCE DE SOUZA PEST'!B2)</f>
        <v/>
      </c>
      <c r="C176" s="228">
        <f>'CEI PROFª MARLUCE DE SOUZA PEST'!B3</f>
        <v/>
      </c>
    </row>
    <row r="177" ht="15" customHeight="1" s="107">
      <c r="A177" s="226">
        <f>'CEI OLÍVIA MACHADO DA COSTA NOG'!B5</f>
        <v/>
      </c>
      <c r="B177" s="227">
        <f>HYPERLINK("#'CEI OLÍVIA MACHADO DA COSTA NOG'!A1",'CEI OLÍVIA MACHADO DA COSTA NOG'!B2)</f>
        <v/>
      </c>
      <c r="C177" s="228">
        <f>'CEI OLÍVIA MACHADO DA COSTA NOG'!B3</f>
        <v/>
      </c>
    </row>
    <row r="178" ht="15" customHeight="1" s="107">
      <c r="A178" s="226">
        <f>'CEI VILA IPANEMA'!B5</f>
        <v/>
      </c>
      <c r="B178" s="227">
        <f>HYPERLINK("#'CEI VILA IPANEMA'!A1",'CEI VILA IPANEMA'!B2)</f>
        <v/>
      </c>
      <c r="C178" s="228">
        <f>'CEI VILA IPANEMA'!B3</f>
        <v/>
      </c>
    </row>
    <row r="179" ht="15" customHeight="1" s="107">
      <c r="A179" s="226">
        <f>'CEI VILA LEOPOLDINA'!B5</f>
        <v/>
      </c>
      <c r="B179" s="227">
        <f>HYPERLINK("#'CEI VILA LEOPOLDINA'!A1",'CEI VILA LEOPOLDINA'!B2)</f>
        <v/>
      </c>
      <c r="C179" s="228">
        <f>'CEI VILA LEOPOLDINA'!B3</f>
        <v/>
      </c>
    </row>
    <row r="180" ht="15" customHeight="1" s="107">
      <c r="A180" s="226">
        <f>'CENTRO DE EDUCAÇÃO INFANTIL CAS'!B5</f>
        <v/>
      </c>
      <c r="B180" s="227">
        <f>HYPERLINK("#'CENTRO DE EDUCAÇÃO INFANTIL CAS'!A1",'CENTRO DE EDUCAÇÃO INFANTIL CAS'!B2)</f>
        <v/>
      </c>
      <c r="C180" s="228">
        <f>'CENTRO DE EDUCAÇÃO INFANTIL CAS'!B3</f>
        <v/>
      </c>
    </row>
    <row r="181" ht="15" customHeight="1" s="107">
      <c r="A181" s="226">
        <f>'CEI PRIMEIRA INFÂNCIA'!B5</f>
        <v/>
      </c>
      <c r="B181" s="227">
        <f>HYPERLINK("#'CEI PRIMEIRA INFÂNCIA'!A1",'CEI PRIMEIRA INFÂNCIA'!B2)</f>
        <v/>
      </c>
      <c r="C181" s="228">
        <f>'CEI PRIMEIRA INFÂNCIA'!B3</f>
        <v/>
      </c>
    </row>
    <row r="182" ht="15" customHeight="1" s="107">
      <c r="A182" s="226">
        <f>'CEI PROFª DORA KILLER'!B5</f>
        <v/>
      </c>
      <c r="B182" s="227">
        <f>HYPERLINK("#'CEI PROFª DORA KILLER'!A1",'CEI PROFª DORA KILLER'!B2)</f>
        <v/>
      </c>
      <c r="C182" s="228">
        <f>'CEI PROFª DORA KILLER'!B3</f>
        <v/>
      </c>
    </row>
    <row r="183" ht="15" customHeight="1" s="107">
      <c r="A183" s="226">
        <f>'CEI PROFª PATRÍCIA FERREIRA E S'!B5</f>
        <v/>
      </c>
      <c r="B183" s="227">
        <f>HYPERLINK("#'CEI PROFª PATRÍCIA FERREIRA E S'!A1",'CEI PROFª PATRÍCIA FERREIRA E S'!B2)</f>
        <v/>
      </c>
      <c r="C183" s="228">
        <f>'CEI PROFª PATRÍCIA FERREIRA E S'!B3</f>
        <v/>
      </c>
    </row>
    <row r="184" ht="15" customHeight="1" s="107">
      <c r="A184" s="226">
        <f>'CEI DRA ZILDA ARNS NEUMANN'!B5</f>
        <v/>
      </c>
      <c r="B184" s="227">
        <f>HYPERLINK("#'CEI DRA ZILDA ARNS NEUMANN'!A1",'CEI DRA ZILDA ARNS NEUMANN'!B2)</f>
        <v/>
      </c>
      <c r="C184" s="228">
        <f>'CEI DRA ZILDA ARNS NEUMANN'!B3</f>
        <v/>
      </c>
    </row>
    <row r="185" ht="15" customHeight="1" s="107">
      <c r="A185" s="226">
        <f>'CEI DENISE BESSA DE OLIVA MAYA'!B5</f>
        <v/>
      </c>
      <c r="B185" s="227">
        <f>HYPERLINK("#'CEI DENISE BESSA DE OLIVA MAYA'!A1",'CEI DENISE BESSA DE OLIVA MAYA'!B2)</f>
        <v/>
      </c>
      <c r="C185" s="228">
        <f>'CEI DENISE BESSA DE OLIVA MAYA'!B3</f>
        <v/>
      </c>
    </row>
    <row r="186" ht="15" customHeight="1" s="107">
      <c r="A186" s="226">
        <f>'CEI GIUSEPPE-NEVA VOLONTERIO'!B5</f>
        <v/>
      </c>
      <c r="B186" s="227">
        <f>HYPERLINK("#'CEI GIUSEPPE-NEVA VOLONTERIO'!A1",'CEI GIUSEPPE-NEVA VOLONTERIO'!B2)</f>
        <v/>
      </c>
      <c r="C186" s="228">
        <f>'CEI GIUSEPPE-NEVA VOLONTERIO'!B3</f>
        <v/>
      </c>
    </row>
    <row r="187" ht="15" customHeight="1" s="107">
      <c r="A187" s="226">
        <f>'CENTRO DE EDUCAÇÃO INFANTIL LOT'!B5</f>
        <v/>
      </c>
      <c r="B187" s="227">
        <f>HYPERLINK("#'CENTRO DE EDUCAÇÃO INFANTIL LOT'!A1",'CENTRO DE EDUCAÇÃO INFANTIL LOT'!B2)</f>
        <v/>
      </c>
      <c r="C187" s="228">
        <f>'CENTRO DE EDUCAÇÃO INFANTIL LOT'!B3</f>
        <v/>
      </c>
    </row>
    <row r="188" ht="15" customHeight="1" s="107">
      <c r="A188" s="226">
        <f>'CEI IRINEU MARINHO'!B5</f>
        <v/>
      </c>
      <c r="B188" s="227">
        <f>HYPERLINK("#'CEI IRINEU MARINHO'!A1",'CEI IRINEU MARINHO'!B2)</f>
        <v/>
      </c>
      <c r="C188" s="228">
        <f>'CEI IRINEU MARINHO'!B3</f>
        <v/>
      </c>
    </row>
    <row r="189" ht="15" customHeight="1" s="107">
      <c r="A189" s="226">
        <f>'CEI OSWALDO CRUZ'!B5</f>
        <v/>
      </c>
      <c r="B189" s="227">
        <f>HYPERLINK("#'CEI OSWALDO CRUZ'!A1",'CEI OSWALDO CRUZ'!B2)</f>
        <v/>
      </c>
      <c r="C189" s="228">
        <f>'CEI OSWALDO CRUZ'!B3</f>
        <v/>
      </c>
    </row>
    <row r="190" ht="15" customHeight="1" s="107">
      <c r="A190" s="226">
        <f>'CEI ANA CAROLINA TELLES'!B5</f>
        <v/>
      </c>
      <c r="B190" s="227">
        <f>HYPERLINK("#'CEI ANA CAROLINA TELLES'!A1",'CEI ANA CAROLINA TELLES'!B2)</f>
        <v/>
      </c>
      <c r="C190" s="228">
        <f>'CEI ANA CAROLINA TELLES'!B3</f>
        <v/>
      </c>
    </row>
    <row r="191" ht="15" customHeight="1" s="107">
      <c r="A191" s="226">
        <f>'CEI JOSÉ GONÇALVES DA MOTTA'!B5</f>
        <v/>
      </c>
      <c r="B191" s="227">
        <f>HYPERLINK("#'CEI JOSÉ GONÇALVES DA MOTTA'!A1",'CEI JOSÉ GONÇALVES DA MOTTA'!B2)</f>
        <v/>
      </c>
      <c r="C191" s="228">
        <f>'CEI JOSÉ GONÇALVES DA MOTTA'!B3</f>
        <v/>
      </c>
    </row>
    <row r="192" ht="15" customHeight="1" s="107">
      <c r="A192" s="226">
        <f>'CEI SAGRADA FAMÍLIA'!B5</f>
        <v/>
      </c>
      <c r="B192" s="227">
        <f>HYPERLINK("#'CEI SAGRADA FAMÍLIA'!A1",'CEI SAGRADA FAMÍLIA'!B2)</f>
        <v/>
      </c>
      <c r="C192" s="228">
        <f>'CEI SAGRADA FAMÍLIA'!B3</f>
        <v/>
      </c>
    </row>
    <row r="193" ht="15" customHeight="1" s="107">
      <c r="A193" s="226">
        <f>'CEI PROFª HERMÍNIA MATHEUS'!B5</f>
        <v/>
      </c>
      <c r="B193" s="227">
        <f>HYPERLINK("#'CEI PROFª HERMÍNIA MATHEUS'!A1",'CEI PROFª HERMÍNIA MATHEUS'!B2)</f>
        <v/>
      </c>
      <c r="C193" s="228">
        <f>'CEI PROFª HERMÍNIA MATHEUS'!B3</f>
        <v/>
      </c>
    </row>
    <row r="194" ht="15" customHeight="1" s="107">
      <c r="A194" s="226">
        <f>'CENTRO DE EDUCAÇÃO INFANTIL PRO'!B5</f>
        <v/>
      </c>
      <c r="B194" s="227">
        <f>HYPERLINK("#'CENTRO DE EDUCAÇÃO INFANTIL PRO'!A1",'CENTRO DE EDUCAÇÃO INFANTIL PRO'!B2)</f>
        <v/>
      </c>
      <c r="C194" s="228">
        <f>'CENTRO DE EDUCAÇÃO INFANTIL PRO'!B3</f>
        <v/>
      </c>
    </row>
    <row r="195" ht="15" customHeight="1" s="107">
      <c r="A195" s="226">
        <f>'CEI MONSENHOR PAULO ELIAS DAHER'!B5</f>
        <v/>
      </c>
      <c r="B195" s="227">
        <f>HYPERLINK("#'CEI MONSENHOR PAULO ELIAS DAHER'!A1",'CEI MONSENHOR PAULO ELIAS DAHER'!B2)</f>
        <v/>
      </c>
      <c r="C195" s="228">
        <f>'CEI MONSENHOR PAULO ELIAS DAHER'!B3</f>
        <v/>
      </c>
    </row>
    <row r="196" ht="15" customHeight="1" s="107">
      <c r="A196" s="226">
        <f>'CEI DAGMAR ROLANDO DE OLIVEIRA'!B5</f>
        <v/>
      </c>
      <c r="B196" s="227">
        <f>HYPERLINK("#'CEI DAGMAR ROLANDO DE OLIVEIRA'!A1",'CEI DAGMAR ROLANDO DE OLIVEIRA'!B2)</f>
        <v/>
      </c>
      <c r="C196" s="228">
        <f>'CEI DAGMAR ROLANDO DE OLIVEIRA'!B3</f>
        <v/>
      </c>
    </row>
    <row r="197" ht="15" customHeight="1" s="107">
      <c r="A197" s="226">
        <f>'CENTRO DE EDUCAÇÃO INFANTIL  2'!B5</f>
        <v/>
      </c>
      <c r="B197" s="227">
        <f>HYPERLINK("#'CENTRO DE EDUCAÇÃO INFANTIL  2'!A1",'CENTRO DE EDUCAÇÃO INFANTIL  2'!B2)</f>
        <v/>
      </c>
      <c r="C197" s="228">
        <f>'CENTRO DE EDUCAÇÃO INFANTIL  2'!B3</f>
        <v/>
      </c>
    </row>
    <row r="198" ht="15" customHeight="1" s="107">
      <c r="A198" s="226">
        <f>'CEI BOA VISTA'!B5</f>
        <v/>
      </c>
      <c r="B198" s="227">
        <f>HYPERLINK("#'CEI BOA VISTA'!A1",'CEI BOA VISTA'!B2)</f>
        <v/>
      </c>
      <c r="C198" s="228">
        <f>'CEI BOA VISTA'!B3</f>
        <v/>
      </c>
    </row>
    <row r="199" ht="15" customHeight="1" s="107">
      <c r="A199" s="226">
        <f>'CEI NILO PEÇANHA'!B5</f>
        <v/>
      </c>
      <c r="B199" s="227">
        <f>HYPERLINK("#'CEI NILO PEÇANHA'!A1",'CEI NILO PEÇANHA'!B2)</f>
        <v/>
      </c>
      <c r="C199" s="228">
        <f>'CEI NILO PEÇANHA'!B3</f>
        <v/>
      </c>
    </row>
    <row r="200" ht="15" customHeight="1" s="107">
      <c r="A200" s="226">
        <f>'CENTRO DE EDUCAÇÃO INFANTIL AUG'!B5</f>
        <v/>
      </c>
      <c r="B200" s="227">
        <f>HYPERLINK("#'CENTRO DE EDUCAÇÃO INFANTIL AUG'!A1",'CENTRO DE EDUCAÇÃO INFANTIL AUG'!B2)</f>
        <v/>
      </c>
      <c r="C200" s="228">
        <f>'CENTRO DE EDUCAÇÃO INFANTIL AUG'!B3</f>
        <v/>
      </c>
    </row>
    <row r="201" ht="15" customHeight="1" s="107">
      <c r="A201" s="226">
        <f>'CEI THEREZINHA DE JESUS LIMA'!B5</f>
        <v/>
      </c>
      <c r="B201" s="227">
        <f>HYPERLINK("#'CEI THEREZINHA DE JESUS LIMA'!A1",'CEI THEREZINHA DE JESUS LIMA'!B2)</f>
        <v/>
      </c>
      <c r="C201" s="228">
        <f>'CEI THEREZINHA DE JESUS LIMA'!B3</f>
        <v/>
      </c>
    </row>
    <row r="202" ht="15" customHeight="1" s="107">
      <c r="A202" s="226">
        <f>'CEI VIDEIRINHA'!B5</f>
        <v/>
      </c>
      <c r="B202" s="227">
        <f>HYPERLINK("#'CEI VIDEIRINHA'!A1",'CEI VIDEIRINHA'!B2)</f>
        <v/>
      </c>
      <c r="C202" s="228">
        <f>'CEI VIDEIRINHA'!B3</f>
        <v/>
      </c>
    </row>
    <row r="203" ht="15" customHeight="1" s="107">
      <c r="A203" s="226">
        <f>'CEI PROFª ADRIANA CONSTÂNCIO TR'!B5</f>
        <v/>
      </c>
      <c r="B203" s="227">
        <f>HYPERLINK("#'CEI PROFª ADRIANA CONSTÂNCIO TR'!A1",'CEI PROFª ADRIANA CONSTÂNCIO TR'!B2)</f>
        <v/>
      </c>
      <c r="C203" s="228">
        <f>'CEI PROFª ADRIANA CONSTÂNCIO TR'!B3</f>
        <v/>
      </c>
    </row>
    <row r="204" ht="15" customHeight="1" s="107">
      <c r="A204" s="226">
        <f>'CENTRO DE EDUCAÇÃO INFANTIL SÉR'!B5</f>
        <v/>
      </c>
      <c r="B204" s="227">
        <f>HYPERLINK("#'CENTRO DE EDUCAÇÃO INFANTIL SÉR'!A1",'CENTRO DE EDUCAÇÃO INFANTIL SÉR'!B2)</f>
        <v/>
      </c>
      <c r="C204" s="228">
        <f>'CENTRO DE EDUCAÇÃO INFANTIL SÉR'!B3</f>
        <v/>
      </c>
    </row>
    <row r="205" ht="15" customHeight="1" s="107">
      <c r="A205" s="226">
        <f>'CEI JURACI PINTO DO AMARAL DE C'!B5</f>
        <v/>
      </c>
      <c r="B205" s="227">
        <f>HYPERLINK("#'CEI JURACI PINTO DO AMARAL DE C'!A1",'CEI JURACI PINTO DO AMARAL DE C'!B2)</f>
        <v/>
      </c>
      <c r="C205" s="228">
        <f>'CEI JURACI PINTO DO AMARAL DE C'!B3</f>
        <v/>
      </c>
    </row>
    <row r="206" ht="15" customHeight="1" s="107">
      <c r="A206" s="226">
        <f>'CEI NOSSA SENHORA DA GLÓRIA'!B5</f>
        <v/>
      </c>
      <c r="B206" s="227">
        <f>HYPERLINK("#'CEI NOSSA SENHORA DA GLÓRIA'!A1",'CEI NOSSA SENHORA DA GLÓRIA'!B2)</f>
        <v/>
      </c>
      <c r="C206" s="228">
        <f>'CEI NOSSA SENHORA DA GLÓRIA'!B3</f>
        <v/>
      </c>
    </row>
    <row r="207" ht="15" customHeight="1" s="107">
      <c r="A207" s="226">
        <f>'CEI ALTO INDEPENDÊNCIA'!B5</f>
        <v/>
      </c>
      <c r="B207" s="227">
        <f>HYPERLINK("#'CEI ALTO INDEPENDÊNCIA'!A1",'CEI ALTO INDEPENDÊNCIA'!B2)</f>
        <v/>
      </c>
      <c r="C207" s="228">
        <f>'CEI ALTO INDEPENDÊNCIA'!B3</f>
        <v/>
      </c>
    </row>
    <row r="208" ht="15" customHeight="1" s="107">
      <c r="A208" s="226">
        <f>'CEI SÃO JOSÉ DAS OBLATAS DE NAZ'!B5</f>
        <v/>
      </c>
      <c r="B208" s="227">
        <f>HYPERLINK("#'CEI SÃO JOSÉ DAS OBLATAS DE NAZ'!A1",'CEI SÃO JOSÉ DAS OBLATAS DE NAZ'!B2)</f>
        <v/>
      </c>
      <c r="C208" s="228">
        <f>'CEI SÃO JOSÉ DAS OBLATAS DE NAZ'!B3</f>
        <v/>
      </c>
    </row>
    <row r="209" ht="15" customHeight="1" s="107">
      <c r="A209" s="226">
        <f>'CEI SANTO ANTÔNIO AGOSTINHO'!B5</f>
        <v/>
      </c>
      <c r="B209" s="227">
        <f>HYPERLINK("#'CEI SANTO ANTÔNIO AGOSTINHO'!A1",'CEI SANTO ANTÔNIO AGOSTINHO'!B2)</f>
        <v/>
      </c>
      <c r="C209" s="228">
        <f>'CEI SANTO ANTÔNIO AGOSTINHO'!B3</f>
        <v/>
      </c>
    </row>
    <row r="210" ht="15" customHeight="1" s="107">
      <c r="A210" s="226">
        <f>'CEI SÃO CHARBEL'!B5</f>
        <v/>
      </c>
      <c r="B210" s="227">
        <f>HYPERLINK("#'CEI SÃO CHARBEL'!A1",'CEI SÃO CHARBEL'!B2)</f>
        <v/>
      </c>
      <c r="C210" s="228">
        <f>'CEI SÃO CHARBEL'!B3</f>
        <v/>
      </c>
    </row>
    <row r="211" ht="15" customHeight="1" s="107">
      <c r="A211" s="226">
        <f>'ASSOCIAÇÃO DA CRECHE SÃO FRANCI'!B5</f>
        <v/>
      </c>
      <c r="B211" s="227">
        <f>HYPERLINK("#'ASSOCIAÇÃO DA CRECHE SÃO FRANCI'!A1",'ASSOCIAÇÃO DA CRECHE SÃO FRANCI'!B2)</f>
        <v/>
      </c>
      <c r="C211" s="228">
        <f>'ASSOCIAÇÃO DA CRECHE SÃO FRANCI'!B3</f>
        <v/>
      </c>
    </row>
    <row r="212" ht="15" customHeight="1" s="107">
      <c r="A212" s="226">
        <f>'CEI SÃO JOSÉ DO ITAMARATI'!B5</f>
        <v/>
      </c>
      <c r="B212" s="227">
        <f>HYPERLINK("#'CEI SÃO JOSÉ DO ITAMARATI'!A1",'CEI SÃO JOSÉ DO ITAMARATI'!B2)</f>
        <v/>
      </c>
      <c r="C212" s="228">
        <f>'CEI SÃO JOSÉ DO ITAMARATI'!B3</f>
        <v/>
      </c>
    </row>
    <row r="213" ht="15" customHeight="1" s="107">
      <c r="A213" s="226">
        <f>'ASSOCIAÇÃO RECREAR'!B5</f>
        <v/>
      </c>
      <c r="B213" s="227">
        <f>HYPERLINK("#'ASSOCIAÇÃO RECREAR'!A1",'ASSOCIAÇÃO RECREAR'!B2)</f>
        <v/>
      </c>
      <c r="C213" s="228">
        <f>'ASSOCIAÇÃO RECREAR'!B3</f>
        <v/>
      </c>
    </row>
    <row r="214" ht="15" customHeight="1" s="107">
      <c r="A214" s="226">
        <f>'CRECHE-ESCOLA CASTELO SÃO MANOE'!B5</f>
        <v/>
      </c>
      <c r="B214" s="227">
        <f>HYPERLINK("#'CRECHE-ESCOLA CASTELO SÃO MANOE'!A1",'CRECHE-ESCOLA CASTELO SÃO MANOE'!B2)</f>
        <v/>
      </c>
      <c r="C214" s="228">
        <f>'CRECHE-ESCOLA CASTELO SÃO MANOE'!B3</f>
        <v/>
      </c>
    </row>
    <row r="215" ht="15" customHeight="1" s="107">
      <c r="A215" s="226">
        <f>'CENTRO DE EDUCAÇÃO INFANTIL SÃO'!B5</f>
        <v/>
      </c>
      <c r="B215" s="227">
        <f>HYPERLINK("#'CENTRO DE EDUCAÇÃO INFANTIL SÃO'!A1",'CENTRO DE EDUCAÇÃO INFANTIL SÃO'!B2)</f>
        <v/>
      </c>
      <c r="C215" s="228">
        <f>'CENTRO DE EDUCAÇÃO INFANTIL SÃO'!B3</f>
        <v/>
      </c>
    </row>
    <row r="216" ht="15" customHeight="1" s="107">
      <c r="A216" s="219" t="n"/>
      <c r="B216" s="219" t="n"/>
      <c r="C216" s="219" t="n"/>
    </row>
    <row r="217" ht="15" customHeight="1" s="107">
      <c r="A217" s="220" t="inlineStr">
        <is>
          <t>PRODUTORES</t>
        </is>
      </c>
      <c r="B217" s="219" t="n"/>
      <c r="C217" s="219" t="n"/>
    </row>
    <row r="218" ht="15" customHeight="1" s="107">
      <c r="A218" s="225" t="inlineStr">
        <is>
          <t>—</t>
        </is>
      </c>
      <c r="B218" s="225" t="inlineStr">
        <is>
          <t>PRODUTOR (clique para abrir)</t>
        </is>
      </c>
      <c r="C218" s="225" t="inlineStr">
        <is>
          <t>TELEFONE</t>
        </is>
      </c>
    </row>
    <row r="219" ht="15" customHeight="1" s="107">
      <c r="A219" s="229" t="inlineStr"/>
      <c r="B219" s="227">
        <f>HYPERLINK("#'PROD - Ana C. C. R. Souza'!A1",'PROD - Ana C. C. R. Souza'!B2)</f>
        <v/>
      </c>
      <c r="C219" s="228">
        <f>'PROD - Ana C. C. R. Souza'!B3</f>
        <v/>
      </c>
    </row>
    <row r="220" ht="15" customHeight="1" s="107">
      <c r="A220" s="229" t="inlineStr"/>
      <c r="B220" s="227">
        <f>HYPERLINK("#'PROD - Anderson Mello Quimas'!A1",'PROD - Anderson Mello Quimas'!B2)</f>
        <v/>
      </c>
      <c r="C220" s="228">
        <f>'PROD - Anderson Mello Quimas'!B3</f>
        <v/>
      </c>
    </row>
    <row r="221" ht="15" customHeight="1" s="107">
      <c r="A221" s="229" t="inlineStr"/>
      <c r="B221" s="227">
        <f>HYPERLINK("#'PROD - Armando Jose Silva'!A1",'PROD - Armando Jose Silva'!B2)</f>
        <v/>
      </c>
      <c r="C221" s="228">
        <f>'PROD - Armando Jose Silva'!B3</f>
        <v/>
      </c>
    </row>
    <row r="222" ht="15" customHeight="1" s="107">
      <c r="A222" s="229" t="inlineStr"/>
      <c r="B222" s="227">
        <f>HYPERLINK("#'PROD - Arnaldo Silva'!A1",'PROD - Arnaldo Silva'!B2)</f>
        <v/>
      </c>
      <c r="C222" s="228">
        <f>'PROD - Arnaldo Silva'!B3</f>
        <v/>
      </c>
    </row>
    <row r="223" ht="15" customHeight="1" s="107">
      <c r="A223" s="229" t="inlineStr"/>
      <c r="B223" s="227">
        <f>HYPERLINK("#'PROD - Claudeni R. Xavier'!A1",'PROD - Claudeni R. Xavier'!B2)</f>
        <v/>
      </c>
      <c r="C223" s="228">
        <f>'PROD - Claudeni R. Xavier'!B3</f>
        <v/>
      </c>
    </row>
    <row r="224" ht="15" customHeight="1" s="107">
      <c r="A224" s="229" t="inlineStr"/>
      <c r="B224" s="227">
        <f>HYPERLINK("#'PROD - Edson Jose Silva'!A1",'PROD - Edson Jose Silva'!B2)</f>
        <v/>
      </c>
      <c r="C224" s="228">
        <f>'PROD - Edson Jose Silva'!B3</f>
        <v/>
      </c>
    </row>
    <row r="225" ht="15" customHeight="1" s="107">
      <c r="A225" s="229" t="inlineStr"/>
      <c r="B225" s="227">
        <f>HYPERLINK("#'PROD - Gabriel Adriano Souza'!A1",'PROD - Gabriel Adriano Souza'!B2)</f>
        <v/>
      </c>
      <c r="C225" s="228">
        <f>'PROD - Gabriel Adriano Souza'!B3</f>
        <v/>
      </c>
    </row>
    <row r="226" ht="15" customHeight="1" s="107">
      <c r="A226" s="229" t="inlineStr"/>
      <c r="B226" s="227">
        <f>HYPERLINK("#'PROD - Gustavo Mello Rodrigues'!A1",'PROD - Gustavo Mello Rodrigues'!B2)</f>
        <v/>
      </c>
      <c r="C226" s="228">
        <f>'PROD - Gustavo Mello Rodrigues'!B3</f>
        <v/>
      </c>
    </row>
    <row r="227" ht="15" customHeight="1" s="107">
      <c r="A227" s="229" t="inlineStr"/>
      <c r="B227" s="227">
        <f>HYPERLINK("#'PROD - Joaquim Sergio Lage'!A1",'PROD - Joaquim Sergio Lage'!B2)</f>
        <v/>
      </c>
      <c r="C227" s="228">
        <f>'PROD - Joaquim Sergio Lage'!B3</f>
        <v/>
      </c>
    </row>
    <row r="228" ht="15" customHeight="1" s="107">
      <c r="A228" s="229" t="inlineStr"/>
      <c r="B228" s="227">
        <f>HYPERLINK("#'PROD - Jorge G. P. Diniz'!A1",'PROD - Jorge G. P. Diniz'!B2)</f>
        <v/>
      </c>
      <c r="C228" s="228">
        <f>'PROD - Jorge G. P. Diniz'!B3</f>
        <v/>
      </c>
    </row>
    <row r="229" ht="15" customHeight="1" s="107">
      <c r="A229" s="229" t="inlineStr"/>
      <c r="B229" s="227">
        <f>HYPERLINK("#'PROD - Jose G. S. Mello'!A1",'PROD - Jose G. S. Mello'!B2)</f>
        <v/>
      </c>
      <c r="C229" s="228">
        <f>'PROD - Jose G. S. Mello'!B3</f>
        <v/>
      </c>
    </row>
    <row r="230" ht="15" customHeight="1" s="107">
      <c r="A230" s="229" t="inlineStr"/>
      <c r="B230" s="227">
        <f>HYPERLINK("#'PROD - Jose Rodrigues Melo'!A1",'PROD - Jose Rodrigues Melo'!B2)</f>
        <v/>
      </c>
      <c r="C230" s="228">
        <f>'PROD - Jose Rodrigues Melo'!B3</f>
        <v/>
      </c>
    </row>
    <row r="231" ht="15" customHeight="1" s="107">
      <c r="A231" s="229" t="inlineStr"/>
      <c r="B231" s="227">
        <f>HYPERLINK("#'PROD - Lucio Mauro Felix Silva'!A1",'PROD - Lucio Mauro Felix Silva'!B2)</f>
        <v/>
      </c>
      <c r="C231" s="228">
        <f>'PROD - Lucio Mauro Felix Silva'!B3</f>
        <v/>
      </c>
    </row>
    <row r="232" ht="15" customHeight="1" s="107">
      <c r="A232" s="229" t="inlineStr"/>
      <c r="B232" s="227">
        <f>HYPERLINK("#'PROD - Luiz A. O. Pinto'!A1",'PROD - Luiz A. O. Pinto'!B2)</f>
        <v/>
      </c>
      <c r="C232" s="228">
        <f>'PROD - Luiz A. O. Pinto'!B3</f>
        <v/>
      </c>
    </row>
    <row r="233" ht="15" customHeight="1" s="107">
      <c r="A233" s="229" t="inlineStr"/>
      <c r="B233" s="227">
        <f>HYPERLINK("#'PROD - Marcelo Marcos Delgado'!A1",'PROD - Marcelo Marcos Delgado'!B2)</f>
        <v/>
      </c>
      <c r="C233" s="228">
        <f>'PROD - Marcelo Marcos Delgado'!B3</f>
        <v/>
      </c>
    </row>
    <row r="234" ht="15" customHeight="1" s="107">
      <c r="A234" s="229" t="inlineStr"/>
      <c r="B234" s="227">
        <f>HYPERLINK("#'PROD - Marcio Azevedo Souza'!A1",'PROD - Marcio Azevedo Souza'!B2)</f>
        <v/>
      </c>
      <c r="C234" s="228">
        <f>'PROD - Marcio Azevedo Souza'!B3</f>
        <v/>
      </c>
    </row>
    <row r="235" ht="15" customHeight="1" s="107">
      <c r="A235" s="229" t="inlineStr"/>
      <c r="B235" s="227">
        <f>HYPERLINK("#'PROD - Marco Antonio Coelho'!A1",'PROD - Marco Antonio Coelho'!B2)</f>
        <v/>
      </c>
      <c r="C235" s="228">
        <f>'PROD - Marco Antonio Coelho'!B3</f>
        <v/>
      </c>
    </row>
    <row r="236" ht="15" customHeight="1" s="107">
      <c r="A236" s="229" t="inlineStr"/>
      <c r="B236" s="227">
        <f>HYPERLINK("#'PROD - Marcos Marcelo Delgado'!A1",'PROD - Marcos Marcelo Delgado'!B2)</f>
        <v/>
      </c>
      <c r="C236" s="228">
        <f>'PROD - Marcos Marcelo Delgado'!B3</f>
        <v/>
      </c>
    </row>
    <row r="237" ht="15" customHeight="1" s="107">
      <c r="A237" s="229" t="inlineStr"/>
      <c r="B237" s="227">
        <f>HYPERLINK("#'PROD - Miguel Fernando Almeida'!A1",'PROD - Miguel Fernando Almeida'!B2)</f>
        <v/>
      </c>
      <c r="C237" s="228">
        <f>'PROD - Miguel Fernando Almeida'!B3</f>
        <v/>
      </c>
    </row>
    <row r="238" ht="15" customHeight="1" s="107">
      <c r="A238" s="229" t="inlineStr"/>
      <c r="B238" s="227">
        <f>HYPERLINK("#'PROD - Nilson Ferreira Silva'!A1",'PROD - Nilson Ferreira Silva'!B2)</f>
        <v/>
      </c>
      <c r="C238" s="228">
        <f>'PROD - Nilson Ferreira Silva'!B3</f>
        <v/>
      </c>
    </row>
    <row r="239" ht="15" customHeight="1" s="107">
      <c r="A239" s="229" t="inlineStr"/>
      <c r="B239" s="227">
        <f>HYPERLINK("#'PROD - Renato Jose Silva'!A1",'PROD - Renato Jose Silva'!B2)</f>
        <v/>
      </c>
      <c r="C239" s="228">
        <f>'PROD - Renato Jose Silva'!B3</f>
        <v/>
      </c>
    </row>
    <row r="240">
      <c r="A240" s="230" t="inlineStr"/>
      <c r="B240" s="227">
        <f>HYPERLINK("#'PROD - Rodolfo Azevedo Andrade'!A1",'PROD - Rodolfo Azevedo Andrade'!B2)</f>
        <v/>
      </c>
      <c r="C240" s="228">
        <f>'PROD - Rodolfo Azevedo Andrade'!B3</f>
        <v/>
      </c>
    </row>
  </sheetData>
  <mergeCells count="9">
    <mergeCell ref="B19:D19"/>
    <mergeCell ref="B14:D14"/>
    <mergeCell ref="B17:D17"/>
    <mergeCell ref="B18:D18"/>
    <mergeCell ref="B13:D13"/>
    <mergeCell ref="B21:D21"/>
    <mergeCell ref="B15:D15"/>
    <mergeCell ref="B16:D16"/>
    <mergeCell ref="B20:D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26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5" topLeftCell="C189" activePane="bottomRight" state="frozen"/>
      <selection pane="topLeft" activeCell="A1" activeCellId="0" sqref="A1"/>
      <selection pane="topRight" activeCell="C1" activeCellId="0" sqref="C1"/>
      <selection pane="bottomLeft" activeCell="A189" activeCellId="0" sqref="A189"/>
      <selection pane="bottomRight" activeCell="C208" activeCellId="0" sqref="C208"/>
    </sheetView>
  </sheetViews>
  <sheetFormatPr baseColWidth="8" defaultColWidth="8.6796875" defaultRowHeight="15" zeroHeight="0" outlineLevelRow="0"/>
  <cols>
    <col width="34" customWidth="1" style="106" min="1" max="1"/>
    <col width="42" customWidth="1" style="106" min="2" max="2"/>
    <col width="13" customWidth="1" style="106" min="3" max="21"/>
    <col width="16" customWidth="1" style="106" min="22" max="22"/>
  </cols>
  <sheetData>
    <row r="1" ht="25.5" customHeight="1" s="107">
      <c r="A1" s="108" t="inlineStr">
        <is>
          <t>ENTRADA DE DADOS</t>
        </is>
      </c>
    </row>
    <row r="2" ht="15" customHeight="1" s="107">
      <c r="A2" s="121" t="inlineStr">
        <is>
          <t>PREÇO (R$/kg)</t>
        </is>
      </c>
      <c r="C2" s="122" t="n">
        <v>15.57</v>
      </c>
      <c r="D2" s="122" t="n">
        <v>7.7</v>
      </c>
      <c r="E2" s="122" t="n">
        <v>16.94</v>
      </c>
      <c r="F2" s="122" t="n">
        <v>14.62</v>
      </c>
      <c r="G2" s="122" t="n">
        <v>12.05</v>
      </c>
      <c r="H2" s="122" t="n">
        <v>11.59</v>
      </c>
      <c r="I2" s="122" t="n">
        <v>9.869999999999999</v>
      </c>
      <c r="J2" s="122" t="n">
        <v>13.67</v>
      </c>
      <c r="K2" s="122" t="n">
        <v>10.2</v>
      </c>
      <c r="L2" s="122" t="n">
        <v>25.1</v>
      </c>
      <c r="M2" s="122" t="n">
        <v>8.56</v>
      </c>
      <c r="N2" s="122" t="n">
        <v>14.6</v>
      </c>
      <c r="O2" s="122" t="n">
        <v>19.11</v>
      </c>
      <c r="P2" s="122" t="n">
        <v>11.22</v>
      </c>
      <c r="Q2" s="122" t="n">
        <v>16.63</v>
      </c>
      <c r="R2" s="122" t="n">
        <v>65.68000000000001</v>
      </c>
      <c r="S2" s="122" t="n">
        <v>15.45</v>
      </c>
      <c r="T2" s="122" t="n">
        <v>10.24</v>
      </c>
      <c r="U2" s="122" t="n">
        <v>13.55</v>
      </c>
    </row>
    <row r="4" ht="21.75" customHeight="1" s="107">
      <c r="A4" s="123" t="inlineStr">
        <is>
          <t>PEDIDO DAS ESCOLAS (kg)</t>
        </is>
      </c>
    </row>
    <row r="5" ht="30" customHeight="1" s="107">
      <c r="A5" s="124" t="inlineStr">
        <is>
          <t>CÓDIGO</t>
        </is>
      </c>
      <c r="B5" s="124" t="inlineStr">
        <is>
          <t>ESCOLA</t>
        </is>
      </c>
      <c r="C5" s="124" t="inlineStr">
        <is>
          <t>Abacate</t>
        </is>
      </c>
      <c r="D5" s="124" t="inlineStr">
        <is>
          <t>Abobrinha</t>
        </is>
      </c>
      <c r="E5" s="124" t="inlineStr">
        <is>
          <t>Agrião</t>
        </is>
      </c>
      <c r="F5" s="124" t="inlineStr">
        <is>
          <t>Alface lisa</t>
        </is>
      </c>
      <c r="G5" s="124" t="inlineStr">
        <is>
          <t>Banana prata</t>
        </is>
      </c>
      <c r="H5" s="124" t="inlineStr">
        <is>
          <t>Batata inglesa</t>
        </is>
      </c>
      <c r="I5" s="124" t="inlineStr">
        <is>
          <t>Beterraba</t>
        </is>
      </c>
      <c r="J5" s="124" t="inlineStr">
        <is>
          <t>Brócolis</t>
        </is>
      </c>
      <c r="K5" s="124" t="inlineStr">
        <is>
          <t>Cenoura</t>
        </is>
      </c>
      <c r="L5" s="124" t="inlineStr">
        <is>
          <t>Cheiro verde</t>
        </is>
      </c>
      <c r="M5" s="124" t="inlineStr">
        <is>
          <t>Chuchu</t>
        </is>
      </c>
      <c r="N5" s="124" t="inlineStr">
        <is>
          <t>Couve manteiga</t>
        </is>
      </c>
      <c r="O5" s="124" t="inlineStr">
        <is>
          <t>Couve-flor</t>
        </is>
      </c>
      <c r="P5" s="124" t="inlineStr">
        <is>
          <t>Espinafre</t>
        </is>
      </c>
      <c r="Q5" s="124" t="inlineStr">
        <is>
          <t>Maçã gala</t>
        </is>
      </c>
      <c r="R5" s="124" t="inlineStr">
        <is>
          <t>Mel</t>
        </is>
      </c>
      <c r="S5" s="124" t="inlineStr">
        <is>
          <t>Ovos (dz)</t>
        </is>
      </c>
      <c r="T5" s="124" t="inlineStr">
        <is>
          <t>Repolho</t>
        </is>
      </c>
      <c r="U5" s="124" t="inlineStr">
        <is>
          <t>Tangerina ponkan</t>
        </is>
      </c>
    </row>
    <row r="6" ht="15" customHeight="1" s="107">
      <c r="A6" s="125">
        <f>'E M ABELARDO DE LAMARE'!B5</f>
        <v/>
      </c>
      <c r="B6" s="126">
        <f>HYPERLINK("#'E M ABELARDO DE LAMARE'!A1",'E M ABELARDO DE LAMARE'!B2)</f>
        <v/>
      </c>
      <c r="C6" s="127" t="n">
        <v>0</v>
      </c>
      <c r="D6" s="127" t="n">
        <v>0</v>
      </c>
      <c r="E6" s="127" t="n">
        <v>0</v>
      </c>
      <c r="F6" s="127" t="n">
        <v>0</v>
      </c>
      <c r="G6" s="127" t="n">
        <v>0</v>
      </c>
      <c r="H6" s="127" t="n">
        <v>0</v>
      </c>
      <c r="I6" s="127" t="n">
        <v>0</v>
      </c>
      <c r="J6" s="127" t="n">
        <v>0</v>
      </c>
      <c r="K6" s="127" t="n">
        <v>0</v>
      </c>
      <c r="L6" s="127" t="n">
        <v>0</v>
      </c>
      <c r="M6" s="127" t="n">
        <v>0</v>
      </c>
      <c r="N6" s="127" t="n">
        <v>0</v>
      </c>
      <c r="O6" s="127" t="n">
        <v>0</v>
      </c>
      <c r="P6" s="127" t="n">
        <v>0</v>
      </c>
      <c r="Q6" s="127" t="n">
        <v>0</v>
      </c>
      <c r="R6" s="127" t="n">
        <v>0</v>
      </c>
      <c r="S6" s="127" t="n">
        <v>0</v>
      </c>
      <c r="T6" s="127" t="n">
        <v>0</v>
      </c>
      <c r="U6" s="127" t="n">
        <v>0</v>
      </c>
    </row>
    <row r="7" ht="15" customHeight="1" s="107">
      <c r="A7" s="125">
        <f>'E M BATAILLARD'!B5</f>
        <v/>
      </c>
      <c r="B7" s="126">
        <f>HYPERLINK("#'E M BATAILLARD'!A1",'E M BATAILLARD'!B2)</f>
        <v/>
      </c>
      <c r="C7" s="127" t="n">
        <v>0</v>
      </c>
      <c r="D7" s="127" t="n">
        <v>0</v>
      </c>
      <c r="E7" s="127" t="n">
        <v>0</v>
      </c>
      <c r="F7" s="127" t="n">
        <v>0</v>
      </c>
      <c r="G7" s="127" t="n">
        <v>0</v>
      </c>
      <c r="H7" s="127" t="n">
        <v>0</v>
      </c>
      <c r="I7" s="127" t="n">
        <v>0</v>
      </c>
      <c r="J7" s="127" t="n">
        <v>0</v>
      </c>
      <c r="K7" s="127" t="n">
        <v>0</v>
      </c>
      <c r="L7" s="127" t="n">
        <v>0</v>
      </c>
      <c r="M7" s="127" t="n">
        <v>0</v>
      </c>
      <c r="N7" s="127" t="n">
        <v>0</v>
      </c>
      <c r="O7" s="127" t="n">
        <v>0</v>
      </c>
      <c r="P7" s="127" t="n">
        <v>0</v>
      </c>
      <c r="Q7" s="127" t="n">
        <v>0</v>
      </c>
      <c r="R7" s="127" t="n">
        <v>0</v>
      </c>
      <c r="S7" s="127" t="n">
        <v>0</v>
      </c>
      <c r="T7" s="127" t="n">
        <v>0</v>
      </c>
      <c r="U7" s="127" t="n">
        <v>0</v>
      </c>
    </row>
    <row r="8" ht="15" customHeight="1" s="107">
      <c r="A8" s="125">
        <f>'E M LEONARDO BOFF'!B5</f>
        <v/>
      </c>
      <c r="B8" s="126">
        <f>HYPERLINK("#'E M LEONARDO BOFF'!A1",'E M LEONARDO BOFF'!B2)</f>
        <v/>
      </c>
      <c r="C8" s="127" t="n">
        <v>0</v>
      </c>
      <c r="D8" s="127" t="n">
        <v>0</v>
      </c>
      <c r="E8" s="127" t="n">
        <v>0</v>
      </c>
      <c r="F8" s="127" t="n">
        <v>0</v>
      </c>
      <c r="G8" s="127" t="n">
        <v>0</v>
      </c>
      <c r="H8" s="127" t="n">
        <v>0</v>
      </c>
      <c r="I8" s="127" t="n">
        <v>0</v>
      </c>
      <c r="J8" s="127" t="n">
        <v>0</v>
      </c>
      <c r="K8" s="127" t="n">
        <v>0</v>
      </c>
      <c r="L8" s="127" t="n">
        <v>0</v>
      </c>
      <c r="M8" s="127" t="n">
        <v>0</v>
      </c>
      <c r="N8" s="127" t="n">
        <v>0</v>
      </c>
      <c r="O8" s="127" t="n">
        <v>0</v>
      </c>
      <c r="P8" s="127" t="n">
        <v>0</v>
      </c>
      <c r="Q8" s="127" t="n">
        <v>0</v>
      </c>
      <c r="R8" s="127" t="n">
        <v>0</v>
      </c>
      <c r="S8" s="127" t="n">
        <v>0</v>
      </c>
      <c r="T8" s="127" t="n">
        <v>0</v>
      </c>
      <c r="U8" s="127" t="n">
        <v>0</v>
      </c>
    </row>
    <row r="9" ht="15" customHeight="1" s="107">
      <c r="A9" s="125">
        <f>'E M CLEMENTE FERNANDES'!B5</f>
        <v/>
      </c>
      <c r="B9" s="126">
        <f>HYPERLINK("#'E M CLEMENTE FERNANDES'!A1",'E M CLEMENTE FERNANDES'!B2)</f>
        <v/>
      </c>
      <c r="C9" s="127" t="n">
        <v>0</v>
      </c>
      <c r="D9" s="127" t="n">
        <v>0</v>
      </c>
      <c r="E9" s="127" t="n">
        <v>0</v>
      </c>
      <c r="F9" s="127" t="n">
        <v>0</v>
      </c>
      <c r="G9" s="127" t="n">
        <v>0</v>
      </c>
      <c r="H9" s="127" t="n">
        <v>0</v>
      </c>
      <c r="I9" s="127" t="n">
        <v>0</v>
      </c>
      <c r="J9" s="127" t="n">
        <v>0</v>
      </c>
      <c r="K9" s="127" t="n">
        <v>0</v>
      </c>
      <c r="L9" s="127" t="n">
        <v>0</v>
      </c>
      <c r="M9" s="127" t="n">
        <v>0</v>
      </c>
      <c r="N9" s="127" t="n">
        <v>0</v>
      </c>
      <c r="O9" s="127" t="n">
        <v>0</v>
      </c>
      <c r="P9" s="127" t="n">
        <v>0</v>
      </c>
      <c r="Q9" s="127" t="n">
        <v>0</v>
      </c>
      <c r="R9" s="127" t="n">
        <v>0</v>
      </c>
      <c r="S9" s="127" t="n">
        <v>0</v>
      </c>
      <c r="T9" s="127" t="n">
        <v>0</v>
      </c>
      <c r="U9" s="127" t="n">
        <v>0</v>
      </c>
    </row>
    <row r="10" ht="15" customHeight="1" s="107">
      <c r="A10" s="125">
        <f>'E M DOM PEDRO DE ALCÂNTARA'!B5</f>
        <v/>
      </c>
      <c r="B10" s="126">
        <f>HYPERLINK("#'E M DOM PEDRO DE ALCÂNTARA'!A1",'E M DOM PEDRO DE ALCÂNTARA'!B2)</f>
        <v/>
      </c>
      <c r="C10" s="127" t="n">
        <v>0</v>
      </c>
      <c r="D10" s="127" t="n">
        <v>0</v>
      </c>
      <c r="E10" s="127" t="n">
        <v>0</v>
      </c>
      <c r="F10" s="127" t="n">
        <v>0</v>
      </c>
      <c r="G10" s="127" t="n">
        <v>0</v>
      </c>
      <c r="H10" s="127" t="n">
        <v>0</v>
      </c>
      <c r="I10" s="127" t="n">
        <v>0</v>
      </c>
      <c r="J10" s="127" t="n">
        <v>0</v>
      </c>
      <c r="K10" s="127" t="n">
        <v>0</v>
      </c>
      <c r="L10" s="127" t="n">
        <v>0</v>
      </c>
      <c r="M10" s="127" t="n">
        <v>0</v>
      </c>
      <c r="N10" s="127" t="n">
        <v>0</v>
      </c>
      <c r="O10" s="127" t="n">
        <v>0</v>
      </c>
      <c r="P10" s="127" t="n">
        <v>0</v>
      </c>
      <c r="Q10" s="127" t="n">
        <v>0</v>
      </c>
      <c r="R10" s="127" t="n">
        <v>0</v>
      </c>
      <c r="S10" s="127" t="n">
        <v>0</v>
      </c>
      <c r="T10" s="127" t="n">
        <v>0</v>
      </c>
      <c r="U10" s="127" t="n">
        <v>0</v>
      </c>
    </row>
    <row r="11" ht="15" customHeight="1" s="107">
      <c r="A11" s="125">
        <f>'E M DUQUE DE CAXIAS'!B5</f>
        <v/>
      </c>
      <c r="B11" s="126">
        <f>HYPERLINK("#'E M DUQUE DE CAXIAS'!A1",'E M DUQUE DE CAXIAS'!B2)</f>
        <v/>
      </c>
      <c r="C11" s="127" t="n">
        <v>0</v>
      </c>
      <c r="D11" s="127" t="n">
        <v>0</v>
      </c>
      <c r="E11" s="127" t="n">
        <v>0</v>
      </c>
      <c r="F11" s="127" t="n">
        <v>0</v>
      </c>
      <c r="G11" s="127" t="n">
        <v>0</v>
      </c>
      <c r="H11" s="127" t="n">
        <v>0</v>
      </c>
      <c r="I11" s="127" t="n">
        <v>0</v>
      </c>
      <c r="J11" s="127" t="n">
        <v>0</v>
      </c>
      <c r="K11" s="127" t="n">
        <v>0</v>
      </c>
      <c r="L11" s="127" t="n">
        <v>0</v>
      </c>
      <c r="M11" s="127" t="n">
        <v>0</v>
      </c>
      <c r="N11" s="127" t="n">
        <v>0</v>
      </c>
      <c r="O11" s="127" t="n">
        <v>0</v>
      </c>
      <c r="P11" s="127" t="n">
        <v>0</v>
      </c>
      <c r="Q11" s="127" t="n">
        <v>0</v>
      </c>
      <c r="R11" s="127" t="n">
        <v>0</v>
      </c>
      <c r="S11" s="127" t="n">
        <v>0</v>
      </c>
      <c r="T11" s="127" t="n">
        <v>0</v>
      </c>
      <c r="U11" s="127" t="n">
        <v>0</v>
      </c>
    </row>
    <row r="12" ht="15" customHeight="1" s="107">
      <c r="A12" s="125">
        <f>'E M LUIZ CARLOS SOARES'!B5</f>
        <v/>
      </c>
      <c r="B12" s="126">
        <f>HYPERLINK("#'E M LUIZ CARLOS SOARES'!A1",'E M LUIZ CARLOS SOARES'!B2)</f>
        <v/>
      </c>
      <c r="C12" s="127" t="n">
        <v>0</v>
      </c>
      <c r="D12" s="127" t="n">
        <v>0</v>
      </c>
      <c r="E12" s="127" t="n">
        <v>0</v>
      </c>
      <c r="F12" s="127" t="n">
        <v>0</v>
      </c>
      <c r="G12" s="127" t="n">
        <v>0</v>
      </c>
      <c r="H12" s="127" t="n">
        <v>0</v>
      </c>
      <c r="I12" s="127" t="n">
        <v>0</v>
      </c>
      <c r="J12" s="127" t="n">
        <v>0</v>
      </c>
      <c r="K12" s="127" t="n">
        <v>0</v>
      </c>
      <c r="L12" s="127" t="n">
        <v>0</v>
      </c>
      <c r="M12" s="127" t="n">
        <v>0</v>
      </c>
      <c r="N12" s="127" t="n">
        <v>0</v>
      </c>
      <c r="O12" s="127" t="n">
        <v>0</v>
      </c>
      <c r="P12" s="127" t="n">
        <v>0</v>
      </c>
      <c r="Q12" s="127" t="n">
        <v>0</v>
      </c>
      <c r="R12" s="127" t="n">
        <v>0</v>
      </c>
      <c r="S12" s="127" t="n">
        <v>0</v>
      </c>
      <c r="T12" s="127" t="n">
        <v>0</v>
      </c>
      <c r="U12" s="127" t="n">
        <v>0</v>
      </c>
    </row>
    <row r="13" ht="15" customHeight="1" s="107">
      <c r="A13" s="125">
        <f>'ESCOLA MUNICIPAL GENERAL HEITOR'!B5</f>
        <v/>
      </c>
      <c r="B13" s="126">
        <f>HYPERLINK("#'ESCOLA MUNICIPAL GENERAL HEITOR'!A1",'ESCOLA MUNICIPAL GENERAL HEITOR'!B2)</f>
        <v/>
      </c>
      <c r="C13" s="127" t="n">
        <v>0</v>
      </c>
      <c r="D13" s="127" t="n">
        <v>0</v>
      </c>
      <c r="E13" s="127" t="n">
        <v>0</v>
      </c>
      <c r="F13" s="127" t="n">
        <v>0</v>
      </c>
      <c r="G13" s="127" t="n">
        <v>0</v>
      </c>
      <c r="H13" s="127" t="n">
        <v>0</v>
      </c>
      <c r="I13" s="127" t="n">
        <v>0</v>
      </c>
      <c r="J13" s="127" t="n">
        <v>0</v>
      </c>
      <c r="K13" s="127" t="n">
        <v>0</v>
      </c>
      <c r="L13" s="127" t="n">
        <v>0</v>
      </c>
      <c r="M13" s="127" t="n">
        <v>0</v>
      </c>
      <c r="N13" s="127" t="n">
        <v>0</v>
      </c>
      <c r="O13" s="127" t="n">
        <v>0</v>
      </c>
      <c r="P13" s="127" t="n">
        <v>0</v>
      </c>
      <c r="Q13" s="127" t="n">
        <v>0</v>
      </c>
      <c r="R13" s="127" t="n">
        <v>0</v>
      </c>
      <c r="S13" s="127" t="n">
        <v>0</v>
      </c>
      <c r="T13" s="127" t="n">
        <v>0</v>
      </c>
      <c r="U13" s="127" t="n">
        <v>0</v>
      </c>
    </row>
    <row r="14" ht="15" customHeight="1" s="107">
      <c r="A14" s="125">
        <f>'E M JOÃO KOPKE'!B5</f>
        <v/>
      </c>
      <c r="B14" s="126">
        <f>HYPERLINK("#'E M JOÃO KOPKE'!A1",'E M JOÃO KOPKE'!B2)</f>
        <v/>
      </c>
      <c r="C14" s="127" t="n">
        <v>0</v>
      </c>
      <c r="D14" s="127" t="n">
        <v>0</v>
      </c>
      <c r="E14" s="127" t="n">
        <v>0</v>
      </c>
      <c r="F14" s="127" t="n">
        <v>0</v>
      </c>
      <c r="G14" s="127" t="n">
        <v>0</v>
      </c>
      <c r="H14" s="127" t="n">
        <v>0</v>
      </c>
      <c r="I14" s="127" t="n">
        <v>0</v>
      </c>
      <c r="J14" s="127" t="n">
        <v>0</v>
      </c>
      <c r="K14" s="127" t="n">
        <v>0</v>
      </c>
      <c r="L14" s="127" t="n">
        <v>0</v>
      </c>
      <c r="M14" s="127" t="n">
        <v>0</v>
      </c>
      <c r="N14" s="127" t="n">
        <v>0</v>
      </c>
      <c r="O14" s="127" t="n">
        <v>0</v>
      </c>
      <c r="P14" s="127" t="n">
        <v>0</v>
      </c>
      <c r="Q14" s="127" t="n">
        <v>0</v>
      </c>
      <c r="R14" s="127" t="n">
        <v>0</v>
      </c>
      <c r="S14" s="127" t="n">
        <v>0</v>
      </c>
      <c r="T14" s="127" t="n">
        <v>0</v>
      </c>
      <c r="U14" s="127" t="n">
        <v>0</v>
      </c>
    </row>
    <row r="15" ht="15" customHeight="1" s="107">
      <c r="A15" s="125">
        <f>'ESCOLA MUNICIPAL ODETTE FONSECA'!B5</f>
        <v/>
      </c>
      <c r="B15" s="126">
        <f>HYPERLINK("#'ESCOLA MUNICIPAL ODETTE FONSECA'!A1",'ESCOLA MUNICIPAL ODETTE FONSECA'!B2)</f>
        <v/>
      </c>
      <c r="C15" s="127" t="n">
        <v>0</v>
      </c>
      <c r="D15" s="127" t="n">
        <v>0</v>
      </c>
      <c r="E15" s="127" t="n">
        <v>0</v>
      </c>
      <c r="F15" s="127" t="n">
        <v>0</v>
      </c>
      <c r="G15" s="127" t="n">
        <v>0</v>
      </c>
      <c r="H15" s="127" t="n">
        <v>0</v>
      </c>
      <c r="I15" s="127" t="n">
        <v>0</v>
      </c>
      <c r="J15" s="127" t="n">
        <v>0</v>
      </c>
      <c r="K15" s="127" t="n">
        <v>0</v>
      </c>
      <c r="L15" s="127" t="n">
        <v>0</v>
      </c>
      <c r="M15" s="127" t="n">
        <v>0</v>
      </c>
      <c r="N15" s="127" t="n">
        <v>0</v>
      </c>
      <c r="O15" s="127" t="n">
        <v>0</v>
      </c>
      <c r="P15" s="127" t="n">
        <v>0</v>
      </c>
      <c r="Q15" s="127" t="n">
        <v>0</v>
      </c>
      <c r="R15" s="127" t="n">
        <v>0</v>
      </c>
      <c r="S15" s="127" t="n">
        <v>0</v>
      </c>
      <c r="T15" s="127" t="n">
        <v>0</v>
      </c>
      <c r="U15" s="127" t="n">
        <v>0</v>
      </c>
    </row>
    <row r="16" ht="15" customHeight="1" s="107">
      <c r="A16" s="125">
        <f>'E M GOVERNADOR MARCELLO ALENCAR'!B5</f>
        <v/>
      </c>
      <c r="B16" s="126">
        <f>HYPERLINK("#'E M GOVERNADOR MARCELLO ALENCAR'!A1",'E M GOVERNADOR MARCELLO ALENCAR'!B2)</f>
        <v/>
      </c>
      <c r="C16" s="127" t="n">
        <v>0</v>
      </c>
      <c r="D16" s="127" t="n">
        <v>0</v>
      </c>
      <c r="E16" s="127" t="n">
        <v>0</v>
      </c>
      <c r="F16" s="127" t="n">
        <v>0</v>
      </c>
      <c r="G16" s="127" t="n">
        <v>0</v>
      </c>
      <c r="H16" s="127" t="n">
        <v>0</v>
      </c>
      <c r="I16" s="127" t="n">
        <v>0</v>
      </c>
      <c r="J16" s="127" t="n">
        <v>0</v>
      </c>
      <c r="K16" s="127" t="n">
        <v>0</v>
      </c>
      <c r="L16" s="127" t="n">
        <v>0</v>
      </c>
      <c r="M16" s="127" t="n">
        <v>0</v>
      </c>
      <c r="N16" s="127" t="n">
        <v>0</v>
      </c>
      <c r="O16" s="127" t="n">
        <v>0</v>
      </c>
      <c r="P16" s="127" t="n">
        <v>0</v>
      </c>
      <c r="Q16" s="127" t="n">
        <v>0</v>
      </c>
      <c r="R16" s="127" t="n">
        <v>0</v>
      </c>
      <c r="S16" s="127" t="n">
        <v>0</v>
      </c>
      <c r="T16" s="127" t="n">
        <v>0</v>
      </c>
      <c r="U16" s="127" t="n">
        <v>0</v>
      </c>
    </row>
    <row r="17" ht="15" customHeight="1" s="107">
      <c r="A17" s="125">
        <f>'E M PROF JOAQUIM DEISTER'!B5</f>
        <v/>
      </c>
      <c r="B17" s="126">
        <f>HYPERLINK("#'E M PROF JOAQUIM DEISTER'!A1",'E M PROF JOAQUIM DEISTER'!B2)</f>
        <v/>
      </c>
      <c r="C17" s="127" t="n">
        <v>0</v>
      </c>
      <c r="D17" s="127" t="n">
        <v>0</v>
      </c>
      <c r="E17" s="127" t="n">
        <v>0</v>
      </c>
      <c r="F17" s="127" t="n">
        <v>0</v>
      </c>
      <c r="G17" s="127" t="n">
        <v>0</v>
      </c>
      <c r="H17" s="127" t="n">
        <v>0</v>
      </c>
      <c r="I17" s="127" t="n">
        <v>0</v>
      </c>
      <c r="J17" s="127" t="n">
        <v>0</v>
      </c>
      <c r="K17" s="127" t="n">
        <v>0</v>
      </c>
      <c r="L17" s="127" t="n">
        <v>0</v>
      </c>
      <c r="M17" s="127" t="n">
        <v>0</v>
      </c>
      <c r="N17" s="127" t="n">
        <v>0</v>
      </c>
      <c r="O17" s="127" t="n">
        <v>0</v>
      </c>
      <c r="P17" s="127" t="n">
        <v>0</v>
      </c>
      <c r="Q17" s="127" t="n">
        <v>0</v>
      </c>
      <c r="R17" s="127" t="n">
        <v>0</v>
      </c>
      <c r="S17" s="127" t="n">
        <v>0</v>
      </c>
      <c r="T17" s="127" t="n">
        <v>0</v>
      </c>
      <c r="U17" s="127" t="n">
        <v>0</v>
      </c>
    </row>
    <row r="18" ht="15" customHeight="1" s="107">
      <c r="A18" s="125">
        <f>'E M ROBERT KENNEDY'!B5</f>
        <v/>
      </c>
      <c r="B18" s="126">
        <f>HYPERLINK("#'E M ROBERT KENNEDY'!A1",'E M ROBERT KENNEDY'!B2)</f>
        <v/>
      </c>
      <c r="C18" s="127" t="n">
        <v>0</v>
      </c>
      <c r="D18" s="127" t="n">
        <v>0</v>
      </c>
      <c r="E18" s="127" t="n">
        <v>0</v>
      </c>
      <c r="F18" s="127" t="n">
        <v>0</v>
      </c>
      <c r="G18" s="127" t="n">
        <v>0</v>
      </c>
      <c r="H18" s="127" t="n">
        <v>0</v>
      </c>
      <c r="I18" s="127" t="n">
        <v>0</v>
      </c>
      <c r="J18" s="127" t="n">
        <v>0</v>
      </c>
      <c r="K18" s="127" t="n">
        <v>0</v>
      </c>
      <c r="L18" s="127" t="n">
        <v>0</v>
      </c>
      <c r="M18" s="127" t="n">
        <v>0</v>
      </c>
      <c r="N18" s="127" t="n">
        <v>0</v>
      </c>
      <c r="O18" s="127" t="n">
        <v>0</v>
      </c>
      <c r="P18" s="127" t="n">
        <v>0</v>
      </c>
      <c r="Q18" s="127" t="n">
        <v>0</v>
      </c>
      <c r="R18" s="127" t="n">
        <v>0</v>
      </c>
      <c r="S18" s="127" t="n">
        <v>0</v>
      </c>
      <c r="T18" s="127" t="n">
        <v>0</v>
      </c>
      <c r="U18" s="127" t="n">
        <v>0</v>
      </c>
    </row>
    <row r="19" ht="15" customHeight="1" s="107">
      <c r="A19" s="125">
        <f>'E M ROTARY'!B5</f>
        <v/>
      </c>
      <c r="B19" s="126">
        <f>HYPERLINK("#'E M ROTARY'!A1",'E M ROTARY'!B2)</f>
        <v/>
      </c>
      <c r="C19" s="127" t="n">
        <v>0</v>
      </c>
      <c r="D19" s="127" t="n">
        <v>0</v>
      </c>
      <c r="E19" s="127" t="n">
        <v>0</v>
      </c>
      <c r="F19" s="127" t="n">
        <v>0</v>
      </c>
      <c r="G19" s="127" t="n">
        <v>0</v>
      </c>
      <c r="H19" s="127" t="n">
        <v>0</v>
      </c>
      <c r="I19" s="127" t="n">
        <v>0</v>
      </c>
      <c r="J19" s="127" t="n">
        <v>0</v>
      </c>
      <c r="K19" s="127" t="n">
        <v>0</v>
      </c>
      <c r="L19" s="127" t="n">
        <v>0</v>
      </c>
      <c r="M19" s="127" t="n">
        <v>0</v>
      </c>
      <c r="N19" s="127" t="n">
        <v>0</v>
      </c>
      <c r="O19" s="127" t="n">
        <v>0</v>
      </c>
      <c r="P19" s="127" t="n">
        <v>0</v>
      </c>
      <c r="Q19" s="127" t="n">
        <v>0</v>
      </c>
      <c r="R19" s="127" t="n">
        <v>0</v>
      </c>
      <c r="S19" s="127" t="n">
        <v>0</v>
      </c>
      <c r="T19" s="127" t="n">
        <v>0</v>
      </c>
      <c r="U19" s="127" t="n">
        <v>0</v>
      </c>
    </row>
    <row r="20" ht="15" customHeight="1" s="107">
      <c r="A20" s="125">
        <f>'E M ROSALINA NICOLAY'!B5</f>
        <v/>
      </c>
      <c r="B20" s="126">
        <f>HYPERLINK("#'E M ROSALINA NICOLAY'!A1",'E M ROSALINA NICOLAY'!B2)</f>
        <v/>
      </c>
      <c r="C20" s="127" t="n">
        <v>0</v>
      </c>
      <c r="D20" s="127" t="n">
        <v>0</v>
      </c>
      <c r="E20" s="127" t="n">
        <v>0</v>
      </c>
      <c r="F20" s="127" t="n">
        <v>0</v>
      </c>
      <c r="G20" s="127" t="n">
        <v>0</v>
      </c>
      <c r="H20" s="127" t="n">
        <v>0</v>
      </c>
      <c r="I20" s="127" t="n">
        <v>0</v>
      </c>
      <c r="J20" s="127" t="n">
        <v>0</v>
      </c>
      <c r="K20" s="127" t="n">
        <v>0</v>
      </c>
      <c r="L20" s="127" t="n">
        <v>0</v>
      </c>
      <c r="M20" s="127" t="n">
        <v>0</v>
      </c>
      <c r="N20" s="127" t="n">
        <v>0</v>
      </c>
      <c r="O20" s="127" t="n">
        <v>0</v>
      </c>
      <c r="P20" s="127" t="n">
        <v>0</v>
      </c>
      <c r="Q20" s="127" t="n">
        <v>0</v>
      </c>
      <c r="R20" s="127" t="n">
        <v>0</v>
      </c>
      <c r="S20" s="127" t="n">
        <v>0</v>
      </c>
      <c r="T20" s="127" t="n">
        <v>0</v>
      </c>
      <c r="U20" s="127" t="n">
        <v>0</v>
      </c>
    </row>
    <row r="21" ht="15" customHeight="1" s="107">
      <c r="A21" s="125">
        <f>'E M DE EDUCAÇÃO ESPECIAL SANTOS'!B5</f>
        <v/>
      </c>
      <c r="B21" s="126">
        <f>HYPERLINK("#'E M DE EDUCAÇÃO ESPECIAL SANTOS'!A1",'E M DE EDUCAÇÃO ESPECIAL SANTOS'!B2)</f>
        <v/>
      </c>
      <c r="C21" s="127" t="n">
        <v>0</v>
      </c>
      <c r="D21" s="127" t="n">
        <v>0</v>
      </c>
      <c r="E21" s="127" t="n">
        <v>0</v>
      </c>
      <c r="F21" s="127" t="n">
        <v>0</v>
      </c>
      <c r="G21" s="127" t="n">
        <v>0</v>
      </c>
      <c r="H21" s="127" t="n">
        <v>0</v>
      </c>
      <c r="I21" s="127" t="n">
        <v>0</v>
      </c>
      <c r="J21" s="127" t="n">
        <v>0</v>
      </c>
      <c r="K21" s="127" t="n">
        <v>0</v>
      </c>
      <c r="L21" s="127" t="n">
        <v>0</v>
      </c>
      <c r="M21" s="127" t="n">
        <v>0</v>
      </c>
      <c r="N21" s="127" t="n">
        <v>0</v>
      </c>
      <c r="O21" s="127" t="n">
        <v>0</v>
      </c>
      <c r="P21" s="127" t="n">
        <v>0</v>
      </c>
      <c r="Q21" s="127" t="n">
        <v>0</v>
      </c>
      <c r="R21" s="127" t="n">
        <v>0</v>
      </c>
      <c r="S21" s="127" t="n">
        <v>0</v>
      </c>
      <c r="T21" s="127" t="n">
        <v>0</v>
      </c>
      <c r="U21" s="127" t="n">
        <v>0</v>
      </c>
    </row>
    <row r="22" ht="15" customHeight="1" s="107">
      <c r="A22" s="125">
        <f>'E M SOROPTIMISTA'!B5</f>
        <v/>
      </c>
      <c r="B22" s="126">
        <f>HYPERLINK("#'E M SOROPTIMISTA'!A1",'E M SOROPTIMISTA'!B2)</f>
        <v/>
      </c>
      <c r="C22" s="127" t="n">
        <v>0</v>
      </c>
      <c r="D22" s="127" t="n">
        <v>0</v>
      </c>
      <c r="E22" s="127" t="n">
        <v>0</v>
      </c>
      <c r="F22" s="127" t="n">
        <v>0</v>
      </c>
      <c r="G22" s="127" t="n">
        <v>0</v>
      </c>
      <c r="H22" s="127" t="n">
        <v>0</v>
      </c>
      <c r="I22" s="127" t="n">
        <v>0</v>
      </c>
      <c r="J22" s="127" t="n">
        <v>0</v>
      </c>
      <c r="K22" s="127" t="n">
        <v>0</v>
      </c>
      <c r="L22" s="127" t="n">
        <v>0</v>
      </c>
      <c r="M22" s="127" t="n">
        <v>0</v>
      </c>
      <c r="N22" s="127" t="n">
        <v>0</v>
      </c>
      <c r="O22" s="127" t="n">
        <v>0</v>
      </c>
      <c r="P22" s="127" t="n">
        <v>0</v>
      </c>
      <c r="Q22" s="127" t="n">
        <v>0</v>
      </c>
      <c r="R22" s="127" t="n">
        <v>0</v>
      </c>
      <c r="S22" s="127" t="n">
        <v>0</v>
      </c>
      <c r="T22" s="127" t="n">
        <v>0</v>
      </c>
      <c r="U22" s="127" t="n">
        <v>0</v>
      </c>
    </row>
    <row r="23" ht="15" customHeight="1" s="107">
      <c r="A23" s="125">
        <f>'LICEU MUN PREFEITO CORDOLINO AM'!B5</f>
        <v/>
      </c>
      <c r="B23" s="126">
        <f>HYPERLINK("#'LICEU MUN PREFEITO CORDOLINO AM'!A1",'LICEU MUN PREFEITO CORDOLINO AM'!B2)</f>
        <v/>
      </c>
      <c r="C23" s="127" t="n">
        <v>0</v>
      </c>
      <c r="D23" s="127" t="n">
        <v>0</v>
      </c>
      <c r="E23" s="127" t="n">
        <v>0</v>
      </c>
      <c r="F23" s="127" t="n">
        <v>0</v>
      </c>
      <c r="G23" s="127" t="n">
        <v>0</v>
      </c>
      <c r="H23" s="127" t="n">
        <v>0</v>
      </c>
      <c r="I23" s="127" t="n">
        <v>0</v>
      </c>
      <c r="J23" s="127" t="n">
        <v>0</v>
      </c>
      <c r="K23" s="127" t="n">
        <v>0</v>
      </c>
      <c r="L23" s="127" t="n">
        <v>0</v>
      </c>
      <c r="M23" s="127" t="n">
        <v>0</v>
      </c>
      <c r="N23" s="127" t="n">
        <v>0</v>
      </c>
      <c r="O23" s="127" t="n">
        <v>0</v>
      </c>
      <c r="P23" s="127" t="n">
        <v>0</v>
      </c>
      <c r="Q23" s="127" t="n">
        <v>0</v>
      </c>
      <c r="R23" s="127" t="n">
        <v>0</v>
      </c>
      <c r="S23" s="127" t="n">
        <v>0</v>
      </c>
      <c r="T23" s="127" t="n">
        <v>0</v>
      </c>
      <c r="U23" s="127" t="n">
        <v>0</v>
      </c>
    </row>
    <row r="24" ht="15" customHeight="1" s="107">
      <c r="A24" s="125">
        <f>'E M ANTÔNIO LEITE GARCIA'!B5</f>
        <v/>
      </c>
      <c r="B24" s="126">
        <f>HYPERLINK("#'E M ANTÔNIO LEITE GARCIA'!A1",'E M ANTÔNIO LEITE GARCIA'!B2)</f>
        <v/>
      </c>
      <c r="C24" s="127" t="n">
        <v>0</v>
      </c>
      <c r="D24" s="127" t="n">
        <v>0</v>
      </c>
      <c r="E24" s="127" t="n">
        <v>0</v>
      </c>
      <c r="F24" s="127" t="n">
        <v>0</v>
      </c>
      <c r="G24" s="127" t="n">
        <v>0</v>
      </c>
      <c r="H24" s="127" t="n">
        <v>0</v>
      </c>
      <c r="I24" s="127" t="n">
        <v>0</v>
      </c>
      <c r="J24" s="127" t="n">
        <v>0</v>
      </c>
      <c r="K24" s="127" t="n">
        <v>0</v>
      </c>
      <c r="L24" s="127" t="n">
        <v>0</v>
      </c>
      <c r="M24" s="127" t="n">
        <v>0</v>
      </c>
      <c r="N24" s="127" t="n">
        <v>0</v>
      </c>
      <c r="O24" s="127" t="n">
        <v>0</v>
      </c>
      <c r="P24" s="127" t="n">
        <v>0</v>
      </c>
      <c r="Q24" s="127" t="n">
        <v>0</v>
      </c>
      <c r="R24" s="127" t="n">
        <v>0</v>
      </c>
      <c r="S24" s="127" t="n">
        <v>0</v>
      </c>
      <c r="T24" s="127" t="n">
        <v>0</v>
      </c>
      <c r="U24" s="127" t="n">
        <v>0</v>
      </c>
    </row>
    <row r="25" ht="15" customHeight="1" s="107">
      <c r="A25" s="125">
        <f>'ESCOLA MUNICIPAL JORGE AMADO'!B5</f>
        <v/>
      </c>
      <c r="B25" s="126">
        <f>HYPERLINK("#'ESCOLA MUNICIPAL JORGE AMADO'!A1",'ESCOLA MUNICIPAL JORGE AMADO'!B2)</f>
        <v/>
      </c>
      <c r="C25" s="127" t="n">
        <v>0</v>
      </c>
      <c r="D25" s="127" t="n">
        <v>0</v>
      </c>
      <c r="E25" s="127" t="n">
        <v>0</v>
      </c>
      <c r="F25" s="127" t="n">
        <v>0</v>
      </c>
      <c r="G25" s="127" t="n">
        <v>0</v>
      </c>
      <c r="H25" s="127" t="n">
        <v>0</v>
      </c>
      <c r="I25" s="127" t="n">
        <v>0</v>
      </c>
      <c r="J25" s="127" t="n">
        <v>0</v>
      </c>
      <c r="K25" s="127" t="n">
        <v>0</v>
      </c>
      <c r="L25" s="127" t="n">
        <v>0</v>
      </c>
      <c r="M25" s="127" t="n">
        <v>0</v>
      </c>
      <c r="N25" s="127" t="n">
        <v>0</v>
      </c>
      <c r="O25" s="127" t="n">
        <v>0</v>
      </c>
      <c r="P25" s="127" t="n">
        <v>0</v>
      </c>
      <c r="Q25" s="127" t="n">
        <v>0</v>
      </c>
      <c r="R25" s="127" t="n">
        <v>0</v>
      </c>
      <c r="S25" s="127" t="n">
        <v>0</v>
      </c>
      <c r="T25" s="127" t="n">
        <v>0</v>
      </c>
      <c r="U25" s="127" t="n">
        <v>0</v>
      </c>
    </row>
    <row r="26" ht="15" customHeight="1" s="107">
      <c r="A26" s="125">
        <f>'ESCOLA MUNICIPAL LÚCIA DE ALMEI'!B5</f>
        <v/>
      </c>
      <c r="B26" s="126">
        <f>HYPERLINK("#'ESCOLA MUNICIPAL LÚCIA DE ALMEI'!A1",'ESCOLA MUNICIPAL LÚCIA DE ALMEI'!B2)</f>
        <v/>
      </c>
      <c r="C26" s="127" t="n">
        <v>0</v>
      </c>
      <c r="D26" s="127" t="n">
        <v>0</v>
      </c>
      <c r="E26" s="127" t="n">
        <v>0</v>
      </c>
      <c r="F26" s="127" t="n">
        <v>0</v>
      </c>
      <c r="G26" s="127" t="n">
        <v>0</v>
      </c>
      <c r="H26" s="127" t="n">
        <v>0</v>
      </c>
      <c r="I26" s="127" t="n">
        <v>0</v>
      </c>
      <c r="J26" s="127" t="n">
        <v>0</v>
      </c>
      <c r="K26" s="127" t="n">
        <v>0</v>
      </c>
      <c r="L26" s="127" t="n">
        <v>0</v>
      </c>
      <c r="M26" s="127" t="n">
        <v>0</v>
      </c>
      <c r="N26" s="127" t="n">
        <v>0</v>
      </c>
      <c r="O26" s="127" t="n">
        <v>0</v>
      </c>
      <c r="P26" s="127" t="n">
        <v>0</v>
      </c>
      <c r="Q26" s="127" t="n">
        <v>0</v>
      </c>
      <c r="R26" s="127" t="n">
        <v>0</v>
      </c>
      <c r="S26" s="127" t="n">
        <v>0</v>
      </c>
      <c r="T26" s="127" t="n">
        <v>0</v>
      </c>
      <c r="U26" s="127" t="n">
        <v>0</v>
      </c>
    </row>
    <row r="27" ht="15" customHeight="1" s="107">
      <c r="A27" s="125">
        <f>'E M MAGDALENA TAGLIAFERRO'!B5</f>
        <v/>
      </c>
      <c r="B27" s="126">
        <f>HYPERLINK("#'E M MAGDALENA TAGLIAFERRO'!A1",'E M MAGDALENA TAGLIAFERRO'!B2)</f>
        <v/>
      </c>
      <c r="C27" s="127" t="n">
        <v>0</v>
      </c>
      <c r="D27" s="127" t="n">
        <v>0</v>
      </c>
      <c r="E27" s="127" t="n">
        <v>0</v>
      </c>
      <c r="F27" s="127" t="n">
        <v>0</v>
      </c>
      <c r="G27" s="127" t="n">
        <v>0</v>
      </c>
      <c r="H27" s="127" t="n">
        <v>0</v>
      </c>
      <c r="I27" s="127" t="n">
        <v>0</v>
      </c>
      <c r="J27" s="127" t="n">
        <v>0</v>
      </c>
      <c r="K27" s="127" t="n">
        <v>0</v>
      </c>
      <c r="L27" s="127" t="n">
        <v>0</v>
      </c>
      <c r="M27" s="127" t="n">
        <v>0</v>
      </c>
      <c r="N27" s="127" t="n">
        <v>0</v>
      </c>
      <c r="O27" s="127" t="n">
        <v>0</v>
      </c>
      <c r="P27" s="127" t="n">
        <v>0</v>
      </c>
      <c r="Q27" s="127" t="n">
        <v>0</v>
      </c>
      <c r="R27" s="127" t="n">
        <v>0</v>
      </c>
      <c r="S27" s="127" t="n">
        <v>0</v>
      </c>
      <c r="T27" s="127" t="n">
        <v>0</v>
      </c>
      <c r="U27" s="127" t="n">
        <v>0</v>
      </c>
    </row>
    <row r="28" ht="15" customHeight="1" s="107">
      <c r="A28" s="125">
        <f>'ESCOLA MUNICIPAL MAJOR JÚLIO FR'!B5</f>
        <v/>
      </c>
      <c r="B28" s="126">
        <f>HYPERLINK("#'ESCOLA MUNICIPAL MAJOR JÚLIO FR'!A1",'ESCOLA MUNICIPAL MAJOR JÚLIO FR'!B2)</f>
        <v/>
      </c>
      <c r="C28" s="127" t="n">
        <v>0</v>
      </c>
      <c r="D28" s="127" t="n">
        <v>0</v>
      </c>
      <c r="E28" s="127" t="n">
        <v>0</v>
      </c>
      <c r="F28" s="127" t="n">
        <v>0</v>
      </c>
      <c r="G28" s="127" t="n">
        <v>0</v>
      </c>
      <c r="H28" s="127" t="n">
        <v>0</v>
      </c>
      <c r="I28" s="127" t="n">
        <v>0</v>
      </c>
      <c r="J28" s="127" t="n">
        <v>0</v>
      </c>
      <c r="K28" s="127" t="n">
        <v>0</v>
      </c>
      <c r="L28" s="127" t="n">
        <v>0</v>
      </c>
      <c r="M28" s="127" t="n">
        <v>0</v>
      </c>
      <c r="N28" s="127" t="n">
        <v>0</v>
      </c>
      <c r="O28" s="127" t="n">
        <v>0</v>
      </c>
      <c r="P28" s="127" t="n">
        <v>0</v>
      </c>
      <c r="Q28" s="127" t="n">
        <v>0</v>
      </c>
      <c r="R28" s="127" t="n">
        <v>0</v>
      </c>
      <c r="S28" s="127" t="n">
        <v>0</v>
      </c>
      <c r="T28" s="127" t="n">
        <v>0</v>
      </c>
      <c r="U28" s="127" t="n">
        <v>0</v>
      </c>
    </row>
    <row r="29" ht="15" customHeight="1" s="107">
      <c r="A29" s="125">
        <f>'E M MARIETA GONÇALVES'!B5</f>
        <v/>
      </c>
      <c r="B29" s="126">
        <f>HYPERLINK("#'E M MARIETA GONÇALVES'!A1",'E M MARIETA GONÇALVES'!B2)</f>
        <v/>
      </c>
      <c r="C29" s="127" t="n">
        <v>0</v>
      </c>
      <c r="D29" s="127" t="n">
        <v>0</v>
      </c>
      <c r="E29" s="127" t="n">
        <v>0</v>
      </c>
      <c r="F29" s="127" t="n">
        <v>0</v>
      </c>
      <c r="G29" s="127" t="n">
        <v>0</v>
      </c>
      <c r="H29" s="127" t="n">
        <v>0</v>
      </c>
      <c r="I29" s="127" t="n">
        <v>0</v>
      </c>
      <c r="J29" s="127" t="n">
        <v>0</v>
      </c>
      <c r="K29" s="127" t="n">
        <v>0</v>
      </c>
      <c r="L29" s="127" t="n">
        <v>0</v>
      </c>
      <c r="M29" s="127" t="n">
        <v>0</v>
      </c>
      <c r="N29" s="127" t="n">
        <v>0</v>
      </c>
      <c r="O29" s="127" t="n">
        <v>0</v>
      </c>
      <c r="P29" s="127" t="n">
        <v>0</v>
      </c>
      <c r="Q29" s="127" t="n">
        <v>0</v>
      </c>
      <c r="R29" s="127" t="n">
        <v>0</v>
      </c>
      <c r="S29" s="127" t="n">
        <v>0</v>
      </c>
      <c r="T29" s="127" t="n">
        <v>0</v>
      </c>
      <c r="U29" s="127" t="n">
        <v>0</v>
      </c>
    </row>
    <row r="30" ht="15" customHeight="1" s="107">
      <c r="A30" s="125">
        <f>'ESCOLA MUNICIPAL ODETTE YOUNG M'!B5</f>
        <v/>
      </c>
      <c r="B30" s="126">
        <f>HYPERLINK("#'ESCOLA MUNICIPAL ODETTE YOUNG M'!A1",'ESCOLA MUNICIPAL ODETTE YOUNG M'!B2)</f>
        <v/>
      </c>
      <c r="C30" s="127" t="n">
        <v>0</v>
      </c>
      <c r="D30" s="127" t="n">
        <v>0</v>
      </c>
      <c r="E30" s="127" t="n">
        <v>0</v>
      </c>
      <c r="F30" s="127" t="n">
        <v>0</v>
      </c>
      <c r="G30" s="127" t="n">
        <v>0</v>
      </c>
      <c r="H30" s="127" t="n">
        <v>0</v>
      </c>
      <c r="I30" s="127" t="n">
        <v>0</v>
      </c>
      <c r="J30" s="127" t="n">
        <v>0</v>
      </c>
      <c r="K30" s="127" t="n">
        <v>0</v>
      </c>
      <c r="L30" s="127" t="n">
        <v>0</v>
      </c>
      <c r="M30" s="127" t="n">
        <v>0</v>
      </c>
      <c r="N30" s="127" t="n">
        <v>0</v>
      </c>
      <c r="O30" s="127" t="n">
        <v>0</v>
      </c>
      <c r="P30" s="127" t="n">
        <v>0</v>
      </c>
      <c r="Q30" s="127" t="n">
        <v>0</v>
      </c>
      <c r="R30" s="127" t="n">
        <v>0</v>
      </c>
      <c r="S30" s="127" t="n">
        <v>0</v>
      </c>
      <c r="T30" s="127" t="n">
        <v>0</v>
      </c>
      <c r="U30" s="127" t="n">
        <v>0</v>
      </c>
    </row>
    <row r="31" ht="15" customHeight="1" s="107">
      <c r="A31" s="125">
        <f>'E M FÁBRICA DO SABER'!B5</f>
        <v/>
      </c>
      <c r="B31" s="126">
        <f>HYPERLINK("#'E M FÁBRICA DO SABER'!A1",'E M FÁBRICA DO SABER'!B2)</f>
        <v/>
      </c>
      <c r="C31" s="127" t="n">
        <v>0</v>
      </c>
      <c r="D31" s="127" t="n">
        <v>0</v>
      </c>
      <c r="E31" s="127" t="n">
        <v>0</v>
      </c>
      <c r="F31" s="127" t="n">
        <v>0</v>
      </c>
      <c r="G31" s="127" t="n">
        <v>0</v>
      </c>
      <c r="H31" s="127" t="n">
        <v>0</v>
      </c>
      <c r="I31" s="127" t="n">
        <v>0</v>
      </c>
      <c r="J31" s="127" t="n">
        <v>0</v>
      </c>
      <c r="K31" s="127" t="n">
        <v>0</v>
      </c>
      <c r="L31" s="127" t="n">
        <v>0</v>
      </c>
      <c r="M31" s="127" t="n">
        <v>0</v>
      </c>
      <c r="N31" s="127" t="n">
        <v>0</v>
      </c>
      <c r="O31" s="127" t="n">
        <v>0</v>
      </c>
      <c r="P31" s="127" t="n">
        <v>0</v>
      </c>
      <c r="Q31" s="127" t="n">
        <v>0</v>
      </c>
      <c r="R31" s="127" t="n">
        <v>0</v>
      </c>
      <c r="S31" s="127" t="n">
        <v>0</v>
      </c>
      <c r="T31" s="127" t="n">
        <v>0</v>
      </c>
      <c r="U31" s="127" t="n">
        <v>0</v>
      </c>
    </row>
    <row r="32" ht="15" customHeight="1" s="107">
      <c r="A32" s="125">
        <f>'ESCOLA MUNICIPAL PROFESSOR PAUL'!B5</f>
        <v/>
      </c>
      <c r="B32" s="126">
        <f>HYPERLINK("#'ESCOLA MUNICIPAL PROFESSOR PAUL'!A1",'ESCOLA MUNICIPAL PROFESSOR PAUL'!B2)</f>
        <v/>
      </c>
      <c r="C32" s="127" t="n">
        <v>0</v>
      </c>
      <c r="D32" s="127" t="n">
        <v>0</v>
      </c>
      <c r="E32" s="127" t="n">
        <v>0</v>
      </c>
      <c r="F32" s="127" t="n">
        <v>0</v>
      </c>
      <c r="G32" s="127" t="n">
        <v>0</v>
      </c>
      <c r="H32" s="127" t="n">
        <v>0</v>
      </c>
      <c r="I32" s="127" t="n">
        <v>0</v>
      </c>
      <c r="J32" s="127" t="n">
        <v>0</v>
      </c>
      <c r="K32" s="127" t="n">
        <v>0</v>
      </c>
      <c r="L32" s="127" t="n">
        <v>0</v>
      </c>
      <c r="M32" s="127" t="n">
        <v>0</v>
      </c>
      <c r="N32" s="127" t="n">
        <v>0</v>
      </c>
      <c r="O32" s="127" t="n">
        <v>0</v>
      </c>
      <c r="P32" s="127" t="n">
        <v>0</v>
      </c>
      <c r="Q32" s="127" t="n">
        <v>0</v>
      </c>
      <c r="R32" s="127" t="n">
        <v>0</v>
      </c>
      <c r="S32" s="127" t="n">
        <v>0</v>
      </c>
      <c r="T32" s="127" t="n">
        <v>0</v>
      </c>
      <c r="U32" s="127" t="n">
        <v>0</v>
      </c>
    </row>
    <row r="33" ht="15" customHeight="1" s="107">
      <c r="A33" s="125">
        <f>'E M ROSEMIRA DE OLIVEIRA CAVALC'!B5</f>
        <v/>
      </c>
      <c r="B33" s="126">
        <f>HYPERLINK("#'E M ROSEMIRA DE OLIVEIRA CAVALC'!A1",'E M ROSEMIRA DE OLIVEIRA CAVALC'!B2)</f>
        <v/>
      </c>
      <c r="C33" s="127" t="n">
        <v>0</v>
      </c>
      <c r="D33" s="127" t="n">
        <v>0</v>
      </c>
      <c r="E33" s="127" t="n">
        <v>0</v>
      </c>
      <c r="F33" s="127" t="n">
        <v>0</v>
      </c>
      <c r="G33" s="127" t="n">
        <v>0</v>
      </c>
      <c r="H33" s="127" t="n">
        <v>0</v>
      </c>
      <c r="I33" s="127" t="n">
        <v>0</v>
      </c>
      <c r="J33" s="127" t="n">
        <v>0</v>
      </c>
      <c r="K33" s="127" t="n">
        <v>0</v>
      </c>
      <c r="L33" s="127" t="n">
        <v>0</v>
      </c>
      <c r="M33" s="127" t="n">
        <v>0</v>
      </c>
      <c r="N33" s="127" t="n">
        <v>0</v>
      </c>
      <c r="O33" s="127" t="n">
        <v>0</v>
      </c>
      <c r="P33" s="127" t="n">
        <v>0</v>
      </c>
      <c r="Q33" s="127" t="n">
        <v>0</v>
      </c>
      <c r="R33" s="127" t="n">
        <v>0</v>
      </c>
      <c r="S33" s="127" t="n">
        <v>0</v>
      </c>
      <c r="T33" s="127" t="n">
        <v>0</v>
      </c>
      <c r="U33" s="127" t="n">
        <v>0</v>
      </c>
    </row>
    <row r="34" ht="15" customHeight="1" s="107">
      <c r="A34" s="125">
        <f>'E M AMÉLIA ANTUNES RABELLO'!B5</f>
        <v/>
      </c>
      <c r="B34" s="126">
        <f>HYPERLINK("#'E M AMÉLIA ANTUNES RABELLO'!A1",'E M AMÉLIA ANTUNES RABELLO'!B2)</f>
        <v/>
      </c>
      <c r="C34" s="127" t="n">
        <v>0</v>
      </c>
      <c r="D34" s="127" t="n">
        <v>0</v>
      </c>
      <c r="E34" s="127" t="n">
        <v>0</v>
      </c>
      <c r="F34" s="127" t="n">
        <v>0</v>
      </c>
      <c r="G34" s="127" t="n">
        <v>0</v>
      </c>
      <c r="H34" s="127" t="n">
        <v>0</v>
      </c>
      <c r="I34" s="127" t="n">
        <v>0</v>
      </c>
      <c r="J34" s="127" t="n">
        <v>0</v>
      </c>
      <c r="K34" s="127" t="n">
        <v>0</v>
      </c>
      <c r="L34" s="127" t="n">
        <v>0</v>
      </c>
      <c r="M34" s="127" t="n">
        <v>0</v>
      </c>
      <c r="N34" s="127" t="n">
        <v>0</v>
      </c>
      <c r="O34" s="127" t="n">
        <v>0</v>
      </c>
      <c r="P34" s="127" t="n">
        <v>0</v>
      </c>
      <c r="Q34" s="127" t="n">
        <v>0</v>
      </c>
      <c r="R34" s="127" t="n">
        <v>0</v>
      </c>
      <c r="S34" s="127" t="n">
        <v>0</v>
      </c>
      <c r="T34" s="127" t="n">
        <v>0</v>
      </c>
      <c r="U34" s="127" t="n">
        <v>0</v>
      </c>
    </row>
    <row r="35" ht="15" customHeight="1" s="107">
      <c r="A35" s="125">
        <f>'ESCOLA MUNICIPAL AUGUSTO PUGNAL'!B5</f>
        <v/>
      </c>
      <c r="B35" s="126">
        <f>HYPERLINK("#'ESCOLA MUNICIPAL AUGUSTO PUGNAL'!A1",'ESCOLA MUNICIPAL AUGUSTO PUGNAL'!B2)</f>
        <v/>
      </c>
      <c r="C35" s="127" t="n">
        <v>0</v>
      </c>
      <c r="D35" s="127" t="n">
        <v>0</v>
      </c>
      <c r="E35" s="127" t="n">
        <v>0</v>
      </c>
      <c r="F35" s="127" t="n">
        <v>0</v>
      </c>
      <c r="G35" s="127" t="n">
        <v>0</v>
      </c>
      <c r="H35" s="127" t="n">
        <v>0</v>
      </c>
      <c r="I35" s="127" t="n">
        <v>0</v>
      </c>
      <c r="J35" s="127" t="n">
        <v>0</v>
      </c>
      <c r="K35" s="127" t="n">
        <v>0</v>
      </c>
      <c r="L35" s="127" t="n">
        <v>0</v>
      </c>
      <c r="M35" s="127" t="n">
        <v>0</v>
      </c>
      <c r="N35" s="127" t="n">
        <v>0</v>
      </c>
      <c r="O35" s="127" t="n">
        <v>0</v>
      </c>
      <c r="P35" s="127" t="n">
        <v>0</v>
      </c>
      <c r="Q35" s="127" t="n">
        <v>0</v>
      </c>
      <c r="R35" s="127" t="n">
        <v>0</v>
      </c>
      <c r="S35" s="127" t="n">
        <v>0</v>
      </c>
      <c r="T35" s="127" t="n">
        <v>0</v>
      </c>
      <c r="U35" s="127" t="n">
        <v>0</v>
      </c>
    </row>
    <row r="36" ht="15" customHeight="1" s="107">
      <c r="A36" s="125">
        <f>'ESCOLA MUNICIPAL CELINA SCHECHN'!B5</f>
        <v/>
      </c>
      <c r="B36" s="126">
        <f>HYPERLINK("#'ESCOLA MUNICIPAL CELINA SCHECHN'!A1",'ESCOLA MUNICIPAL CELINA SCHECHN'!B2)</f>
        <v/>
      </c>
      <c r="C36" s="127" t="n">
        <v>0</v>
      </c>
      <c r="D36" s="127" t="n">
        <v>0</v>
      </c>
      <c r="E36" s="127" t="n">
        <v>0</v>
      </c>
      <c r="F36" s="127" t="n">
        <v>0</v>
      </c>
      <c r="G36" s="127" t="n">
        <v>0</v>
      </c>
      <c r="H36" s="127" t="n">
        <v>0</v>
      </c>
      <c r="I36" s="127" t="n">
        <v>0</v>
      </c>
      <c r="J36" s="127" t="n">
        <v>0</v>
      </c>
      <c r="K36" s="127" t="n">
        <v>0</v>
      </c>
      <c r="L36" s="127" t="n">
        <v>0</v>
      </c>
      <c r="M36" s="127" t="n">
        <v>0</v>
      </c>
      <c r="N36" s="127" t="n">
        <v>0</v>
      </c>
      <c r="O36" s="127" t="n">
        <v>0</v>
      </c>
      <c r="P36" s="127" t="n">
        <v>0</v>
      </c>
      <c r="Q36" s="127" t="n">
        <v>0</v>
      </c>
      <c r="R36" s="127" t="n">
        <v>0</v>
      </c>
      <c r="S36" s="127" t="n">
        <v>0</v>
      </c>
      <c r="T36" s="127" t="n">
        <v>0</v>
      </c>
      <c r="U36" s="127" t="n">
        <v>0</v>
      </c>
    </row>
    <row r="37" ht="15" customHeight="1" s="107">
      <c r="A37" s="125">
        <f>'E M DARCY CORREA DA VEIGA'!B5</f>
        <v/>
      </c>
      <c r="B37" s="126">
        <f>HYPERLINK("#'E M DARCY CORREA DA VEIGA'!A1",'E M DARCY CORREA DA VEIGA'!B2)</f>
        <v/>
      </c>
      <c r="C37" s="127" t="n">
        <v>0</v>
      </c>
      <c r="D37" s="127" t="n">
        <v>0</v>
      </c>
      <c r="E37" s="127" t="n">
        <v>0</v>
      </c>
      <c r="F37" s="127" t="n">
        <v>0</v>
      </c>
      <c r="G37" s="127" t="n">
        <v>0</v>
      </c>
      <c r="H37" s="127" t="n">
        <v>0</v>
      </c>
      <c r="I37" s="127" t="n">
        <v>0</v>
      </c>
      <c r="J37" s="127" t="n">
        <v>0</v>
      </c>
      <c r="K37" s="127" t="n">
        <v>0</v>
      </c>
      <c r="L37" s="127" t="n">
        <v>0</v>
      </c>
      <c r="M37" s="127" t="n">
        <v>0</v>
      </c>
      <c r="N37" s="127" t="n">
        <v>0</v>
      </c>
      <c r="O37" s="127" t="n">
        <v>0</v>
      </c>
      <c r="P37" s="127" t="n">
        <v>0</v>
      </c>
      <c r="Q37" s="127" t="n">
        <v>0</v>
      </c>
      <c r="R37" s="127" t="n">
        <v>0</v>
      </c>
      <c r="S37" s="127" t="n">
        <v>0</v>
      </c>
      <c r="T37" s="127" t="n">
        <v>0</v>
      </c>
      <c r="U37" s="127" t="n">
        <v>0</v>
      </c>
    </row>
    <row r="38" ht="15" customHeight="1" s="107">
      <c r="A38" s="125">
        <f>'E M DR PAULA BUARQUE'!B5</f>
        <v/>
      </c>
      <c r="B38" s="126">
        <f>HYPERLINK("#'E M DR PAULA BUARQUE'!A1",'E M DR PAULA BUARQUE'!B2)</f>
        <v/>
      </c>
      <c r="C38" s="127" t="n">
        <v>0</v>
      </c>
      <c r="D38" s="127" t="n">
        <v>0</v>
      </c>
      <c r="E38" s="127" t="n">
        <v>0</v>
      </c>
      <c r="F38" s="127" t="n">
        <v>0</v>
      </c>
      <c r="G38" s="127" t="n">
        <v>0</v>
      </c>
      <c r="H38" s="127" t="n">
        <v>0</v>
      </c>
      <c r="I38" s="127" t="n">
        <v>0</v>
      </c>
      <c r="J38" s="127" t="n">
        <v>0</v>
      </c>
      <c r="K38" s="127" t="n">
        <v>0</v>
      </c>
      <c r="L38" s="127" t="n">
        <v>0</v>
      </c>
      <c r="M38" s="127" t="n">
        <v>0</v>
      </c>
      <c r="N38" s="127" t="n">
        <v>0</v>
      </c>
      <c r="O38" s="127" t="n">
        <v>0</v>
      </c>
      <c r="P38" s="127" t="n">
        <v>0</v>
      </c>
      <c r="Q38" s="127" t="n">
        <v>0</v>
      </c>
      <c r="R38" s="127" t="n">
        <v>0</v>
      </c>
      <c r="S38" s="127" t="n">
        <v>0</v>
      </c>
      <c r="T38" s="127" t="n">
        <v>0</v>
      </c>
      <c r="U38" s="127" t="n">
        <v>0</v>
      </c>
    </row>
    <row r="39" ht="15" customHeight="1" s="107">
      <c r="A39" s="125">
        <f>'E M DR THEODORO MACHADO'!B5</f>
        <v/>
      </c>
      <c r="B39" s="126">
        <f>HYPERLINK("#'E M DR THEODORO MACHADO'!A1",'E M DR THEODORO MACHADO'!B2)</f>
        <v/>
      </c>
      <c r="C39" s="127" t="n">
        <v>0</v>
      </c>
      <c r="D39" s="127" t="n">
        <v>0</v>
      </c>
      <c r="E39" s="127" t="n">
        <v>0</v>
      </c>
      <c r="F39" s="127" t="n">
        <v>0</v>
      </c>
      <c r="G39" s="127" t="n">
        <v>0</v>
      </c>
      <c r="H39" s="127" t="n">
        <v>0</v>
      </c>
      <c r="I39" s="127" t="n">
        <v>0</v>
      </c>
      <c r="J39" s="127" t="n">
        <v>0</v>
      </c>
      <c r="K39" s="127" t="n">
        <v>0</v>
      </c>
      <c r="L39" s="127" t="n">
        <v>0</v>
      </c>
      <c r="M39" s="127" t="n">
        <v>0</v>
      </c>
      <c r="N39" s="127" t="n">
        <v>0</v>
      </c>
      <c r="O39" s="127" t="n">
        <v>0</v>
      </c>
      <c r="P39" s="127" t="n">
        <v>0</v>
      </c>
      <c r="Q39" s="127" t="n">
        <v>0</v>
      </c>
      <c r="R39" s="127" t="n">
        <v>0</v>
      </c>
      <c r="S39" s="127" t="n">
        <v>0</v>
      </c>
      <c r="T39" s="127" t="n">
        <v>0</v>
      </c>
      <c r="U39" s="127" t="n">
        <v>0</v>
      </c>
    </row>
    <row r="40" ht="15" customHeight="1" s="107">
      <c r="A40" s="125">
        <f>'E M ARNALDO DYCKERHOFF'!B5</f>
        <v/>
      </c>
      <c r="B40" s="126">
        <f>HYPERLINK("#'E M ARNALDO DYCKERHOFF'!A1",'E M ARNALDO DYCKERHOFF'!B2)</f>
        <v/>
      </c>
      <c r="C40" s="127" t="n">
        <v>0</v>
      </c>
      <c r="D40" s="127" t="n">
        <v>0</v>
      </c>
      <c r="E40" s="127" t="n">
        <v>0</v>
      </c>
      <c r="F40" s="127" t="n">
        <v>0</v>
      </c>
      <c r="G40" s="127" t="n">
        <v>0</v>
      </c>
      <c r="H40" s="127" t="n">
        <v>0</v>
      </c>
      <c r="I40" s="127" t="n">
        <v>0</v>
      </c>
      <c r="J40" s="127" t="n">
        <v>0</v>
      </c>
      <c r="K40" s="127" t="n">
        <v>0</v>
      </c>
      <c r="L40" s="127" t="n">
        <v>0</v>
      </c>
      <c r="M40" s="127" t="n">
        <v>0</v>
      </c>
      <c r="N40" s="127" t="n">
        <v>0</v>
      </c>
      <c r="O40" s="127" t="n">
        <v>0</v>
      </c>
      <c r="P40" s="127" t="n">
        <v>0</v>
      </c>
      <c r="Q40" s="127" t="n">
        <v>0</v>
      </c>
      <c r="R40" s="127" t="n">
        <v>0</v>
      </c>
      <c r="S40" s="127" t="n">
        <v>0</v>
      </c>
      <c r="T40" s="127" t="n">
        <v>0</v>
      </c>
      <c r="U40" s="127" t="n">
        <v>0</v>
      </c>
    </row>
    <row r="41" ht="15" customHeight="1" s="107">
      <c r="A41" s="125">
        <f>'E M CARLOS CANEDO'!B5</f>
        <v/>
      </c>
      <c r="B41" s="126">
        <f>HYPERLINK("#'E M CARLOS CANEDO'!A1",'E M CARLOS CANEDO'!B2)</f>
        <v/>
      </c>
      <c r="C41" s="127" t="n">
        <v>0</v>
      </c>
      <c r="D41" s="127" t="n">
        <v>0</v>
      </c>
      <c r="E41" s="127" t="n">
        <v>0</v>
      </c>
      <c r="F41" s="127" t="n">
        <v>0</v>
      </c>
      <c r="G41" s="127" t="n">
        <v>0</v>
      </c>
      <c r="H41" s="127" t="n">
        <v>0</v>
      </c>
      <c r="I41" s="127" t="n">
        <v>0</v>
      </c>
      <c r="J41" s="127" t="n">
        <v>0</v>
      </c>
      <c r="K41" s="127" t="n">
        <v>0</v>
      </c>
      <c r="L41" s="127" t="n">
        <v>0</v>
      </c>
      <c r="M41" s="127" t="n">
        <v>0</v>
      </c>
      <c r="N41" s="127" t="n">
        <v>0</v>
      </c>
      <c r="O41" s="127" t="n">
        <v>0</v>
      </c>
      <c r="P41" s="127" t="n">
        <v>0</v>
      </c>
      <c r="Q41" s="127" t="n">
        <v>0</v>
      </c>
      <c r="R41" s="127" t="n">
        <v>0</v>
      </c>
      <c r="S41" s="127" t="n">
        <v>0</v>
      </c>
      <c r="T41" s="127" t="n">
        <v>0</v>
      </c>
      <c r="U41" s="127" t="n">
        <v>0</v>
      </c>
    </row>
    <row r="42" ht="15" customHeight="1" s="107">
      <c r="A42" s="125">
        <f>'E M DR BARROS FRANCO'!B5</f>
        <v/>
      </c>
      <c r="B42" s="126">
        <f>HYPERLINK("#'E M DR BARROS FRANCO'!A1",'E M DR BARROS FRANCO'!B2)</f>
        <v/>
      </c>
      <c r="C42" s="127" t="n">
        <v>0</v>
      </c>
      <c r="D42" s="127" t="n">
        <v>0</v>
      </c>
      <c r="E42" s="127" t="n">
        <v>0</v>
      </c>
      <c r="F42" s="127" t="n">
        <v>0</v>
      </c>
      <c r="G42" s="127" t="n">
        <v>0</v>
      </c>
      <c r="H42" s="127" t="n">
        <v>0</v>
      </c>
      <c r="I42" s="127" t="n">
        <v>0</v>
      </c>
      <c r="J42" s="127" t="n">
        <v>0</v>
      </c>
      <c r="K42" s="127" t="n">
        <v>0</v>
      </c>
      <c r="L42" s="127" t="n">
        <v>0</v>
      </c>
      <c r="M42" s="127" t="n">
        <v>0</v>
      </c>
      <c r="N42" s="127" t="n">
        <v>0</v>
      </c>
      <c r="O42" s="127" t="n">
        <v>0</v>
      </c>
      <c r="P42" s="127" t="n">
        <v>0</v>
      </c>
      <c r="Q42" s="127" t="n">
        <v>0</v>
      </c>
      <c r="R42" s="127" t="n">
        <v>0</v>
      </c>
      <c r="S42" s="127" t="n">
        <v>0</v>
      </c>
      <c r="T42" s="127" t="n">
        <v>0</v>
      </c>
      <c r="U42" s="127" t="n">
        <v>0</v>
      </c>
    </row>
    <row r="43" ht="15" customHeight="1" s="107">
      <c r="A43" s="125">
        <f>'E M MAJOR THEÓFILO DE CARVALHO'!B5</f>
        <v/>
      </c>
      <c r="B43" s="126">
        <f>HYPERLINK("#'E M MAJOR THEÓFILO DE CARVALHO'!A1",'E M MAJOR THEÓFILO DE CARVALHO'!B2)</f>
        <v/>
      </c>
      <c r="C43" s="127" t="n">
        <v>0</v>
      </c>
      <c r="D43" s="127" t="n">
        <v>0</v>
      </c>
      <c r="E43" s="127" t="n">
        <v>0</v>
      </c>
      <c r="F43" s="127" t="n">
        <v>0</v>
      </c>
      <c r="G43" s="127" t="n">
        <v>0</v>
      </c>
      <c r="H43" s="127" t="n">
        <v>0</v>
      </c>
      <c r="I43" s="127" t="n">
        <v>0</v>
      </c>
      <c r="J43" s="127" t="n">
        <v>0</v>
      </c>
      <c r="K43" s="127" t="n">
        <v>0</v>
      </c>
      <c r="L43" s="127" t="n">
        <v>0</v>
      </c>
      <c r="M43" s="127" t="n">
        <v>0</v>
      </c>
      <c r="N43" s="127" t="n">
        <v>0</v>
      </c>
      <c r="O43" s="127" t="n">
        <v>0</v>
      </c>
      <c r="P43" s="127" t="n">
        <v>0</v>
      </c>
      <c r="Q43" s="127" t="n">
        <v>0</v>
      </c>
      <c r="R43" s="127" t="n">
        <v>0</v>
      </c>
      <c r="S43" s="127" t="n">
        <v>0</v>
      </c>
      <c r="T43" s="127" t="n">
        <v>0</v>
      </c>
      <c r="U43" s="127" t="n">
        <v>0</v>
      </c>
    </row>
    <row r="44" ht="15" customHeight="1" s="107">
      <c r="A44" s="125">
        <f>'E M TAQUARIL'!B5</f>
        <v/>
      </c>
      <c r="B44" s="126">
        <f>HYPERLINK("#'E M TAQUARIL'!A1",'E M TAQUARIL'!B2)</f>
        <v/>
      </c>
      <c r="C44" s="127" t="n">
        <v>0</v>
      </c>
      <c r="D44" s="127" t="n">
        <v>0</v>
      </c>
      <c r="E44" s="127" t="n">
        <v>0</v>
      </c>
      <c r="F44" s="127" t="n">
        <v>0</v>
      </c>
      <c r="G44" s="127" t="n">
        <v>0</v>
      </c>
      <c r="H44" s="127" t="n">
        <v>0</v>
      </c>
      <c r="I44" s="127" t="n">
        <v>0</v>
      </c>
      <c r="J44" s="127" t="n">
        <v>0</v>
      </c>
      <c r="K44" s="127" t="n">
        <v>0</v>
      </c>
      <c r="L44" s="127" t="n">
        <v>0</v>
      </c>
      <c r="M44" s="127" t="n">
        <v>0</v>
      </c>
      <c r="N44" s="127" t="n">
        <v>0</v>
      </c>
      <c r="O44" s="127" t="n">
        <v>0</v>
      </c>
      <c r="P44" s="127" t="n">
        <v>0</v>
      </c>
      <c r="Q44" s="127" t="n">
        <v>0</v>
      </c>
      <c r="R44" s="127" t="n">
        <v>0</v>
      </c>
      <c r="S44" s="127" t="n">
        <v>0</v>
      </c>
      <c r="T44" s="127" t="n">
        <v>0</v>
      </c>
      <c r="U44" s="127" t="n">
        <v>0</v>
      </c>
    </row>
    <row r="45" ht="15" customHeight="1" s="107">
      <c r="A45" s="125">
        <f>'E M BEATRIZ ZALESKI'!B5</f>
        <v/>
      </c>
      <c r="B45" s="126">
        <f>HYPERLINK("#'E M BEATRIZ ZALESKI'!A1",'E M BEATRIZ ZALESKI'!B2)</f>
        <v/>
      </c>
      <c r="C45" s="127" t="n">
        <v>0</v>
      </c>
      <c r="D45" s="127" t="n">
        <v>0</v>
      </c>
      <c r="E45" s="127" t="n">
        <v>0</v>
      </c>
      <c r="F45" s="127" t="n">
        <v>0</v>
      </c>
      <c r="G45" s="127" t="n">
        <v>0</v>
      </c>
      <c r="H45" s="127" t="n">
        <v>0</v>
      </c>
      <c r="I45" s="127" t="n">
        <v>0</v>
      </c>
      <c r="J45" s="127" t="n">
        <v>0</v>
      </c>
      <c r="K45" s="127" t="n">
        <v>0</v>
      </c>
      <c r="L45" s="127" t="n">
        <v>0</v>
      </c>
      <c r="M45" s="127" t="n">
        <v>0</v>
      </c>
      <c r="N45" s="127" t="n">
        <v>0</v>
      </c>
      <c r="O45" s="127" t="n">
        <v>0</v>
      </c>
      <c r="P45" s="127" t="n">
        <v>0</v>
      </c>
      <c r="Q45" s="127" t="n">
        <v>0</v>
      </c>
      <c r="R45" s="127" t="n">
        <v>0</v>
      </c>
      <c r="S45" s="127" t="n">
        <v>0</v>
      </c>
      <c r="T45" s="127" t="n">
        <v>0</v>
      </c>
      <c r="U45" s="127" t="n">
        <v>0</v>
      </c>
    </row>
    <row r="46" ht="15" customHeight="1" s="107">
      <c r="A46" s="125">
        <f>'E M ANTÔNIO JOSÉ DE LIMA'!B5</f>
        <v/>
      </c>
      <c r="B46" s="126">
        <f>HYPERLINK("#'E M ANTÔNIO JOSÉ DE LIMA'!A1",'E M ANTÔNIO JOSÉ DE LIMA'!B2)</f>
        <v/>
      </c>
      <c r="C46" s="127" t="n">
        <v>0</v>
      </c>
      <c r="D46" s="127" t="n">
        <v>0</v>
      </c>
      <c r="E46" s="127" t="n">
        <v>0</v>
      </c>
      <c r="F46" s="127" t="n">
        <v>0</v>
      </c>
      <c r="G46" s="127" t="n">
        <v>0</v>
      </c>
      <c r="H46" s="127" t="n">
        <v>0</v>
      </c>
      <c r="I46" s="127" t="n">
        <v>0</v>
      </c>
      <c r="J46" s="127" t="n">
        <v>0</v>
      </c>
      <c r="K46" s="127" t="n">
        <v>0</v>
      </c>
      <c r="L46" s="127" t="n">
        <v>0</v>
      </c>
      <c r="M46" s="127" t="n">
        <v>0</v>
      </c>
      <c r="N46" s="127" t="n">
        <v>0</v>
      </c>
      <c r="O46" s="127" t="n">
        <v>0</v>
      </c>
      <c r="P46" s="127" t="n">
        <v>0</v>
      </c>
      <c r="Q46" s="127" t="n">
        <v>0</v>
      </c>
      <c r="R46" s="127" t="n">
        <v>0</v>
      </c>
      <c r="S46" s="127" t="n">
        <v>0</v>
      </c>
      <c r="T46" s="127" t="n">
        <v>0</v>
      </c>
      <c r="U46" s="127" t="n">
        <v>0</v>
      </c>
    </row>
    <row r="47" ht="15" customHeight="1" s="107">
      <c r="A47" s="125">
        <f>'E M FELIX WAN ERVEN DE BARROS'!B5</f>
        <v/>
      </c>
      <c r="B47" s="126">
        <f>HYPERLINK("#'E M FELIX WAN ERVEN DE BARROS'!A1",'E M FELIX WAN ERVEN DE BARROS'!B2)</f>
        <v/>
      </c>
      <c r="C47" s="127" t="n">
        <v>0</v>
      </c>
      <c r="D47" s="127" t="n">
        <v>0</v>
      </c>
      <c r="E47" s="127" t="n">
        <v>0</v>
      </c>
      <c r="F47" s="127" t="n">
        <v>0</v>
      </c>
      <c r="G47" s="127" t="n">
        <v>0</v>
      </c>
      <c r="H47" s="127" t="n">
        <v>0</v>
      </c>
      <c r="I47" s="127" t="n">
        <v>0</v>
      </c>
      <c r="J47" s="127" t="n">
        <v>0</v>
      </c>
      <c r="K47" s="127" t="n">
        <v>0</v>
      </c>
      <c r="L47" s="127" t="n">
        <v>0</v>
      </c>
      <c r="M47" s="127" t="n">
        <v>0</v>
      </c>
      <c r="N47" s="127" t="n">
        <v>0</v>
      </c>
      <c r="O47" s="127" t="n">
        <v>0</v>
      </c>
      <c r="P47" s="127" t="n">
        <v>0</v>
      </c>
      <c r="Q47" s="127" t="n">
        <v>0</v>
      </c>
      <c r="R47" s="127" t="n">
        <v>0</v>
      </c>
      <c r="S47" s="127" t="n">
        <v>0</v>
      </c>
      <c r="T47" s="127" t="n">
        <v>0</v>
      </c>
      <c r="U47" s="127" t="n">
        <v>0</v>
      </c>
    </row>
    <row r="48" ht="15" customHeight="1" s="107">
      <c r="A48" s="125">
        <f>'ESCOLA MUNICIPAL HILDEBRANDO DE'!B5</f>
        <v/>
      </c>
      <c r="B48" s="126">
        <f>HYPERLINK("#'ESCOLA MUNICIPAL HILDEBRANDO DE'!A1",'ESCOLA MUNICIPAL HILDEBRANDO DE'!B2)</f>
        <v/>
      </c>
      <c r="C48" s="127" t="n">
        <v>0</v>
      </c>
      <c r="D48" s="127" t="n">
        <v>0</v>
      </c>
      <c r="E48" s="127" t="n">
        <v>0</v>
      </c>
      <c r="F48" s="127" t="n">
        <v>0</v>
      </c>
      <c r="G48" s="127" t="n">
        <v>0</v>
      </c>
      <c r="H48" s="127" t="n">
        <v>0</v>
      </c>
      <c r="I48" s="127" t="n">
        <v>0</v>
      </c>
      <c r="J48" s="127" t="n">
        <v>0</v>
      </c>
      <c r="K48" s="127" t="n">
        <v>0</v>
      </c>
      <c r="L48" s="127" t="n">
        <v>0</v>
      </c>
      <c r="M48" s="127" t="n">
        <v>0</v>
      </c>
      <c r="N48" s="127" t="n">
        <v>0</v>
      </c>
      <c r="O48" s="127" t="n">
        <v>0</v>
      </c>
      <c r="P48" s="127" t="n">
        <v>0</v>
      </c>
      <c r="Q48" s="127" t="n">
        <v>0</v>
      </c>
      <c r="R48" s="127" t="n">
        <v>0</v>
      </c>
      <c r="S48" s="127" t="n">
        <v>0</v>
      </c>
      <c r="T48" s="127" t="n">
        <v>0</v>
      </c>
      <c r="U48" s="127" t="n">
        <v>0</v>
      </c>
    </row>
    <row r="49" ht="15" customHeight="1" s="107">
      <c r="A49" s="125">
        <f>'E M OSWALDO DA COSTA FRIAS'!B5</f>
        <v/>
      </c>
      <c r="B49" s="126">
        <f>HYPERLINK("#'E M OSWALDO DA COSTA FRIAS'!A1",'E M OSWALDO DA COSTA FRIAS'!B2)</f>
        <v/>
      </c>
      <c r="C49" s="127" t="n">
        <v>0</v>
      </c>
      <c r="D49" s="127" t="n">
        <v>0</v>
      </c>
      <c r="E49" s="127" t="n">
        <v>0</v>
      </c>
      <c r="F49" s="127" t="n">
        <v>0</v>
      </c>
      <c r="G49" s="127" t="n">
        <v>0</v>
      </c>
      <c r="H49" s="127" t="n">
        <v>0</v>
      </c>
      <c r="I49" s="127" t="n">
        <v>0</v>
      </c>
      <c r="J49" s="127" t="n">
        <v>0</v>
      </c>
      <c r="K49" s="127" t="n">
        <v>0</v>
      </c>
      <c r="L49" s="127" t="n">
        <v>0</v>
      </c>
      <c r="M49" s="127" t="n">
        <v>0</v>
      </c>
      <c r="N49" s="127" t="n">
        <v>0</v>
      </c>
      <c r="O49" s="127" t="n">
        <v>0</v>
      </c>
      <c r="P49" s="127" t="n">
        <v>0</v>
      </c>
      <c r="Q49" s="127" t="n">
        <v>0</v>
      </c>
      <c r="R49" s="127" t="n">
        <v>0</v>
      </c>
      <c r="S49" s="127" t="n">
        <v>0</v>
      </c>
      <c r="T49" s="127" t="n">
        <v>0</v>
      </c>
      <c r="U49" s="127" t="n">
        <v>0</v>
      </c>
    </row>
    <row r="50" ht="15" customHeight="1" s="107">
      <c r="A50" s="125">
        <f>'E MZDA CARMEM NUNES MARTINS'!B5</f>
        <v/>
      </c>
      <c r="B50" s="126">
        <f>HYPERLINK("#'E MZDA CARMEM NUNES MARTINS'!A1",'E MZDA CARMEM NUNES MARTINS'!B2)</f>
        <v/>
      </c>
      <c r="C50" s="127" t="n">
        <v>0</v>
      </c>
      <c r="D50" s="127" t="n">
        <v>0</v>
      </c>
      <c r="E50" s="127" t="n">
        <v>0</v>
      </c>
      <c r="F50" s="127" t="n">
        <v>0</v>
      </c>
      <c r="G50" s="127" t="n">
        <v>0</v>
      </c>
      <c r="H50" s="127" t="n">
        <v>0</v>
      </c>
      <c r="I50" s="127" t="n">
        <v>0</v>
      </c>
      <c r="J50" s="127" t="n">
        <v>0</v>
      </c>
      <c r="K50" s="127" t="n">
        <v>0</v>
      </c>
      <c r="L50" s="127" t="n">
        <v>0</v>
      </c>
      <c r="M50" s="127" t="n">
        <v>0</v>
      </c>
      <c r="N50" s="127" t="n">
        <v>0</v>
      </c>
      <c r="O50" s="127" t="n">
        <v>0</v>
      </c>
      <c r="P50" s="127" t="n">
        <v>0</v>
      </c>
      <c r="Q50" s="127" t="n">
        <v>0</v>
      </c>
      <c r="R50" s="127" t="n">
        <v>0</v>
      </c>
      <c r="S50" s="127" t="n">
        <v>0</v>
      </c>
      <c r="T50" s="127" t="n">
        <v>0</v>
      </c>
      <c r="U50" s="127" t="n">
        <v>0</v>
      </c>
    </row>
    <row r="51" ht="15" customHeight="1" s="107">
      <c r="A51" s="125">
        <f>'E MZDA AVELINO DE CARVALHO'!B5</f>
        <v/>
      </c>
      <c r="B51" s="126">
        <f>HYPERLINK("#'E MZDA AVELINO DE CARVALHO'!A1",'E MZDA AVELINO DE CARVALHO'!B2)</f>
        <v/>
      </c>
      <c r="C51" s="127" t="n">
        <v>0</v>
      </c>
      <c r="D51" s="127" t="n">
        <v>0</v>
      </c>
      <c r="E51" s="127" t="n">
        <v>0</v>
      </c>
      <c r="F51" s="127" t="n">
        <v>0</v>
      </c>
      <c r="G51" s="127" t="n">
        <v>0</v>
      </c>
      <c r="H51" s="127" t="n">
        <v>0</v>
      </c>
      <c r="I51" s="127" t="n">
        <v>0</v>
      </c>
      <c r="J51" s="127" t="n">
        <v>0</v>
      </c>
      <c r="K51" s="127" t="n">
        <v>0</v>
      </c>
      <c r="L51" s="127" t="n">
        <v>0</v>
      </c>
      <c r="M51" s="127" t="n">
        <v>0</v>
      </c>
      <c r="N51" s="127" t="n">
        <v>0</v>
      </c>
      <c r="O51" s="127" t="n">
        <v>0</v>
      </c>
      <c r="P51" s="127" t="n">
        <v>0</v>
      </c>
      <c r="Q51" s="127" t="n">
        <v>0</v>
      </c>
      <c r="R51" s="127" t="n">
        <v>0</v>
      </c>
      <c r="S51" s="127" t="n">
        <v>0</v>
      </c>
      <c r="T51" s="127" t="n">
        <v>0</v>
      </c>
      <c r="U51" s="127" t="n">
        <v>0</v>
      </c>
    </row>
    <row r="52" ht="15" customHeight="1" s="107">
      <c r="A52" s="125">
        <f>'E M GERALDO VENTURA DIAS'!B5</f>
        <v/>
      </c>
      <c r="B52" s="126">
        <f>HYPERLINK("#'E M GERALDO VENTURA DIAS'!A1",'E M GERALDO VENTURA DIAS'!B2)</f>
        <v/>
      </c>
      <c r="C52" s="127" t="n">
        <v>0</v>
      </c>
      <c r="D52" s="127" t="n">
        <v>0</v>
      </c>
      <c r="E52" s="127" t="n">
        <v>0</v>
      </c>
      <c r="F52" s="127" t="n">
        <v>0</v>
      </c>
      <c r="G52" s="127" t="n">
        <v>0</v>
      </c>
      <c r="H52" s="127" t="n">
        <v>0</v>
      </c>
      <c r="I52" s="127" t="n">
        <v>0</v>
      </c>
      <c r="J52" s="127" t="n">
        <v>0</v>
      </c>
      <c r="K52" s="127" t="n">
        <v>0</v>
      </c>
      <c r="L52" s="127" t="n">
        <v>0</v>
      </c>
      <c r="M52" s="127" t="n">
        <v>0</v>
      </c>
      <c r="N52" s="127" t="n">
        <v>0</v>
      </c>
      <c r="O52" s="127" t="n">
        <v>0</v>
      </c>
      <c r="P52" s="127" t="n">
        <v>0</v>
      </c>
      <c r="Q52" s="127" t="n">
        <v>0</v>
      </c>
      <c r="R52" s="127" t="n">
        <v>0</v>
      </c>
      <c r="S52" s="127" t="n">
        <v>0</v>
      </c>
      <c r="T52" s="127" t="n">
        <v>0</v>
      </c>
      <c r="U52" s="127" t="n">
        <v>0</v>
      </c>
    </row>
    <row r="53" ht="15" customHeight="1" s="107">
      <c r="A53" s="125">
        <f>'E M SALVADOR KLING'!B5</f>
        <v/>
      </c>
      <c r="B53" s="126">
        <f>HYPERLINK("#'E M SALVADOR KLING'!A1",'E M SALVADOR KLING'!B2)</f>
        <v/>
      </c>
      <c r="C53" s="127" t="n">
        <v>0</v>
      </c>
      <c r="D53" s="127" t="n">
        <v>0</v>
      </c>
      <c r="E53" s="127" t="n">
        <v>0</v>
      </c>
      <c r="F53" s="127" t="n">
        <v>0</v>
      </c>
      <c r="G53" s="127" t="n">
        <v>0</v>
      </c>
      <c r="H53" s="127" t="n">
        <v>0</v>
      </c>
      <c r="I53" s="127" t="n">
        <v>0</v>
      </c>
      <c r="J53" s="127" t="n">
        <v>0</v>
      </c>
      <c r="K53" s="127" t="n">
        <v>0</v>
      </c>
      <c r="L53" s="127" t="n">
        <v>0</v>
      </c>
      <c r="M53" s="127" t="n">
        <v>0</v>
      </c>
      <c r="N53" s="127" t="n">
        <v>0</v>
      </c>
      <c r="O53" s="127" t="n">
        <v>0</v>
      </c>
      <c r="P53" s="127" t="n">
        <v>0</v>
      </c>
      <c r="Q53" s="127" t="n">
        <v>0</v>
      </c>
      <c r="R53" s="127" t="n">
        <v>0</v>
      </c>
      <c r="S53" s="127" t="n">
        <v>0</v>
      </c>
      <c r="T53" s="127" t="n">
        <v>0</v>
      </c>
      <c r="U53" s="127" t="n">
        <v>0</v>
      </c>
    </row>
    <row r="54" ht="15" customHeight="1" s="107">
      <c r="A54" s="125">
        <f>'E M PREFEITO JAMIL SABRÁ'!B5</f>
        <v/>
      </c>
      <c r="B54" s="126">
        <f>HYPERLINK("#'E M PREFEITO JAMIL SABRÁ'!A1",'E M PREFEITO JAMIL SABRÁ'!B2)</f>
        <v/>
      </c>
      <c r="C54" s="127" t="n">
        <v>0</v>
      </c>
      <c r="D54" s="127" t="n">
        <v>0</v>
      </c>
      <c r="E54" s="127" t="n">
        <v>0</v>
      </c>
      <c r="F54" s="127" t="n">
        <v>0</v>
      </c>
      <c r="G54" s="127" t="n">
        <v>0</v>
      </c>
      <c r="H54" s="127" t="n">
        <v>0</v>
      </c>
      <c r="I54" s="127" t="n">
        <v>0</v>
      </c>
      <c r="J54" s="127" t="n">
        <v>0</v>
      </c>
      <c r="K54" s="127" t="n">
        <v>0</v>
      </c>
      <c r="L54" s="127" t="n">
        <v>0</v>
      </c>
      <c r="M54" s="127" t="n">
        <v>0</v>
      </c>
      <c r="N54" s="127" t="n">
        <v>0</v>
      </c>
      <c r="O54" s="127" t="n">
        <v>0</v>
      </c>
      <c r="P54" s="127" t="n">
        <v>0</v>
      </c>
      <c r="Q54" s="127" t="n">
        <v>0</v>
      </c>
      <c r="R54" s="127" t="n">
        <v>0</v>
      </c>
      <c r="S54" s="127" t="n">
        <v>0</v>
      </c>
      <c r="T54" s="127" t="n">
        <v>0</v>
      </c>
      <c r="U54" s="127" t="n">
        <v>0</v>
      </c>
    </row>
    <row r="55" ht="15" customHeight="1" s="107">
      <c r="A55" s="125">
        <f>'LICEU MUNICIPAL CARLOS CHAGAS F'!B5</f>
        <v/>
      </c>
      <c r="B55" s="126">
        <f>HYPERLINK("#'LICEU MUNICIPAL CARLOS CHAGAS F'!A1",'LICEU MUNICIPAL CARLOS CHAGAS F'!B2)</f>
        <v/>
      </c>
      <c r="C55" s="127" t="n">
        <v>0</v>
      </c>
      <c r="D55" s="127" t="n">
        <v>0</v>
      </c>
      <c r="E55" s="127" t="n">
        <v>0</v>
      </c>
      <c r="F55" s="127" t="n">
        <v>0</v>
      </c>
      <c r="G55" s="127" t="n">
        <v>0</v>
      </c>
      <c r="H55" s="127" t="n">
        <v>0</v>
      </c>
      <c r="I55" s="127" t="n">
        <v>0</v>
      </c>
      <c r="J55" s="127" t="n">
        <v>0</v>
      </c>
      <c r="K55" s="127" t="n">
        <v>0</v>
      </c>
      <c r="L55" s="127" t="n">
        <v>0</v>
      </c>
      <c r="M55" s="127" t="n">
        <v>0</v>
      </c>
      <c r="N55" s="127" t="n">
        <v>0</v>
      </c>
      <c r="O55" s="127" t="n">
        <v>0</v>
      </c>
      <c r="P55" s="127" t="n">
        <v>0</v>
      </c>
      <c r="Q55" s="127" t="n">
        <v>0</v>
      </c>
      <c r="R55" s="127" t="n">
        <v>0</v>
      </c>
      <c r="S55" s="127" t="n">
        <v>0</v>
      </c>
      <c r="T55" s="127" t="n">
        <v>0</v>
      </c>
      <c r="U55" s="127" t="n">
        <v>0</v>
      </c>
    </row>
    <row r="56" ht="15" customHeight="1" s="107">
      <c r="A56" s="125">
        <f>'ESCOLA MUNICIPAL ANA MOHAMMAD'!B5</f>
        <v/>
      </c>
      <c r="B56" s="126">
        <f>HYPERLINK("#'ESCOLA MUNICIPAL ANA MOHAMMAD'!A1",'ESCOLA MUNICIPAL ANA MOHAMMAD'!B2)</f>
        <v/>
      </c>
      <c r="C56" s="127" t="n">
        <v>0</v>
      </c>
      <c r="D56" s="127" t="n">
        <v>0</v>
      </c>
      <c r="E56" s="127" t="n">
        <v>0</v>
      </c>
      <c r="F56" s="127" t="n">
        <v>0</v>
      </c>
      <c r="G56" s="127" t="n">
        <v>0</v>
      </c>
      <c r="H56" s="127" t="n">
        <v>0</v>
      </c>
      <c r="I56" s="127" t="n">
        <v>0</v>
      </c>
      <c r="J56" s="127" t="n">
        <v>0</v>
      </c>
      <c r="K56" s="127" t="n">
        <v>0</v>
      </c>
      <c r="L56" s="127" t="n">
        <v>0</v>
      </c>
      <c r="M56" s="127" t="n">
        <v>0</v>
      </c>
      <c r="N56" s="127" t="n">
        <v>0</v>
      </c>
      <c r="O56" s="127" t="n">
        <v>0</v>
      </c>
      <c r="P56" s="127" t="n">
        <v>0</v>
      </c>
      <c r="Q56" s="127" t="n">
        <v>0</v>
      </c>
      <c r="R56" s="127" t="n">
        <v>0</v>
      </c>
      <c r="S56" s="127" t="n">
        <v>0</v>
      </c>
      <c r="T56" s="127" t="n">
        <v>0</v>
      </c>
      <c r="U56" s="127" t="n">
        <v>0</v>
      </c>
    </row>
    <row r="57" ht="15" customHeight="1" s="107">
      <c r="A57" s="125">
        <f>'ESCOLA MUNICIPAL ALTO INDEPENDÊ'!B5</f>
        <v/>
      </c>
      <c r="B57" s="126">
        <f>HYPERLINK("#'ESCOLA MUNICIPAL ALTO INDEPENDÊ'!A1",'ESCOLA MUNICIPAL ALTO INDEPENDÊ'!B2)</f>
        <v/>
      </c>
      <c r="C57" s="127" t="n">
        <v>0</v>
      </c>
      <c r="D57" s="127" t="n">
        <v>0</v>
      </c>
      <c r="E57" s="127" t="n">
        <v>0</v>
      </c>
      <c r="F57" s="127" t="n">
        <v>0</v>
      </c>
      <c r="G57" s="127" t="n">
        <v>0</v>
      </c>
      <c r="H57" s="127" t="n">
        <v>0</v>
      </c>
      <c r="I57" s="127" t="n">
        <v>0</v>
      </c>
      <c r="J57" s="127" t="n">
        <v>0</v>
      </c>
      <c r="K57" s="127" t="n">
        <v>0</v>
      </c>
      <c r="L57" s="127" t="n">
        <v>0</v>
      </c>
      <c r="M57" s="127" t="n">
        <v>0</v>
      </c>
      <c r="N57" s="127" t="n">
        <v>0</v>
      </c>
      <c r="O57" s="127" t="n">
        <v>0</v>
      </c>
      <c r="P57" s="127" t="n">
        <v>0</v>
      </c>
      <c r="Q57" s="127" t="n">
        <v>0</v>
      </c>
      <c r="R57" s="127" t="n">
        <v>0</v>
      </c>
      <c r="S57" s="127" t="n">
        <v>0</v>
      </c>
      <c r="T57" s="127" t="n">
        <v>0</v>
      </c>
      <c r="U57" s="127" t="n">
        <v>0</v>
      </c>
    </row>
    <row r="58" ht="15" customHeight="1" s="107">
      <c r="A58" s="125">
        <f>'E M ALMIRANTE TAMANDARÉ'!B5</f>
        <v/>
      </c>
      <c r="B58" s="126">
        <f>HYPERLINK("#'E M ALMIRANTE TAMANDARÉ'!A1",'E M ALMIRANTE TAMANDARÉ'!B2)</f>
        <v/>
      </c>
      <c r="C58" s="127" t="n">
        <v>0</v>
      </c>
      <c r="D58" s="127" t="n">
        <v>0</v>
      </c>
      <c r="E58" s="127" t="n">
        <v>0</v>
      </c>
      <c r="F58" s="127" t="n">
        <v>0</v>
      </c>
      <c r="G58" s="127" t="n">
        <v>0</v>
      </c>
      <c r="H58" s="127" t="n">
        <v>0</v>
      </c>
      <c r="I58" s="127" t="n">
        <v>0</v>
      </c>
      <c r="J58" s="127" t="n">
        <v>0</v>
      </c>
      <c r="K58" s="127" t="n">
        <v>0</v>
      </c>
      <c r="L58" s="127" t="n">
        <v>0</v>
      </c>
      <c r="M58" s="127" t="n">
        <v>0</v>
      </c>
      <c r="N58" s="127" t="n">
        <v>0</v>
      </c>
      <c r="O58" s="127" t="n">
        <v>0</v>
      </c>
      <c r="P58" s="127" t="n">
        <v>0</v>
      </c>
      <c r="Q58" s="127" t="n">
        <v>0</v>
      </c>
      <c r="R58" s="127" t="n">
        <v>0</v>
      </c>
      <c r="S58" s="127" t="n">
        <v>0</v>
      </c>
      <c r="T58" s="127" t="n">
        <v>0</v>
      </c>
      <c r="U58" s="127" t="n">
        <v>0</v>
      </c>
    </row>
    <row r="59" ht="15" customHeight="1" s="107">
      <c r="A59" s="125">
        <f>'ESCOLA MUNICIPALIZADA FREI ANIC'!B5</f>
        <v/>
      </c>
      <c r="B59" s="126">
        <f>HYPERLINK("#'ESCOLA MUNICIPALIZADA FREI ANIC'!A1",'ESCOLA MUNICIPALIZADA FREI ANIC'!B2)</f>
        <v/>
      </c>
      <c r="C59" s="127" t="n">
        <v>0</v>
      </c>
      <c r="D59" s="127" t="n">
        <v>0</v>
      </c>
      <c r="E59" s="127" t="n">
        <v>0</v>
      </c>
      <c r="F59" s="127" t="n">
        <v>0</v>
      </c>
      <c r="G59" s="127" t="n">
        <v>0</v>
      </c>
      <c r="H59" s="127" t="n">
        <v>0</v>
      </c>
      <c r="I59" s="127" t="n">
        <v>0</v>
      </c>
      <c r="J59" s="127" t="n">
        <v>0</v>
      </c>
      <c r="K59" s="127" t="n">
        <v>0</v>
      </c>
      <c r="L59" s="127" t="n">
        <v>0</v>
      </c>
      <c r="M59" s="127" t="n">
        <v>0</v>
      </c>
      <c r="N59" s="127" t="n">
        <v>0</v>
      </c>
      <c r="O59" s="127" t="n">
        <v>0</v>
      </c>
      <c r="P59" s="127" t="n">
        <v>0</v>
      </c>
      <c r="Q59" s="127" t="n">
        <v>0</v>
      </c>
      <c r="R59" s="127" t="n">
        <v>0</v>
      </c>
      <c r="S59" s="127" t="n">
        <v>0</v>
      </c>
      <c r="T59" s="127" t="n">
        <v>0</v>
      </c>
      <c r="U59" s="127" t="n">
        <v>0</v>
      </c>
    </row>
    <row r="60" ht="15" customHeight="1" s="107">
      <c r="A60" s="125">
        <f>'E M PEDRO AMADO'!B5</f>
        <v/>
      </c>
      <c r="B60" s="126">
        <f>HYPERLINK("#'E M PEDRO AMADO'!A1",'E M PEDRO AMADO'!B2)</f>
        <v/>
      </c>
      <c r="C60" s="127" t="n">
        <v>0</v>
      </c>
      <c r="D60" s="127" t="n">
        <v>0</v>
      </c>
      <c r="E60" s="127" t="n">
        <v>0</v>
      </c>
      <c r="F60" s="127" t="n">
        <v>0</v>
      </c>
      <c r="G60" s="127" t="n">
        <v>0</v>
      </c>
      <c r="H60" s="127" t="n">
        <v>0</v>
      </c>
      <c r="I60" s="127" t="n">
        <v>0</v>
      </c>
      <c r="J60" s="127" t="n">
        <v>0</v>
      </c>
      <c r="K60" s="127" t="n">
        <v>0</v>
      </c>
      <c r="L60" s="127" t="n">
        <v>0</v>
      </c>
      <c r="M60" s="127" t="n">
        <v>0</v>
      </c>
      <c r="N60" s="127" t="n">
        <v>0</v>
      </c>
      <c r="O60" s="127" t="n">
        <v>0</v>
      </c>
      <c r="P60" s="127" t="n">
        <v>0</v>
      </c>
      <c r="Q60" s="127" t="n">
        <v>0</v>
      </c>
      <c r="R60" s="127" t="n">
        <v>0</v>
      </c>
      <c r="S60" s="127" t="n">
        <v>0</v>
      </c>
      <c r="T60" s="127" t="n">
        <v>0</v>
      </c>
      <c r="U60" s="127" t="n">
        <v>0</v>
      </c>
    </row>
    <row r="61" ht="15" customHeight="1" s="107">
      <c r="A61" s="125">
        <f>'E M PROFª MARIA DA GLÓRIA QUEIR'!B5</f>
        <v/>
      </c>
      <c r="B61" s="126">
        <f>HYPERLINK("#'E M PROFª MARIA DA GLÓRIA QUEIR'!A1",'E M PROFª MARIA DA GLÓRIA QUEIR'!B2)</f>
        <v/>
      </c>
      <c r="C61" s="127" t="n">
        <v>0</v>
      </c>
      <c r="D61" s="127" t="n">
        <v>0</v>
      </c>
      <c r="E61" s="127" t="n">
        <v>0</v>
      </c>
      <c r="F61" s="127" t="n">
        <v>0</v>
      </c>
      <c r="G61" s="127" t="n">
        <v>0</v>
      </c>
      <c r="H61" s="127" t="n">
        <v>0</v>
      </c>
      <c r="I61" s="127" t="n">
        <v>0</v>
      </c>
      <c r="J61" s="127" t="n">
        <v>0</v>
      </c>
      <c r="K61" s="127" t="n">
        <v>0</v>
      </c>
      <c r="L61" s="127" t="n">
        <v>0</v>
      </c>
      <c r="M61" s="127" t="n">
        <v>0</v>
      </c>
      <c r="N61" s="127" t="n">
        <v>0</v>
      </c>
      <c r="O61" s="127" t="n">
        <v>0</v>
      </c>
      <c r="P61" s="127" t="n">
        <v>0</v>
      </c>
      <c r="Q61" s="127" t="n">
        <v>0</v>
      </c>
      <c r="R61" s="127" t="n">
        <v>0</v>
      </c>
      <c r="S61" s="127" t="n">
        <v>0</v>
      </c>
      <c r="T61" s="127" t="n">
        <v>0</v>
      </c>
      <c r="U61" s="127" t="n">
        <v>0</v>
      </c>
    </row>
    <row r="62" ht="15" customHeight="1" s="107">
      <c r="A62" s="125">
        <f>'E M SEBASTIÃO LACERDA'!B5</f>
        <v/>
      </c>
      <c r="B62" s="126">
        <f>HYPERLINK("#'E M SEBASTIÃO LACERDA'!A1",'E M SEBASTIÃO LACERDA'!B2)</f>
        <v/>
      </c>
      <c r="C62" s="127" t="n">
        <v>0</v>
      </c>
      <c r="D62" s="127" t="n">
        <v>0</v>
      </c>
      <c r="E62" s="127" t="n">
        <v>0</v>
      </c>
      <c r="F62" s="127" t="n">
        <v>0</v>
      </c>
      <c r="G62" s="127" t="n">
        <v>0</v>
      </c>
      <c r="H62" s="127" t="n">
        <v>0</v>
      </c>
      <c r="I62" s="127" t="n">
        <v>0</v>
      </c>
      <c r="J62" s="127" t="n">
        <v>0</v>
      </c>
      <c r="K62" s="127" t="n">
        <v>0</v>
      </c>
      <c r="L62" s="127" t="n">
        <v>0</v>
      </c>
      <c r="M62" s="127" t="n">
        <v>0</v>
      </c>
      <c r="N62" s="127" t="n">
        <v>0</v>
      </c>
      <c r="O62" s="127" t="n">
        <v>0</v>
      </c>
      <c r="P62" s="127" t="n">
        <v>0</v>
      </c>
      <c r="Q62" s="127" t="n">
        <v>0</v>
      </c>
      <c r="R62" s="127" t="n">
        <v>0</v>
      </c>
      <c r="S62" s="127" t="n">
        <v>0</v>
      </c>
      <c r="T62" s="127" t="n">
        <v>0</v>
      </c>
      <c r="U62" s="127" t="n">
        <v>0</v>
      </c>
    </row>
    <row r="63" ht="15" customHeight="1" s="107">
      <c r="A63" s="125">
        <f>'E M PROFESSOR FLÁVIO MACIEL'!B5</f>
        <v/>
      </c>
      <c r="B63" s="126">
        <f>HYPERLINK("#'E M PROFESSOR FLÁVIO MACIEL'!A1",'E M PROFESSOR FLÁVIO MACIEL'!B2)</f>
        <v/>
      </c>
      <c r="C63" s="127" t="n">
        <v>0</v>
      </c>
      <c r="D63" s="127" t="n">
        <v>0</v>
      </c>
      <c r="E63" s="127" t="n">
        <v>0</v>
      </c>
      <c r="F63" s="127" t="n">
        <v>0</v>
      </c>
      <c r="G63" s="127" t="n">
        <v>0</v>
      </c>
      <c r="H63" s="127" t="n">
        <v>0</v>
      </c>
      <c r="I63" s="127" t="n">
        <v>0</v>
      </c>
      <c r="J63" s="127" t="n">
        <v>0</v>
      </c>
      <c r="K63" s="127" t="n">
        <v>0</v>
      </c>
      <c r="L63" s="127" t="n">
        <v>0</v>
      </c>
      <c r="M63" s="127" t="n">
        <v>0</v>
      </c>
      <c r="N63" s="127" t="n">
        <v>0</v>
      </c>
      <c r="O63" s="127" t="n">
        <v>0</v>
      </c>
      <c r="P63" s="127" t="n">
        <v>0</v>
      </c>
      <c r="Q63" s="127" t="n">
        <v>0</v>
      </c>
      <c r="R63" s="127" t="n">
        <v>0</v>
      </c>
      <c r="S63" s="127" t="n">
        <v>0</v>
      </c>
      <c r="T63" s="127" t="n">
        <v>0</v>
      </c>
      <c r="U63" s="127" t="n">
        <v>0</v>
      </c>
    </row>
    <row r="64" ht="15" customHeight="1" s="107">
      <c r="A64" s="125">
        <f>'ESCOLA MUNICIPAL PAULO SALDANHA'!B5</f>
        <v/>
      </c>
      <c r="B64" s="126">
        <f>HYPERLINK("#'ESCOLA MUNICIPAL PAULO SALDANHA'!A1",'ESCOLA MUNICIPAL PAULO SALDANHA'!B2)</f>
        <v/>
      </c>
      <c r="C64" s="127" t="n">
        <v>0</v>
      </c>
      <c r="D64" s="127" t="n">
        <v>0</v>
      </c>
      <c r="E64" s="127" t="n">
        <v>0</v>
      </c>
      <c r="F64" s="127" t="n">
        <v>0</v>
      </c>
      <c r="G64" s="127" t="n">
        <v>0</v>
      </c>
      <c r="H64" s="127" t="n">
        <v>0</v>
      </c>
      <c r="I64" s="127" t="n">
        <v>0</v>
      </c>
      <c r="J64" s="127" t="n">
        <v>0</v>
      </c>
      <c r="K64" s="127" t="n">
        <v>0</v>
      </c>
      <c r="L64" s="127" t="n">
        <v>0</v>
      </c>
      <c r="M64" s="127" t="n">
        <v>0</v>
      </c>
      <c r="N64" s="127" t="n">
        <v>0</v>
      </c>
      <c r="O64" s="127" t="n">
        <v>0</v>
      </c>
      <c r="P64" s="127" t="n">
        <v>0</v>
      </c>
      <c r="Q64" s="127" t="n">
        <v>0</v>
      </c>
      <c r="R64" s="127" t="n">
        <v>0</v>
      </c>
      <c r="S64" s="127" t="n">
        <v>0</v>
      </c>
      <c r="T64" s="127" t="n">
        <v>0</v>
      </c>
      <c r="U64" s="127" t="n">
        <v>0</v>
      </c>
    </row>
    <row r="65" ht="15" customHeight="1" s="107">
      <c r="A65" s="125">
        <f>'ESCOLA MUNICIPAL PROFESSOR JOSE'!B5</f>
        <v/>
      </c>
      <c r="B65" s="126">
        <f>HYPERLINK("#'ESCOLA MUNICIPAL PROFESSOR JOSE'!A1",'ESCOLA MUNICIPAL PROFESSOR JOSE'!B2)</f>
        <v/>
      </c>
      <c r="C65" s="127" t="n">
        <v>0</v>
      </c>
      <c r="D65" s="127" t="n">
        <v>0</v>
      </c>
      <c r="E65" s="127" t="n">
        <v>0</v>
      </c>
      <c r="F65" s="127" t="n">
        <v>0</v>
      </c>
      <c r="G65" s="127" t="n">
        <v>0</v>
      </c>
      <c r="H65" s="127" t="n">
        <v>0</v>
      </c>
      <c r="I65" s="127" t="n">
        <v>0</v>
      </c>
      <c r="J65" s="127" t="n">
        <v>0</v>
      </c>
      <c r="K65" s="127" t="n">
        <v>0</v>
      </c>
      <c r="L65" s="127" t="n">
        <v>0</v>
      </c>
      <c r="M65" s="127" t="n">
        <v>0</v>
      </c>
      <c r="N65" s="127" t="n">
        <v>0</v>
      </c>
      <c r="O65" s="127" t="n">
        <v>0</v>
      </c>
      <c r="P65" s="127" t="n">
        <v>0</v>
      </c>
      <c r="Q65" s="127" t="n">
        <v>0</v>
      </c>
      <c r="R65" s="127" t="n">
        <v>0</v>
      </c>
      <c r="S65" s="127" t="n">
        <v>0</v>
      </c>
      <c r="T65" s="127" t="n">
        <v>0</v>
      </c>
      <c r="U65" s="127" t="n">
        <v>0</v>
      </c>
    </row>
    <row r="66" ht="15" customHeight="1" s="107">
      <c r="A66" s="125">
        <f>'E M MONSENHOR CIRILLO CALAON'!B5</f>
        <v/>
      </c>
      <c r="B66" s="126">
        <f>HYPERLINK("#'E M MONSENHOR CIRILLO CALAON'!A1",'E M MONSENHOR CIRILLO CALAON'!B2)</f>
        <v/>
      </c>
      <c r="C66" s="127" t="n">
        <v>0</v>
      </c>
      <c r="D66" s="127" t="n">
        <v>0</v>
      </c>
      <c r="E66" s="127" t="n">
        <v>0</v>
      </c>
      <c r="F66" s="127" t="n">
        <v>0</v>
      </c>
      <c r="G66" s="127" t="n">
        <v>0</v>
      </c>
      <c r="H66" s="127" t="n">
        <v>0</v>
      </c>
      <c r="I66" s="127" t="n">
        <v>0</v>
      </c>
      <c r="J66" s="127" t="n">
        <v>0</v>
      </c>
      <c r="K66" s="127" t="n">
        <v>0</v>
      </c>
      <c r="L66" s="127" t="n">
        <v>0</v>
      </c>
      <c r="M66" s="127" t="n">
        <v>0</v>
      </c>
      <c r="N66" s="127" t="n">
        <v>0</v>
      </c>
      <c r="O66" s="127" t="n">
        <v>0</v>
      </c>
      <c r="P66" s="127" t="n">
        <v>0</v>
      </c>
      <c r="Q66" s="127" t="n">
        <v>0</v>
      </c>
      <c r="R66" s="127" t="n">
        <v>0</v>
      </c>
      <c r="S66" s="127" t="n">
        <v>0</v>
      </c>
      <c r="T66" s="127" t="n">
        <v>0</v>
      </c>
      <c r="U66" s="127" t="n">
        <v>0</v>
      </c>
    </row>
    <row r="67" ht="15" customHeight="1" s="107">
      <c r="A67" s="125">
        <f>'E M AMÉRICO FERNANDES RIBEIRO'!B5</f>
        <v/>
      </c>
      <c r="B67" s="126">
        <f>HYPERLINK("#'E M AMÉRICO FERNANDES RIBEIRO'!A1",'E M AMÉRICO FERNANDES RIBEIRO'!B2)</f>
        <v/>
      </c>
      <c r="C67" s="127" t="n">
        <v>0</v>
      </c>
      <c r="D67" s="127" t="n">
        <v>0</v>
      </c>
      <c r="E67" s="127" t="n">
        <v>0</v>
      </c>
      <c r="F67" s="127" t="n">
        <v>0</v>
      </c>
      <c r="G67" s="127" t="n">
        <v>0</v>
      </c>
      <c r="H67" s="127" t="n">
        <v>0</v>
      </c>
      <c r="I67" s="127" t="n">
        <v>0</v>
      </c>
      <c r="J67" s="127" t="n">
        <v>0</v>
      </c>
      <c r="K67" s="127" t="n">
        <v>0</v>
      </c>
      <c r="L67" s="127" t="n">
        <v>0</v>
      </c>
      <c r="M67" s="127" t="n">
        <v>0</v>
      </c>
      <c r="N67" s="127" t="n">
        <v>0</v>
      </c>
      <c r="O67" s="127" t="n">
        <v>0</v>
      </c>
      <c r="P67" s="127" t="n">
        <v>0</v>
      </c>
      <c r="Q67" s="127" t="n">
        <v>0</v>
      </c>
      <c r="R67" s="127" t="n">
        <v>0</v>
      </c>
      <c r="S67" s="127" t="n">
        <v>0</v>
      </c>
      <c r="T67" s="127" t="n">
        <v>0</v>
      </c>
      <c r="U67" s="127" t="n">
        <v>0</v>
      </c>
    </row>
    <row r="68" ht="15" customHeight="1" s="107">
      <c r="A68" s="125">
        <f>'E M PROFª JANDIRA PEIXOTO BORDI'!B5</f>
        <v/>
      </c>
      <c r="B68" s="126">
        <f>HYPERLINK("#'E M PROFª JANDIRA PEIXOTO BORDI'!A1",'E M PROFª JANDIRA PEIXOTO BORDI'!B2)</f>
        <v/>
      </c>
      <c r="C68" s="127" t="n">
        <v>0</v>
      </c>
      <c r="D68" s="127" t="n">
        <v>0</v>
      </c>
      <c r="E68" s="127" t="n">
        <v>0</v>
      </c>
      <c r="F68" s="127" t="n">
        <v>0</v>
      </c>
      <c r="G68" s="127" t="n">
        <v>0</v>
      </c>
      <c r="H68" s="127" t="n">
        <v>0</v>
      </c>
      <c r="I68" s="127" t="n">
        <v>0</v>
      </c>
      <c r="J68" s="127" t="n">
        <v>0</v>
      </c>
      <c r="K68" s="127" t="n">
        <v>0</v>
      </c>
      <c r="L68" s="127" t="n">
        <v>0</v>
      </c>
      <c r="M68" s="127" t="n">
        <v>0</v>
      </c>
      <c r="N68" s="127" t="n">
        <v>0</v>
      </c>
      <c r="O68" s="127" t="n">
        <v>0</v>
      </c>
      <c r="P68" s="127" t="n">
        <v>0</v>
      </c>
      <c r="Q68" s="127" t="n">
        <v>0</v>
      </c>
      <c r="R68" s="127" t="n">
        <v>0</v>
      </c>
      <c r="S68" s="127" t="n">
        <v>0</v>
      </c>
      <c r="T68" s="127" t="n">
        <v>0</v>
      </c>
      <c r="U68" s="127" t="n">
        <v>0</v>
      </c>
    </row>
    <row r="69" ht="15" customHeight="1" s="107">
      <c r="A69" s="125">
        <f>'E M MONSENHOR JOÃO DE DEUS RODR'!B5</f>
        <v/>
      </c>
      <c r="B69" s="126">
        <f>HYPERLINK("#'E M MONSENHOR JOÃO DE DEUS RODR'!A1",'E M MONSENHOR JOÃO DE DEUS RODR'!B2)</f>
        <v/>
      </c>
      <c r="C69" s="127" t="n">
        <v>0</v>
      </c>
      <c r="D69" s="127" t="n">
        <v>0</v>
      </c>
      <c r="E69" s="127" t="n">
        <v>0</v>
      </c>
      <c r="F69" s="127" t="n">
        <v>0</v>
      </c>
      <c r="G69" s="127" t="n">
        <v>0</v>
      </c>
      <c r="H69" s="127" t="n">
        <v>0</v>
      </c>
      <c r="I69" s="127" t="n">
        <v>0</v>
      </c>
      <c r="J69" s="127" t="n">
        <v>0</v>
      </c>
      <c r="K69" s="127" t="n">
        <v>0</v>
      </c>
      <c r="L69" s="127" t="n">
        <v>0</v>
      </c>
      <c r="M69" s="127" t="n">
        <v>0</v>
      </c>
      <c r="N69" s="127" t="n">
        <v>0</v>
      </c>
      <c r="O69" s="127" t="n">
        <v>0</v>
      </c>
      <c r="P69" s="127" t="n">
        <v>0</v>
      </c>
      <c r="Q69" s="127" t="n">
        <v>0</v>
      </c>
      <c r="R69" s="127" t="n">
        <v>0</v>
      </c>
      <c r="S69" s="127" t="n">
        <v>0</v>
      </c>
      <c r="T69" s="127" t="n">
        <v>0</v>
      </c>
      <c r="U69" s="127" t="n">
        <v>0</v>
      </c>
    </row>
    <row r="70" ht="15" customHeight="1" s="107">
      <c r="A70" s="125">
        <f>'E M DOM MANOEL PEDRO DA CUNHA C'!B5</f>
        <v/>
      </c>
      <c r="B70" s="126">
        <f>HYPERLINK("#'E M DOM MANOEL PEDRO DA CUNHA C'!A1",'E M DOM MANOEL PEDRO DA CUNHA C'!B2)</f>
        <v/>
      </c>
      <c r="C70" s="127" t="n">
        <v>0</v>
      </c>
      <c r="D70" s="127" t="n">
        <v>0</v>
      </c>
      <c r="E70" s="127" t="n">
        <v>0</v>
      </c>
      <c r="F70" s="127" t="n">
        <v>0</v>
      </c>
      <c r="G70" s="127" t="n">
        <v>0</v>
      </c>
      <c r="H70" s="127" t="n">
        <v>0</v>
      </c>
      <c r="I70" s="127" t="n">
        <v>0</v>
      </c>
      <c r="J70" s="127" t="n">
        <v>0</v>
      </c>
      <c r="K70" s="127" t="n">
        <v>0</v>
      </c>
      <c r="L70" s="127" t="n">
        <v>0</v>
      </c>
      <c r="M70" s="127" t="n">
        <v>0</v>
      </c>
      <c r="N70" s="127" t="n">
        <v>0</v>
      </c>
      <c r="O70" s="127" t="n">
        <v>0</v>
      </c>
      <c r="P70" s="127" t="n">
        <v>0</v>
      </c>
      <c r="Q70" s="127" t="n">
        <v>0</v>
      </c>
      <c r="R70" s="127" t="n">
        <v>0</v>
      </c>
      <c r="S70" s="127" t="n">
        <v>0</v>
      </c>
      <c r="T70" s="127" t="n">
        <v>0</v>
      </c>
      <c r="U70" s="127" t="n">
        <v>0</v>
      </c>
    </row>
    <row r="71" ht="15" customHeight="1" s="107">
      <c r="A71" s="125">
        <f>'E M JOHANN NOEL'!B5</f>
        <v/>
      </c>
      <c r="B71" s="126">
        <f>HYPERLINK("#'E M JOHANN NOEL'!A1",'E M JOHANN NOEL'!B2)</f>
        <v/>
      </c>
      <c r="C71" s="127" t="n">
        <v>0</v>
      </c>
      <c r="D71" s="127" t="n">
        <v>0</v>
      </c>
      <c r="E71" s="127" t="n">
        <v>0</v>
      </c>
      <c r="F71" s="127" t="n">
        <v>0</v>
      </c>
      <c r="G71" s="127" t="n">
        <v>0</v>
      </c>
      <c r="H71" s="127" t="n">
        <v>0</v>
      </c>
      <c r="I71" s="127" t="n">
        <v>0</v>
      </c>
      <c r="J71" s="127" t="n">
        <v>0</v>
      </c>
      <c r="K71" s="127" t="n">
        <v>0</v>
      </c>
      <c r="L71" s="127" t="n">
        <v>0</v>
      </c>
      <c r="M71" s="127" t="n">
        <v>0</v>
      </c>
      <c r="N71" s="127" t="n">
        <v>0</v>
      </c>
      <c r="O71" s="127" t="n">
        <v>0</v>
      </c>
      <c r="P71" s="127" t="n">
        <v>0</v>
      </c>
      <c r="Q71" s="127" t="n">
        <v>0</v>
      </c>
      <c r="R71" s="127" t="n">
        <v>0</v>
      </c>
      <c r="S71" s="127" t="n">
        <v>0</v>
      </c>
      <c r="T71" s="127" t="n">
        <v>0</v>
      </c>
      <c r="U71" s="127" t="n">
        <v>0</v>
      </c>
    </row>
    <row r="72" ht="15" customHeight="1" s="107">
      <c r="A72" s="125">
        <f>'E MZDA SANTA TEREZINHA'!B5</f>
        <v/>
      </c>
      <c r="B72" s="126">
        <f>HYPERLINK("#'E MZDA SANTA TEREZINHA'!A1",'E MZDA SANTA TEREZINHA'!B2)</f>
        <v/>
      </c>
      <c r="C72" s="127" t="n">
        <v>0</v>
      </c>
      <c r="D72" s="127" t="n">
        <v>0</v>
      </c>
      <c r="E72" s="127" t="n">
        <v>0</v>
      </c>
      <c r="F72" s="127" t="n">
        <v>0</v>
      </c>
      <c r="G72" s="127" t="n">
        <v>0</v>
      </c>
      <c r="H72" s="127" t="n">
        <v>0</v>
      </c>
      <c r="I72" s="127" t="n">
        <v>0</v>
      </c>
      <c r="J72" s="127" t="n">
        <v>0</v>
      </c>
      <c r="K72" s="127" t="n">
        <v>0</v>
      </c>
      <c r="L72" s="127" t="n">
        <v>0</v>
      </c>
      <c r="M72" s="127" t="n">
        <v>0</v>
      </c>
      <c r="N72" s="127" t="n">
        <v>0</v>
      </c>
      <c r="O72" s="127" t="n">
        <v>0</v>
      </c>
      <c r="P72" s="127" t="n">
        <v>0</v>
      </c>
      <c r="Q72" s="127" t="n">
        <v>0</v>
      </c>
      <c r="R72" s="127" t="n">
        <v>0</v>
      </c>
      <c r="S72" s="127" t="n">
        <v>0</v>
      </c>
      <c r="T72" s="127" t="n">
        <v>0</v>
      </c>
      <c r="U72" s="127" t="n">
        <v>0</v>
      </c>
    </row>
    <row r="73" ht="15" customHeight="1" s="107">
      <c r="A73" s="125">
        <f>'E M PAPA JOÃO PAULO II'!B5</f>
        <v/>
      </c>
      <c r="B73" s="126">
        <f>HYPERLINK("#'E M PAPA JOÃO PAULO II'!A1",'E M PAPA JOÃO PAULO II'!B2)</f>
        <v/>
      </c>
      <c r="C73" s="127" t="n">
        <v>0</v>
      </c>
      <c r="D73" s="127" t="n">
        <v>0</v>
      </c>
      <c r="E73" s="127" t="n">
        <v>0</v>
      </c>
      <c r="F73" s="127" t="n">
        <v>0</v>
      </c>
      <c r="G73" s="127" t="n">
        <v>0</v>
      </c>
      <c r="H73" s="127" t="n">
        <v>0</v>
      </c>
      <c r="I73" s="127" t="n">
        <v>0</v>
      </c>
      <c r="J73" s="127" t="n">
        <v>0</v>
      </c>
      <c r="K73" s="127" t="n">
        <v>0</v>
      </c>
      <c r="L73" s="127" t="n">
        <v>0</v>
      </c>
      <c r="M73" s="127" t="n">
        <v>0</v>
      </c>
      <c r="N73" s="127" t="n">
        <v>0</v>
      </c>
      <c r="O73" s="127" t="n">
        <v>0</v>
      </c>
      <c r="P73" s="127" t="n">
        <v>0</v>
      </c>
      <c r="Q73" s="127" t="n">
        <v>0</v>
      </c>
      <c r="R73" s="127" t="n">
        <v>0</v>
      </c>
      <c r="S73" s="127" t="n">
        <v>0</v>
      </c>
      <c r="T73" s="127" t="n">
        <v>0</v>
      </c>
      <c r="U73" s="127" t="n">
        <v>0</v>
      </c>
    </row>
    <row r="74" ht="15" customHeight="1" s="107">
      <c r="A74" s="125">
        <f>'E M STEFAN ZWEIG'!B5</f>
        <v/>
      </c>
      <c r="B74" s="126">
        <f>HYPERLINK("#'E M STEFAN ZWEIG'!A1",'E M STEFAN ZWEIG'!B2)</f>
        <v/>
      </c>
      <c r="C74" s="127" t="n">
        <v>0</v>
      </c>
      <c r="D74" s="127" t="n">
        <v>0</v>
      </c>
      <c r="E74" s="127" t="n">
        <v>0</v>
      </c>
      <c r="F74" s="127" t="n">
        <v>0</v>
      </c>
      <c r="G74" s="127" t="n">
        <v>0</v>
      </c>
      <c r="H74" s="127" t="n">
        <v>0</v>
      </c>
      <c r="I74" s="127" t="n">
        <v>0</v>
      </c>
      <c r="J74" s="127" t="n">
        <v>0</v>
      </c>
      <c r="K74" s="127" t="n">
        <v>0</v>
      </c>
      <c r="L74" s="127" t="n">
        <v>0</v>
      </c>
      <c r="M74" s="127" t="n">
        <v>0</v>
      </c>
      <c r="N74" s="127" t="n">
        <v>0</v>
      </c>
      <c r="O74" s="127" t="n">
        <v>0</v>
      </c>
      <c r="P74" s="127" t="n">
        <v>0</v>
      </c>
      <c r="Q74" s="127" t="n">
        <v>0</v>
      </c>
      <c r="R74" s="127" t="n">
        <v>0</v>
      </c>
      <c r="S74" s="127" t="n">
        <v>0</v>
      </c>
      <c r="T74" s="127" t="n">
        <v>0</v>
      </c>
      <c r="U74" s="127" t="n">
        <v>0</v>
      </c>
    </row>
    <row r="75" ht="15" customHeight="1" s="107">
      <c r="A75" s="125">
        <f>'ESCOLA MUNICIPAL SENADOR MARIO '!B5</f>
        <v/>
      </c>
      <c r="B75" s="126">
        <f>HYPERLINK("#'ESCOLA MUNICIPAL SENADOR MARIO '!A1",'ESCOLA MUNICIPAL SENADOR MARIO '!B2)</f>
        <v/>
      </c>
      <c r="C75" s="127" t="n">
        <v>0</v>
      </c>
      <c r="D75" s="127" t="n">
        <v>0</v>
      </c>
      <c r="E75" s="127" t="n">
        <v>0</v>
      </c>
      <c r="F75" s="127" t="n">
        <v>0</v>
      </c>
      <c r="G75" s="127" t="n">
        <v>0</v>
      </c>
      <c r="H75" s="127" t="n">
        <v>0</v>
      </c>
      <c r="I75" s="127" t="n">
        <v>0</v>
      </c>
      <c r="J75" s="127" t="n">
        <v>0</v>
      </c>
      <c r="K75" s="127" t="n">
        <v>0</v>
      </c>
      <c r="L75" s="127" t="n">
        <v>0</v>
      </c>
      <c r="M75" s="127" t="n">
        <v>0</v>
      </c>
      <c r="N75" s="127" t="n">
        <v>0</v>
      </c>
      <c r="O75" s="127" t="n">
        <v>0</v>
      </c>
      <c r="P75" s="127" t="n">
        <v>0</v>
      </c>
      <c r="Q75" s="127" t="n">
        <v>0</v>
      </c>
      <c r="R75" s="127" t="n">
        <v>0</v>
      </c>
      <c r="S75" s="127" t="n">
        <v>0</v>
      </c>
      <c r="T75" s="127" t="n">
        <v>0</v>
      </c>
      <c r="U75" s="127" t="n">
        <v>0</v>
      </c>
    </row>
    <row r="76" ht="15" customHeight="1" s="107">
      <c r="A76" s="125">
        <f>'E M DR RUBENS DE CASTRO BOMTEMP'!B5</f>
        <v/>
      </c>
      <c r="B76" s="126">
        <f>HYPERLINK("#'E M DR RUBENS DE CASTRO BOMTEMP'!A1",'E M DR RUBENS DE CASTRO BOMTEMP'!B2)</f>
        <v/>
      </c>
      <c r="C76" s="127" t="n">
        <v>0</v>
      </c>
      <c r="D76" s="127" t="n">
        <v>0</v>
      </c>
      <c r="E76" s="127" t="n">
        <v>0</v>
      </c>
      <c r="F76" s="127" t="n">
        <v>0</v>
      </c>
      <c r="G76" s="127" t="n">
        <v>0</v>
      </c>
      <c r="H76" s="127" t="n">
        <v>0</v>
      </c>
      <c r="I76" s="127" t="n">
        <v>0</v>
      </c>
      <c r="J76" s="127" t="n">
        <v>0</v>
      </c>
      <c r="K76" s="127" t="n">
        <v>0</v>
      </c>
      <c r="L76" s="127" t="n">
        <v>0</v>
      </c>
      <c r="M76" s="127" t="n">
        <v>0</v>
      </c>
      <c r="N76" s="127" t="n">
        <v>0</v>
      </c>
      <c r="O76" s="127" t="n">
        <v>0</v>
      </c>
      <c r="P76" s="127" t="n">
        <v>0</v>
      </c>
      <c r="Q76" s="127" t="n">
        <v>0</v>
      </c>
      <c r="R76" s="127" t="n">
        <v>0</v>
      </c>
      <c r="S76" s="127" t="n">
        <v>0</v>
      </c>
      <c r="T76" s="127" t="n">
        <v>0</v>
      </c>
      <c r="U76" s="127" t="n">
        <v>0</v>
      </c>
    </row>
    <row r="77" ht="15" customHeight="1" s="107">
      <c r="A77" s="125">
        <f>'E M PAULO FREIRE'!B5</f>
        <v/>
      </c>
      <c r="B77" s="126">
        <f>HYPERLINK("#'E M PAULO FREIRE'!A1",'E M PAULO FREIRE'!B2)</f>
        <v/>
      </c>
      <c r="C77" s="127" t="n">
        <v>0</v>
      </c>
      <c r="D77" s="127" t="n">
        <v>0</v>
      </c>
      <c r="E77" s="127" t="n">
        <v>0</v>
      </c>
      <c r="F77" s="127" t="n">
        <v>0</v>
      </c>
      <c r="G77" s="127" t="n">
        <v>0</v>
      </c>
      <c r="H77" s="127" t="n">
        <v>0</v>
      </c>
      <c r="I77" s="127" t="n">
        <v>0</v>
      </c>
      <c r="J77" s="127" t="n">
        <v>0</v>
      </c>
      <c r="K77" s="127" t="n">
        <v>0</v>
      </c>
      <c r="L77" s="127" t="n">
        <v>0</v>
      </c>
      <c r="M77" s="127" t="n">
        <v>0</v>
      </c>
      <c r="N77" s="127" t="n">
        <v>0</v>
      </c>
      <c r="O77" s="127" t="n">
        <v>0</v>
      </c>
      <c r="P77" s="127" t="n">
        <v>0</v>
      </c>
      <c r="Q77" s="127" t="n">
        <v>0</v>
      </c>
      <c r="R77" s="127" t="n">
        <v>0</v>
      </c>
      <c r="S77" s="127" t="n">
        <v>0</v>
      </c>
      <c r="T77" s="127" t="n">
        <v>0</v>
      </c>
      <c r="U77" s="127" t="n">
        <v>0</v>
      </c>
    </row>
    <row r="78" ht="15" customHeight="1" s="107">
      <c r="A78" s="125">
        <f>'E M PROFª MARIA CAMPOS DA SILVA'!B5</f>
        <v/>
      </c>
      <c r="B78" s="126">
        <f>HYPERLINK("#'E M PROFª MARIA CAMPOS DA SILVA'!A1",'E M PROFª MARIA CAMPOS DA SILVA'!B2)</f>
        <v/>
      </c>
      <c r="C78" s="127" t="n">
        <v>0</v>
      </c>
      <c r="D78" s="127" t="n">
        <v>0</v>
      </c>
      <c r="E78" s="127" t="n">
        <v>0</v>
      </c>
      <c r="F78" s="127" t="n">
        <v>0</v>
      </c>
      <c r="G78" s="127" t="n">
        <v>0</v>
      </c>
      <c r="H78" s="127" t="n">
        <v>0</v>
      </c>
      <c r="I78" s="127" t="n">
        <v>0</v>
      </c>
      <c r="J78" s="127" t="n">
        <v>0</v>
      </c>
      <c r="K78" s="127" t="n">
        <v>0</v>
      </c>
      <c r="L78" s="127" t="n">
        <v>0</v>
      </c>
      <c r="M78" s="127" t="n">
        <v>0</v>
      </c>
      <c r="N78" s="127" t="n">
        <v>0</v>
      </c>
      <c r="O78" s="127" t="n">
        <v>0</v>
      </c>
      <c r="P78" s="127" t="n">
        <v>0</v>
      </c>
      <c r="Q78" s="127" t="n">
        <v>0</v>
      </c>
      <c r="R78" s="127" t="n">
        <v>0</v>
      </c>
      <c r="S78" s="127" t="n">
        <v>0</v>
      </c>
      <c r="T78" s="127" t="n">
        <v>0</v>
      </c>
      <c r="U78" s="127" t="n">
        <v>0</v>
      </c>
    </row>
    <row r="79" ht="15" customHeight="1" s="107">
      <c r="A79" s="125">
        <f>'E M HERCÍLIA HENRIQUES MORET'!B5</f>
        <v/>
      </c>
      <c r="B79" s="126">
        <f>HYPERLINK("#'E M HERCÍLIA HENRIQUES MORET'!A1",'E M HERCÍLIA HENRIQUES MORET'!B2)</f>
        <v/>
      </c>
      <c r="C79" s="127" t="n">
        <v>0</v>
      </c>
      <c r="D79" s="127" t="n">
        <v>0</v>
      </c>
      <c r="E79" s="127" t="n">
        <v>0</v>
      </c>
      <c r="F79" s="127" t="n">
        <v>0</v>
      </c>
      <c r="G79" s="127" t="n">
        <v>0</v>
      </c>
      <c r="H79" s="127" t="n">
        <v>0</v>
      </c>
      <c r="I79" s="127" t="n">
        <v>0</v>
      </c>
      <c r="J79" s="127" t="n">
        <v>0</v>
      </c>
      <c r="K79" s="127" t="n">
        <v>0</v>
      </c>
      <c r="L79" s="127" t="n">
        <v>0</v>
      </c>
      <c r="M79" s="127" t="n">
        <v>0</v>
      </c>
      <c r="N79" s="127" t="n">
        <v>0</v>
      </c>
      <c r="O79" s="127" t="n">
        <v>0</v>
      </c>
      <c r="P79" s="127" t="n">
        <v>0</v>
      </c>
      <c r="Q79" s="127" t="n">
        <v>0</v>
      </c>
      <c r="R79" s="127" t="n">
        <v>0</v>
      </c>
      <c r="S79" s="127" t="n">
        <v>0</v>
      </c>
      <c r="T79" s="127" t="n">
        <v>0</v>
      </c>
      <c r="U79" s="127" t="n">
        <v>0</v>
      </c>
    </row>
    <row r="80" ht="15" customHeight="1" s="107">
      <c r="A80" s="125">
        <f>'ESCOLA MUNICIPALIZADA MOYSÉS FU'!B5</f>
        <v/>
      </c>
      <c r="B80" s="126">
        <f>HYPERLINK("#'ESCOLA MUNICIPALIZADA MOYSÉS FU'!A1",'ESCOLA MUNICIPALIZADA MOYSÉS FU'!B2)</f>
        <v/>
      </c>
      <c r="C80" s="127" t="n">
        <v>0</v>
      </c>
      <c r="D80" s="127" t="n">
        <v>0</v>
      </c>
      <c r="E80" s="127" t="n">
        <v>0</v>
      </c>
      <c r="F80" s="127" t="n">
        <v>0</v>
      </c>
      <c r="G80" s="127" t="n">
        <v>0</v>
      </c>
      <c r="H80" s="127" t="n">
        <v>0</v>
      </c>
      <c r="I80" s="127" t="n">
        <v>0</v>
      </c>
      <c r="J80" s="127" t="n">
        <v>0</v>
      </c>
      <c r="K80" s="127" t="n">
        <v>0</v>
      </c>
      <c r="L80" s="127" t="n">
        <v>0</v>
      </c>
      <c r="M80" s="127" t="n">
        <v>0</v>
      </c>
      <c r="N80" s="127" t="n">
        <v>0</v>
      </c>
      <c r="O80" s="127" t="n">
        <v>0</v>
      </c>
      <c r="P80" s="127" t="n">
        <v>0</v>
      </c>
      <c r="Q80" s="127" t="n">
        <v>0</v>
      </c>
      <c r="R80" s="127" t="n">
        <v>0</v>
      </c>
      <c r="S80" s="127" t="n">
        <v>0</v>
      </c>
      <c r="T80" s="127" t="n">
        <v>0</v>
      </c>
      <c r="U80" s="127" t="n">
        <v>0</v>
      </c>
    </row>
    <row r="81" ht="15" customHeight="1" s="107">
      <c r="A81" s="125">
        <f>'CIEP BRIZOLÃO 474 MAESTRO GUERR'!B5</f>
        <v/>
      </c>
      <c r="B81" s="126">
        <f>HYPERLINK("#'CIEP BRIZOLÃO 474 MAESTRO GUERR'!A1",'CIEP BRIZOLÃO 474 MAESTRO GUERR'!B2)</f>
        <v/>
      </c>
      <c r="C81" s="127" t="n">
        <v>0</v>
      </c>
      <c r="D81" s="127" t="n">
        <v>0</v>
      </c>
      <c r="E81" s="127" t="n">
        <v>0</v>
      </c>
      <c r="F81" s="127" t="n">
        <v>0</v>
      </c>
      <c r="G81" s="127" t="n">
        <v>0</v>
      </c>
      <c r="H81" s="127" t="n">
        <v>0</v>
      </c>
      <c r="I81" s="127" t="n">
        <v>0</v>
      </c>
      <c r="J81" s="127" t="n">
        <v>0</v>
      </c>
      <c r="K81" s="127" t="n">
        <v>0</v>
      </c>
      <c r="L81" s="127" t="n">
        <v>0</v>
      </c>
      <c r="M81" s="127" t="n">
        <v>0</v>
      </c>
      <c r="N81" s="127" t="n">
        <v>0</v>
      </c>
      <c r="O81" s="127" t="n">
        <v>0</v>
      </c>
      <c r="P81" s="127" t="n">
        <v>0</v>
      </c>
      <c r="Q81" s="127" t="n">
        <v>0</v>
      </c>
      <c r="R81" s="127" t="n">
        <v>0</v>
      </c>
      <c r="S81" s="127" t="n">
        <v>0</v>
      </c>
      <c r="T81" s="127" t="n">
        <v>0</v>
      </c>
      <c r="U81" s="127" t="n">
        <v>0</v>
      </c>
    </row>
    <row r="82" ht="15" customHeight="1" s="107">
      <c r="A82" s="125">
        <f>'CENTRO DE ENSINO PROF DARCY RIB'!B5</f>
        <v/>
      </c>
      <c r="B82" s="126">
        <f>HYPERLINK("#'CENTRO DE ENSINO PROF DARCY RIB'!A1",'CENTRO DE ENSINO PROF DARCY RIB'!B2)</f>
        <v/>
      </c>
      <c r="C82" s="127" t="n">
        <v>0</v>
      </c>
      <c r="D82" s="127" t="n">
        <v>0</v>
      </c>
      <c r="E82" s="127" t="n">
        <v>0</v>
      </c>
      <c r="F82" s="127" t="n">
        <v>0</v>
      </c>
      <c r="G82" s="127" t="n">
        <v>0</v>
      </c>
      <c r="H82" s="127" t="n">
        <v>0</v>
      </c>
      <c r="I82" s="127" t="n">
        <v>0</v>
      </c>
      <c r="J82" s="127" t="n">
        <v>0</v>
      </c>
      <c r="K82" s="127" t="n">
        <v>0</v>
      </c>
      <c r="L82" s="127" t="n">
        <v>0</v>
      </c>
      <c r="M82" s="127" t="n">
        <v>0</v>
      </c>
      <c r="N82" s="127" t="n">
        <v>0</v>
      </c>
      <c r="O82" s="127" t="n">
        <v>0</v>
      </c>
      <c r="P82" s="127" t="n">
        <v>0</v>
      </c>
      <c r="Q82" s="127" t="n">
        <v>0</v>
      </c>
      <c r="R82" s="127" t="n">
        <v>0</v>
      </c>
      <c r="S82" s="127" t="n">
        <v>0</v>
      </c>
      <c r="T82" s="127" t="n">
        <v>0</v>
      </c>
      <c r="U82" s="127" t="n">
        <v>0</v>
      </c>
    </row>
    <row r="83" ht="15" customHeight="1" s="107">
      <c r="A83" s="125">
        <f>'CASA DA EDUCAÇÃO VISCONDE DE MA'!B5</f>
        <v/>
      </c>
      <c r="B83" s="126">
        <f>HYPERLINK("#'CASA DA EDUCAÇÃO VISCONDE DE MA'!A1",'CASA DA EDUCAÇÃO VISCONDE DE MA'!B2)</f>
        <v/>
      </c>
      <c r="C83" s="127" t="n">
        <v>0</v>
      </c>
      <c r="D83" s="127" t="n">
        <v>0</v>
      </c>
      <c r="E83" s="127" t="n">
        <v>0</v>
      </c>
      <c r="F83" s="127" t="n">
        <v>0</v>
      </c>
      <c r="G83" s="127" t="n">
        <v>0</v>
      </c>
      <c r="H83" s="127" t="n">
        <v>0</v>
      </c>
      <c r="I83" s="127" t="n">
        <v>0</v>
      </c>
      <c r="J83" s="127" t="n">
        <v>0</v>
      </c>
      <c r="K83" s="127" t="n">
        <v>0</v>
      </c>
      <c r="L83" s="127" t="n">
        <v>0</v>
      </c>
      <c r="M83" s="127" t="n">
        <v>0</v>
      </c>
      <c r="N83" s="127" t="n">
        <v>0</v>
      </c>
      <c r="O83" s="127" t="n">
        <v>0</v>
      </c>
      <c r="P83" s="127" t="n">
        <v>0</v>
      </c>
      <c r="Q83" s="127" t="n">
        <v>0</v>
      </c>
      <c r="R83" s="127" t="n">
        <v>0</v>
      </c>
      <c r="S83" s="127" t="n">
        <v>0</v>
      </c>
      <c r="T83" s="127" t="n">
        <v>0</v>
      </c>
      <c r="U83" s="127" t="n">
        <v>0</v>
      </c>
    </row>
    <row r="84" ht="15" customHeight="1" s="107">
      <c r="A84" s="125">
        <f>'CENTRO DE REFERÊNCIA EM EDUCAÇÃ'!B5</f>
        <v/>
      </c>
      <c r="B84" s="126">
        <f>HYPERLINK("#'CENTRO DE REFERÊNCIA EM EDUCAÇÃ'!A1",'CENTRO DE REFERÊNCIA EM EDUCAÇÃ'!B2)</f>
        <v/>
      </c>
      <c r="C84" s="127" t="n">
        <v>0</v>
      </c>
      <c r="D84" s="127" t="n">
        <v>0</v>
      </c>
      <c r="E84" s="127" t="n">
        <v>0</v>
      </c>
      <c r="F84" s="127" t="n">
        <v>0</v>
      </c>
      <c r="G84" s="127" t="n">
        <v>0</v>
      </c>
      <c r="H84" s="127" t="n">
        <v>0</v>
      </c>
      <c r="I84" s="127" t="n">
        <v>0</v>
      </c>
      <c r="J84" s="127" t="n">
        <v>0</v>
      </c>
      <c r="K84" s="127" t="n">
        <v>0</v>
      </c>
      <c r="L84" s="127" t="n">
        <v>0</v>
      </c>
      <c r="M84" s="127" t="n">
        <v>0</v>
      </c>
      <c r="N84" s="127" t="n">
        <v>0</v>
      </c>
      <c r="O84" s="127" t="n">
        <v>0</v>
      </c>
      <c r="P84" s="127" t="n">
        <v>0</v>
      </c>
      <c r="Q84" s="127" t="n">
        <v>0</v>
      </c>
      <c r="R84" s="127" t="n">
        <v>0</v>
      </c>
      <c r="S84" s="127" t="n">
        <v>0</v>
      </c>
      <c r="T84" s="127" t="n">
        <v>0</v>
      </c>
      <c r="U84" s="127" t="n">
        <v>0</v>
      </c>
    </row>
    <row r="85" ht="15" customHeight="1" s="107">
      <c r="A85" s="125">
        <f>'E M PROF NILTON COSTA PEREIRA D'!B5</f>
        <v/>
      </c>
      <c r="B85" s="126">
        <f>HYPERLINK("#'E M PROF NILTON COSTA PEREIRA D'!A1",'E M PROF NILTON COSTA PEREIRA D'!B2)</f>
        <v/>
      </c>
      <c r="C85" s="127" t="n">
        <v>0</v>
      </c>
      <c r="D85" s="127" t="n">
        <v>0</v>
      </c>
      <c r="E85" s="127" t="n">
        <v>0</v>
      </c>
      <c r="F85" s="127" t="n">
        <v>0</v>
      </c>
      <c r="G85" s="127" t="n">
        <v>0</v>
      </c>
      <c r="H85" s="127" t="n">
        <v>0</v>
      </c>
      <c r="I85" s="127" t="n">
        <v>0</v>
      </c>
      <c r="J85" s="127" t="n">
        <v>0</v>
      </c>
      <c r="K85" s="127" t="n">
        <v>0</v>
      </c>
      <c r="L85" s="127" t="n">
        <v>0</v>
      </c>
      <c r="M85" s="127" t="n">
        <v>0</v>
      </c>
      <c r="N85" s="127" t="n">
        <v>0</v>
      </c>
      <c r="O85" s="127" t="n">
        <v>0</v>
      </c>
      <c r="P85" s="127" t="n">
        <v>0</v>
      </c>
      <c r="Q85" s="127" t="n">
        <v>0</v>
      </c>
      <c r="R85" s="127" t="n">
        <v>0</v>
      </c>
      <c r="S85" s="127" t="n">
        <v>0</v>
      </c>
      <c r="T85" s="127" t="n">
        <v>0</v>
      </c>
      <c r="U85" s="127" t="n">
        <v>0</v>
      </c>
    </row>
    <row r="86" ht="15" customHeight="1" s="107">
      <c r="A86" s="125">
        <f>'COLÉGIO GUNNAR VINGREN DE PETRÓ'!B5</f>
        <v/>
      </c>
      <c r="B86" s="126">
        <f>HYPERLINK("#'COLÉGIO GUNNAR VINGREN DE PETRÓ'!A1",'COLÉGIO GUNNAR VINGREN DE PETRÓ'!B2)</f>
        <v/>
      </c>
      <c r="C86" s="127" t="n">
        <v>0</v>
      </c>
      <c r="D86" s="127" t="n">
        <v>0</v>
      </c>
      <c r="E86" s="127" t="n">
        <v>0</v>
      </c>
      <c r="F86" s="127" t="n">
        <v>0</v>
      </c>
      <c r="G86" s="127" t="n">
        <v>0</v>
      </c>
      <c r="H86" s="127" t="n">
        <v>0</v>
      </c>
      <c r="I86" s="127" t="n">
        <v>0</v>
      </c>
      <c r="J86" s="127" t="n">
        <v>0</v>
      </c>
      <c r="K86" s="127" t="n">
        <v>0</v>
      </c>
      <c r="L86" s="127" t="n">
        <v>0</v>
      </c>
      <c r="M86" s="127" t="n">
        <v>0</v>
      </c>
      <c r="N86" s="127" t="n">
        <v>0</v>
      </c>
      <c r="O86" s="127" t="n">
        <v>0</v>
      </c>
      <c r="P86" s="127" t="n">
        <v>0</v>
      </c>
      <c r="Q86" s="127" t="n">
        <v>0</v>
      </c>
      <c r="R86" s="127" t="n">
        <v>0</v>
      </c>
      <c r="S86" s="127" t="n">
        <v>0</v>
      </c>
      <c r="T86" s="127" t="n">
        <v>0</v>
      </c>
      <c r="U86" s="127" t="n">
        <v>0</v>
      </c>
    </row>
    <row r="87" ht="15" customHeight="1" s="107">
      <c r="A87" s="125">
        <f>'CENTRO DE REFERÊNCIA EM EDUC 2'!B5</f>
        <v/>
      </c>
      <c r="B87" s="126">
        <f>HYPERLINK("#'CENTRO DE REFERÊNCIA EM EDUC 2'!A1",'CENTRO DE REFERÊNCIA EM EDUC 2'!B2)</f>
        <v/>
      </c>
      <c r="C87" s="127" t="n">
        <v>0</v>
      </c>
      <c r="D87" s="127" t="n">
        <v>0</v>
      </c>
      <c r="E87" s="127" t="n">
        <v>0</v>
      </c>
      <c r="F87" s="127" t="n">
        <v>0</v>
      </c>
      <c r="G87" s="127" t="n">
        <v>0</v>
      </c>
      <c r="H87" s="127" t="n">
        <v>0</v>
      </c>
      <c r="I87" s="127" t="n">
        <v>0</v>
      </c>
      <c r="J87" s="127" t="n">
        <v>0</v>
      </c>
      <c r="K87" s="127" t="n">
        <v>0</v>
      </c>
      <c r="L87" s="127" t="n">
        <v>0</v>
      </c>
      <c r="M87" s="127" t="n">
        <v>0</v>
      </c>
      <c r="N87" s="127" t="n">
        <v>0</v>
      </c>
      <c r="O87" s="127" t="n">
        <v>0</v>
      </c>
      <c r="P87" s="127" t="n">
        <v>0</v>
      </c>
      <c r="Q87" s="127" t="n">
        <v>0</v>
      </c>
      <c r="R87" s="127" t="n">
        <v>0</v>
      </c>
      <c r="S87" s="127" t="n">
        <v>0</v>
      </c>
      <c r="T87" s="127" t="n">
        <v>0</v>
      </c>
      <c r="U87" s="127" t="n">
        <v>0</v>
      </c>
    </row>
    <row r="88" ht="15" customHeight="1" s="107">
      <c r="A88" s="125">
        <f>'ESCOLA SANTA LUIZA DE MARILLAC'!B5</f>
        <v/>
      </c>
      <c r="B88" s="126">
        <f>HYPERLINK("#'ESCOLA SANTA LUIZA DE MARILLAC'!A1",'ESCOLA SANTA LUIZA DE MARILLAC'!B2)</f>
        <v/>
      </c>
      <c r="C88" s="127" t="n">
        <v>0</v>
      </c>
      <c r="D88" s="127" t="n">
        <v>0</v>
      </c>
      <c r="E88" s="127" t="n">
        <v>0</v>
      </c>
      <c r="F88" s="127" t="n">
        <v>0</v>
      </c>
      <c r="G88" s="127" t="n">
        <v>0</v>
      </c>
      <c r="H88" s="127" t="n">
        <v>0</v>
      </c>
      <c r="I88" s="127" t="n">
        <v>0</v>
      </c>
      <c r="J88" s="127" t="n">
        <v>0</v>
      </c>
      <c r="K88" s="127" t="n">
        <v>0</v>
      </c>
      <c r="L88" s="127" t="n">
        <v>0</v>
      </c>
      <c r="M88" s="127" t="n">
        <v>0</v>
      </c>
      <c r="N88" s="127" t="n">
        <v>0</v>
      </c>
      <c r="O88" s="127" t="n">
        <v>0</v>
      </c>
      <c r="P88" s="127" t="n">
        <v>0</v>
      </c>
      <c r="Q88" s="127" t="n">
        <v>0</v>
      </c>
      <c r="R88" s="127" t="n">
        <v>0</v>
      </c>
      <c r="S88" s="127" t="n">
        <v>0</v>
      </c>
      <c r="T88" s="127" t="n">
        <v>0</v>
      </c>
      <c r="U88" s="127" t="n">
        <v>0</v>
      </c>
    </row>
    <row r="89" ht="15" customHeight="1" s="107">
      <c r="A89" s="125">
        <f>'CENTRO EDUCACIONAL COMUNIDADE S'!B5</f>
        <v/>
      </c>
      <c r="B89" s="126">
        <f>HYPERLINK("#'CENTRO EDUCACIONAL COMUNIDADE S'!A1",'CENTRO EDUCACIONAL COMUNIDADE S'!B2)</f>
        <v/>
      </c>
      <c r="C89" s="127" t="n">
        <v>0</v>
      </c>
      <c r="D89" s="127" t="n">
        <v>0</v>
      </c>
      <c r="E89" s="127" t="n">
        <v>0</v>
      </c>
      <c r="F89" s="127" t="n">
        <v>0</v>
      </c>
      <c r="G89" s="127" t="n">
        <v>0</v>
      </c>
      <c r="H89" s="127" t="n">
        <v>0</v>
      </c>
      <c r="I89" s="127" t="n">
        <v>0</v>
      </c>
      <c r="J89" s="127" t="n">
        <v>0</v>
      </c>
      <c r="K89" s="127" t="n">
        <v>0</v>
      </c>
      <c r="L89" s="127" t="n">
        <v>0</v>
      </c>
      <c r="M89" s="127" t="n">
        <v>0</v>
      </c>
      <c r="N89" s="127" t="n">
        <v>0</v>
      </c>
      <c r="O89" s="127" t="n">
        <v>0</v>
      </c>
      <c r="P89" s="127" t="n">
        <v>0</v>
      </c>
      <c r="Q89" s="127" t="n">
        <v>0</v>
      </c>
      <c r="R89" s="127" t="n">
        <v>0</v>
      </c>
      <c r="S89" s="127" t="n">
        <v>0</v>
      </c>
      <c r="T89" s="127" t="n">
        <v>0</v>
      </c>
      <c r="U89" s="127" t="n">
        <v>0</v>
      </c>
    </row>
    <row r="90" ht="15" customHeight="1" s="107">
      <c r="A90" s="125">
        <f>'EDUCANDÁRIO TERRA SANTA'!B5</f>
        <v/>
      </c>
      <c r="B90" s="126">
        <f>HYPERLINK("#'EDUCANDÁRIO TERRA SANTA'!A1",'EDUCANDÁRIO TERRA SANTA'!B2)</f>
        <v/>
      </c>
      <c r="C90" s="127" t="n">
        <v>0</v>
      </c>
      <c r="D90" s="127" t="n">
        <v>0</v>
      </c>
      <c r="E90" s="127" t="n">
        <v>0</v>
      </c>
      <c r="F90" s="127" t="n">
        <v>0</v>
      </c>
      <c r="G90" s="127" t="n">
        <v>0</v>
      </c>
      <c r="H90" s="127" t="n">
        <v>0</v>
      </c>
      <c r="I90" s="127" t="n">
        <v>0</v>
      </c>
      <c r="J90" s="127" t="n">
        <v>0</v>
      </c>
      <c r="K90" s="127" t="n">
        <v>0</v>
      </c>
      <c r="L90" s="127" t="n">
        <v>0</v>
      </c>
      <c r="M90" s="127" t="n">
        <v>0</v>
      </c>
      <c r="N90" s="127" t="n">
        <v>0</v>
      </c>
      <c r="O90" s="127" t="n">
        <v>0</v>
      </c>
      <c r="P90" s="127" t="n">
        <v>0</v>
      </c>
      <c r="Q90" s="127" t="n">
        <v>0</v>
      </c>
      <c r="R90" s="127" t="n">
        <v>0</v>
      </c>
      <c r="S90" s="127" t="n">
        <v>0</v>
      </c>
      <c r="T90" s="127" t="n">
        <v>0</v>
      </c>
      <c r="U90" s="127" t="n">
        <v>0</v>
      </c>
    </row>
    <row r="91" ht="15" customHeight="1" s="107">
      <c r="A91" s="125">
        <f>'ESCOLA GERMANO VALENTE'!B5</f>
        <v/>
      </c>
      <c r="B91" s="126">
        <f>HYPERLINK("#'ESCOLA GERMANO VALENTE'!A1",'ESCOLA GERMANO VALENTE'!B2)</f>
        <v/>
      </c>
      <c r="C91" s="127" t="n">
        <v>0</v>
      </c>
      <c r="D91" s="127" t="n">
        <v>0</v>
      </c>
      <c r="E91" s="127" t="n">
        <v>0</v>
      </c>
      <c r="F91" s="127" t="n">
        <v>0</v>
      </c>
      <c r="G91" s="127" t="n">
        <v>0</v>
      </c>
      <c r="H91" s="127" t="n">
        <v>0</v>
      </c>
      <c r="I91" s="127" t="n">
        <v>0</v>
      </c>
      <c r="J91" s="127" t="n">
        <v>0</v>
      </c>
      <c r="K91" s="127" t="n">
        <v>0</v>
      </c>
      <c r="L91" s="127" t="n">
        <v>0</v>
      </c>
      <c r="M91" s="127" t="n">
        <v>0</v>
      </c>
      <c r="N91" s="127" t="n">
        <v>0</v>
      </c>
      <c r="O91" s="127" t="n">
        <v>0</v>
      </c>
      <c r="P91" s="127" t="n">
        <v>0</v>
      </c>
      <c r="Q91" s="127" t="n">
        <v>0</v>
      </c>
      <c r="R91" s="127" t="n">
        <v>0</v>
      </c>
      <c r="S91" s="127" t="n">
        <v>0</v>
      </c>
      <c r="T91" s="127" t="n">
        <v>0</v>
      </c>
      <c r="U91" s="127" t="n">
        <v>0</v>
      </c>
    </row>
    <row r="92" ht="15" customHeight="1" s="107">
      <c r="A92" s="125">
        <f>'ESCOLA DAS COMUNIDADES SANTO AN'!B5</f>
        <v/>
      </c>
      <c r="B92" s="126">
        <f>HYPERLINK("#'ESCOLA DAS COMUNIDADES SANTO AN'!A1",'ESCOLA DAS COMUNIDADES SANTO AN'!B2)</f>
        <v/>
      </c>
      <c r="C92" s="127" t="n">
        <v>0</v>
      </c>
      <c r="D92" s="127" t="n">
        <v>0</v>
      </c>
      <c r="E92" s="127" t="n">
        <v>0</v>
      </c>
      <c r="F92" s="127" t="n">
        <v>0</v>
      </c>
      <c r="G92" s="127" t="n">
        <v>0</v>
      </c>
      <c r="H92" s="127" t="n">
        <v>0</v>
      </c>
      <c r="I92" s="127" t="n">
        <v>0</v>
      </c>
      <c r="J92" s="127" t="n">
        <v>0</v>
      </c>
      <c r="K92" s="127" t="n">
        <v>0</v>
      </c>
      <c r="L92" s="127" t="n">
        <v>0</v>
      </c>
      <c r="M92" s="127" t="n">
        <v>0</v>
      </c>
      <c r="N92" s="127" t="n">
        <v>0</v>
      </c>
      <c r="O92" s="127" t="n">
        <v>0</v>
      </c>
      <c r="P92" s="127" t="n">
        <v>0</v>
      </c>
      <c r="Q92" s="127" t="n">
        <v>0</v>
      </c>
      <c r="R92" s="127" t="n">
        <v>0</v>
      </c>
      <c r="S92" s="127" t="n">
        <v>0</v>
      </c>
      <c r="T92" s="127" t="n">
        <v>0</v>
      </c>
      <c r="U92" s="127" t="n">
        <v>0</v>
      </c>
    </row>
    <row r="93" ht="15" customHeight="1" s="107">
      <c r="A93" s="125">
        <f>'ESCOLA DOMÉSTICA NOSSA SENHORA '!B5</f>
        <v/>
      </c>
      <c r="B93" s="126">
        <f>HYPERLINK("#'ESCOLA DOMÉSTICA NOSSA SENHORA '!A1",'ESCOLA DOMÉSTICA NOSSA SENHORA '!B2)</f>
        <v/>
      </c>
      <c r="C93" s="127" t="n">
        <v>0</v>
      </c>
      <c r="D93" s="127" t="n">
        <v>0</v>
      </c>
      <c r="E93" s="127" t="n">
        <v>0</v>
      </c>
      <c r="F93" s="127" t="n">
        <v>0</v>
      </c>
      <c r="G93" s="127" t="n">
        <v>0</v>
      </c>
      <c r="H93" s="127" t="n">
        <v>0</v>
      </c>
      <c r="I93" s="127" t="n">
        <v>0</v>
      </c>
      <c r="J93" s="127" t="n">
        <v>0</v>
      </c>
      <c r="K93" s="127" t="n">
        <v>0</v>
      </c>
      <c r="L93" s="127" t="n">
        <v>0</v>
      </c>
      <c r="M93" s="127" t="n">
        <v>0</v>
      </c>
      <c r="N93" s="127" t="n">
        <v>0</v>
      </c>
      <c r="O93" s="127" t="n">
        <v>0</v>
      </c>
      <c r="P93" s="127" t="n">
        <v>0</v>
      </c>
      <c r="Q93" s="127" t="n">
        <v>0</v>
      </c>
      <c r="R93" s="127" t="n">
        <v>0</v>
      </c>
      <c r="S93" s="127" t="n">
        <v>0</v>
      </c>
      <c r="T93" s="127" t="n">
        <v>0</v>
      </c>
      <c r="U93" s="127" t="n">
        <v>0</v>
      </c>
    </row>
    <row r="94" ht="15" customHeight="1" s="107">
      <c r="A94" s="125">
        <f>'ESCOLA PAROQUIAL NOSSA SENHO 3'!B5</f>
        <v/>
      </c>
      <c r="B94" s="126">
        <f>HYPERLINK("#'ESCOLA PAROQUIAL NOSSA SENHO 3'!A1",'ESCOLA PAROQUIAL NOSSA SENHO 3'!B2)</f>
        <v/>
      </c>
      <c r="C94" s="127" t="n">
        <v>0</v>
      </c>
      <c r="D94" s="127" t="n">
        <v>0</v>
      </c>
      <c r="E94" s="127" t="n">
        <v>0</v>
      </c>
      <c r="F94" s="127" t="n">
        <v>0</v>
      </c>
      <c r="G94" s="127" t="n">
        <v>0</v>
      </c>
      <c r="H94" s="127" t="n">
        <v>0</v>
      </c>
      <c r="I94" s="127" t="n">
        <v>0</v>
      </c>
      <c r="J94" s="127" t="n">
        <v>0</v>
      </c>
      <c r="K94" s="127" t="n">
        <v>0</v>
      </c>
      <c r="L94" s="127" t="n">
        <v>0</v>
      </c>
      <c r="M94" s="127" t="n">
        <v>0</v>
      </c>
      <c r="N94" s="127" t="n">
        <v>0</v>
      </c>
      <c r="O94" s="127" t="n">
        <v>0</v>
      </c>
      <c r="P94" s="127" t="n">
        <v>0</v>
      </c>
      <c r="Q94" s="127" t="n">
        <v>0</v>
      </c>
      <c r="R94" s="127" t="n">
        <v>0</v>
      </c>
      <c r="S94" s="127" t="n">
        <v>0</v>
      </c>
      <c r="T94" s="127" t="n">
        <v>0</v>
      </c>
      <c r="U94" s="127" t="n">
        <v>0</v>
      </c>
    </row>
    <row r="95" ht="15" customHeight="1" s="107">
      <c r="A95" s="125">
        <f>'ESCOLA MONSENHOR GENTIL'!B5</f>
        <v/>
      </c>
      <c r="B95" s="126">
        <f>HYPERLINK("#'ESCOLA MONSENHOR GENTIL'!A1",'ESCOLA MONSENHOR GENTIL'!B2)</f>
        <v/>
      </c>
      <c r="C95" s="127" t="n">
        <v>0</v>
      </c>
      <c r="D95" s="127" t="n">
        <v>0</v>
      </c>
      <c r="E95" s="127" t="n">
        <v>0</v>
      </c>
      <c r="F95" s="127" t="n">
        <v>0</v>
      </c>
      <c r="G95" s="127" t="n">
        <v>0</v>
      </c>
      <c r="H95" s="127" t="n">
        <v>0</v>
      </c>
      <c r="I95" s="127" t="n">
        <v>0</v>
      </c>
      <c r="J95" s="127" t="n">
        <v>0</v>
      </c>
      <c r="K95" s="127" t="n">
        <v>0</v>
      </c>
      <c r="L95" s="127" t="n">
        <v>0</v>
      </c>
      <c r="M95" s="127" t="n">
        <v>0</v>
      </c>
      <c r="N95" s="127" t="n">
        <v>0</v>
      </c>
      <c r="O95" s="127" t="n">
        <v>0</v>
      </c>
      <c r="P95" s="127" t="n">
        <v>0</v>
      </c>
      <c r="Q95" s="127" t="n">
        <v>0</v>
      </c>
      <c r="R95" s="127" t="n">
        <v>0</v>
      </c>
      <c r="S95" s="127" t="n">
        <v>0</v>
      </c>
      <c r="T95" s="127" t="n">
        <v>0</v>
      </c>
      <c r="U95" s="127" t="n">
        <v>0</v>
      </c>
    </row>
    <row r="96" ht="15" customHeight="1" s="107">
      <c r="A96" s="125">
        <f>'ESCOLA PAROQUIAL BOM JESUS'!B5</f>
        <v/>
      </c>
      <c r="B96" s="126">
        <f>HYPERLINK("#'ESCOLA PAROQUIAL BOM JESUS'!A1",'ESCOLA PAROQUIAL BOM JESUS'!B2)</f>
        <v/>
      </c>
      <c r="C96" s="127" t="n">
        <v>0</v>
      </c>
      <c r="D96" s="127" t="n">
        <v>0</v>
      </c>
      <c r="E96" s="127" t="n">
        <v>0</v>
      </c>
      <c r="F96" s="127" t="n">
        <v>0</v>
      </c>
      <c r="G96" s="127" t="n">
        <v>0</v>
      </c>
      <c r="H96" s="127" t="n">
        <v>0</v>
      </c>
      <c r="I96" s="127" t="n">
        <v>0</v>
      </c>
      <c r="J96" s="127" t="n">
        <v>0</v>
      </c>
      <c r="K96" s="127" t="n">
        <v>0</v>
      </c>
      <c r="L96" s="127" t="n">
        <v>0</v>
      </c>
      <c r="M96" s="127" t="n">
        <v>0</v>
      </c>
      <c r="N96" s="127" t="n">
        <v>0</v>
      </c>
      <c r="O96" s="127" t="n">
        <v>0</v>
      </c>
      <c r="P96" s="127" t="n">
        <v>0</v>
      </c>
      <c r="Q96" s="127" t="n">
        <v>0</v>
      </c>
      <c r="R96" s="127" t="n">
        <v>0</v>
      </c>
      <c r="S96" s="127" t="n">
        <v>0</v>
      </c>
      <c r="T96" s="127" t="n">
        <v>0</v>
      </c>
      <c r="U96" s="127" t="n">
        <v>0</v>
      </c>
    </row>
    <row r="97" ht="15" customHeight="1" s="107">
      <c r="A97" s="125">
        <f>'ESCOLA PAROQUIAL CARLOS DEMIÁ'!B5</f>
        <v/>
      </c>
      <c r="B97" s="126">
        <f>HYPERLINK("#'ESCOLA PAROQUIAL CARLOS DEMIÁ'!A1",'ESCOLA PAROQUIAL CARLOS DEMIÁ'!B2)</f>
        <v/>
      </c>
      <c r="C97" s="127" t="n">
        <v>0</v>
      </c>
      <c r="D97" s="127" t="n">
        <v>0</v>
      </c>
      <c r="E97" s="127" t="n">
        <v>0</v>
      </c>
      <c r="F97" s="127" t="n">
        <v>0</v>
      </c>
      <c r="G97" s="127" t="n">
        <v>0</v>
      </c>
      <c r="H97" s="127" t="n">
        <v>0</v>
      </c>
      <c r="I97" s="127" t="n">
        <v>0</v>
      </c>
      <c r="J97" s="127" t="n">
        <v>0</v>
      </c>
      <c r="K97" s="127" t="n">
        <v>0</v>
      </c>
      <c r="L97" s="127" t="n">
        <v>0</v>
      </c>
      <c r="M97" s="127" t="n">
        <v>0</v>
      </c>
      <c r="N97" s="127" t="n">
        <v>0</v>
      </c>
      <c r="O97" s="127" t="n">
        <v>0</v>
      </c>
      <c r="P97" s="127" t="n">
        <v>0</v>
      </c>
      <c r="Q97" s="127" t="n">
        <v>0</v>
      </c>
      <c r="R97" s="127" t="n">
        <v>0</v>
      </c>
      <c r="S97" s="127" t="n">
        <v>0</v>
      </c>
      <c r="T97" s="127" t="n">
        <v>0</v>
      </c>
      <c r="U97" s="127" t="n">
        <v>0</v>
      </c>
    </row>
    <row r="98" ht="15" customHeight="1" s="107">
      <c r="A98" s="125">
        <f>'ESCOLA PAROQUIAL NOSSA SENHO 2'!B5</f>
        <v/>
      </c>
      <c r="B98" s="126">
        <f>HYPERLINK("#'ESCOLA PAROQUIAL NOSSA SENHO 2'!A1",'ESCOLA PAROQUIAL NOSSA SENHO 2'!B2)</f>
        <v/>
      </c>
      <c r="C98" s="127" t="n">
        <v>0</v>
      </c>
      <c r="D98" s="127" t="n">
        <v>0</v>
      </c>
      <c r="E98" s="127" t="n">
        <v>0</v>
      </c>
      <c r="F98" s="127" t="n">
        <v>0</v>
      </c>
      <c r="G98" s="127" t="n">
        <v>0</v>
      </c>
      <c r="H98" s="127" t="n">
        <v>0</v>
      </c>
      <c r="I98" s="127" t="n">
        <v>0</v>
      </c>
      <c r="J98" s="127" t="n">
        <v>0</v>
      </c>
      <c r="K98" s="127" t="n">
        <v>0</v>
      </c>
      <c r="L98" s="127" t="n">
        <v>0</v>
      </c>
      <c r="M98" s="127" t="n">
        <v>0</v>
      </c>
      <c r="N98" s="127" t="n">
        <v>0</v>
      </c>
      <c r="O98" s="127" t="n">
        <v>0</v>
      </c>
      <c r="P98" s="127" t="n">
        <v>0</v>
      </c>
      <c r="Q98" s="127" t="n">
        <v>0</v>
      </c>
      <c r="R98" s="127" t="n">
        <v>0</v>
      </c>
      <c r="S98" s="127" t="n">
        <v>0</v>
      </c>
      <c r="T98" s="127" t="n">
        <v>0</v>
      </c>
      <c r="U98" s="127" t="n">
        <v>0</v>
      </c>
    </row>
    <row r="99" ht="15" customHeight="1" s="107">
      <c r="A99" s="125">
        <f>'ESCOLA PAROQUIAL NOSSA SENHORA '!B5</f>
        <v/>
      </c>
      <c r="B99" s="126">
        <f>HYPERLINK("#'ESCOLA PAROQUIAL NOSSA SENHORA '!A1",'ESCOLA PAROQUIAL NOSSA SENHORA '!B2)</f>
        <v/>
      </c>
      <c r="C99" s="127" t="n">
        <v>0</v>
      </c>
      <c r="D99" s="127" t="n">
        <v>0</v>
      </c>
      <c r="E99" s="127" t="n">
        <v>0</v>
      </c>
      <c r="F99" s="127" t="n">
        <v>0</v>
      </c>
      <c r="G99" s="127" t="n">
        <v>0</v>
      </c>
      <c r="H99" s="127" t="n">
        <v>0</v>
      </c>
      <c r="I99" s="127" t="n">
        <v>0</v>
      </c>
      <c r="J99" s="127" t="n">
        <v>0</v>
      </c>
      <c r="K99" s="127" t="n">
        <v>0</v>
      </c>
      <c r="L99" s="127" t="n">
        <v>0</v>
      </c>
      <c r="M99" s="127" t="n">
        <v>0</v>
      </c>
      <c r="N99" s="127" t="n">
        <v>0</v>
      </c>
      <c r="O99" s="127" t="n">
        <v>0</v>
      </c>
      <c r="P99" s="127" t="n">
        <v>0</v>
      </c>
      <c r="Q99" s="127" t="n">
        <v>0</v>
      </c>
      <c r="R99" s="127" t="n">
        <v>0</v>
      </c>
      <c r="S99" s="127" t="n">
        <v>0</v>
      </c>
      <c r="T99" s="127" t="n">
        <v>0</v>
      </c>
      <c r="U99" s="127" t="n">
        <v>0</v>
      </c>
    </row>
    <row r="100" ht="15" customHeight="1" s="107">
      <c r="A100" s="125">
        <f>'ESCOLA PAROQUIAL SÃO PEDRO DE A'!B5</f>
        <v/>
      </c>
      <c r="B100" s="126">
        <f>HYPERLINK("#'ESCOLA PAROQUIAL SÃO PEDRO DE A'!A1",'ESCOLA PAROQUIAL SÃO PEDRO DE A'!B2)</f>
        <v/>
      </c>
      <c r="C100" s="127" t="n">
        <v>0</v>
      </c>
      <c r="D100" s="127" t="n">
        <v>0</v>
      </c>
      <c r="E100" s="127" t="n">
        <v>0</v>
      </c>
      <c r="F100" s="127" t="n">
        <v>0</v>
      </c>
      <c r="G100" s="127" t="n">
        <v>0</v>
      </c>
      <c r="H100" s="127" t="n">
        <v>0</v>
      </c>
      <c r="I100" s="127" t="n">
        <v>0</v>
      </c>
      <c r="J100" s="127" t="n">
        <v>0</v>
      </c>
      <c r="K100" s="127" t="n">
        <v>0</v>
      </c>
      <c r="L100" s="127" t="n">
        <v>0</v>
      </c>
      <c r="M100" s="127" t="n">
        <v>0</v>
      </c>
      <c r="N100" s="127" t="n">
        <v>0</v>
      </c>
      <c r="O100" s="127" t="n">
        <v>0</v>
      </c>
      <c r="P100" s="127" t="n">
        <v>0</v>
      </c>
      <c r="Q100" s="127" t="n">
        <v>0</v>
      </c>
      <c r="R100" s="127" t="n">
        <v>0</v>
      </c>
      <c r="S100" s="127" t="n">
        <v>0</v>
      </c>
      <c r="T100" s="127" t="n">
        <v>0</v>
      </c>
      <c r="U100" s="127" t="n">
        <v>0</v>
      </c>
    </row>
    <row r="101" ht="15" customHeight="1" s="107">
      <c r="A101" s="125">
        <f>'ESCOLA SANTA MARIA GORETTI'!B5</f>
        <v/>
      </c>
      <c r="B101" s="126">
        <f>HYPERLINK("#'ESCOLA SANTA MARIA GORETTI'!A1",'ESCOLA SANTA MARIA GORETTI'!B2)</f>
        <v/>
      </c>
      <c r="C101" s="127" t="n">
        <v>0</v>
      </c>
      <c r="D101" s="127" t="n">
        <v>0</v>
      </c>
      <c r="E101" s="127" t="n">
        <v>0</v>
      </c>
      <c r="F101" s="127" t="n">
        <v>0</v>
      </c>
      <c r="G101" s="127" t="n">
        <v>0</v>
      </c>
      <c r="H101" s="127" t="n">
        <v>0</v>
      </c>
      <c r="I101" s="127" t="n">
        <v>0</v>
      </c>
      <c r="J101" s="127" t="n">
        <v>0</v>
      </c>
      <c r="K101" s="127" t="n">
        <v>0</v>
      </c>
      <c r="L101" s="127" t="n">
        <v>0</v>
      </c>
      <c r="M101" s="127" t="n">
        <v>0</v>
      </c>
      <c r="N101" s="127" t="n">
        <v>0</v>
      </c>
      <c r="O101" s="127" t="n">
        <v>0</v>
      </c>
      <c r="P101" s="127" t="n">
        <v>0</v>
      </c>
      <c r="Q101" s="127" t="n">
        <v>0</v>
      </c>
      <c r="R101" s="127" t="n">
        <v>0</v>
      </c>
      <c r="S101" s="127" t="n">
        <v>0</v>
      </c>
      <c r="T101" s="127" t="n">
        <v>0</v>
      </c>
      <c r="U101" s="127" t="n">
        <v>0</v>
      </c>
    </row>
    <row r="102" ht="15" customHeight="1" s="107">
      <c r="A102" s="125">
        <f>'ESCOLA SANTA RITA DE CASSIA'!B5</f>
        <v/>
      </c>
      <c r="B102" s="126">
        <f>HYPERLINK("#'ESCOLA SANTA RITA DE CASSIA'!A1",'ESCOLA SANTA RITA DE CASSIA'!B2)</f>
        <v/>
      </c>
      <c r="C102" s="127" t="n">
        <v>0</v>
      </c>
      <c r="D102" s="127" t="n">
        <v>0</v>
      </c>
      <c r="E102" s="127" t="n">
        <v>0</v>
      </c>
      <c r="F102" s="127" t="n">
        <v>0</v>
      </c>
      <c r="G102" s="127" t="n">
        <v>0</v>
      </c>
      <c r="H102" s="127" t="n">
        <v>0</v>
      </c>
      <c r="I102" s="127" t="n">
        <v>0</v>
      </c>
      <c r="J102" s="127" t="n">
        <v>0</v>
      </c>
      <c r="K102" s="127" t="n">
        <v>0</v>
      </c>
      <c r="L102" s="127" t="n">
        <v>0</v>
      </c>
      <c r="M102" s="127" t="n">
        <v>0</v>
      </c>
      <c r="N102" s="127" t="n">
        <v>0</v>
      </c>
      <c r="O102" s="127" t="n">
        <v>0</v>
      </c>
      <c r="P102" s="127" t="n">
        <v>0</v>
      </c>
      <c r="Q102" s="127" t="n">
        <v>0</v>
      </c>
      <c r="R102" s="127" t="n">
        <v>0</v>
      </c>
      <c r="S102" s="127" t="n">
        <v>0</v>
      </c>
      <c r="T102" s="127" t="n">
        <v>0</v>
      </c>
      <c r="U102" s="127" t="n">
        <v>0</v>
      </c>
    </row>
    <row r="103" ht="15" customHeight="1" s="107">
      <c r="A103" s="125">
        <f>'ESCOLA SÃO CRISTÓVÃO'!B5</f>
        <v/>
      </c>
      <c r="B103" s="126">
        <f>HYPERLINK("#'ESCOLA SÃO CRISTÓVÃO'!A1",'ESCOLA SÃO CRISTÓVÃO'!B2)</f>
        <v/>
      </c>
      <c r="C103" s="127" t="n">
        <v>0</v>
      </c>
      <c r="D103" s="127" t="n">
        <v>0</v>
      </c>
      <c r="E103" s="127" t="n">
        <v>0</v>
      </c>
      <c r="F103" s="127" t="n">
        <v>0</v>
      </c>
      <c r="G103" s="127" t="n">
        <v>0</v>
      </c>
      <c r="H103" s="127" t="n">
        <v>0</v>
      </c>
      <c r="I103" s="127" t="n">
        <v>0</v>
      </c>
      <c r="J103" s="127" t="n">
        <v>0</v>
      </c>
      <c r="K103" s="127" t="n">
        <v>0</v>
      </c>
      <c r="L103" s="127" t="n">
        <v>0</v>
      </c>
      <c r="M103" s="127" t="n">
        <v>0</v>
      </c>
      <c r="N103" s="127" t="n">
        <v>0</v>
      </c>
      <c r="O103" s="127" t="n">
        <v>0</v>
      </c>
      <c r="P103" s="127" t="n">
        <v>0</v>
      </c>
      <c r="Q103" s="127" t="n">
        <v>0</v>
      </c>
      <c r="R103" s="127" t="n">
        <v>0</v>
      </c>
      <c r="S103" s="127" t="n">
        <v>0</v>
      </c>
      <c r="T103" s="127" t="n">
        <v>0</v>
      </c>
      <c r="U103" s="127" t="n">
        <v>0</v>
      </c>
    </row>
    <row r="104" ht="15" customHeight="1" s="107">
      <c r="A104" s="125">
        <f>'ESCOLA PAROQUIAL SÃO FRANCISCO '!B5</f>
        <v/>
      </c>
      <c r="B104" s="126">
        <f>HYPERLINK("#'ESCOLA PAROQUIAL SÃO FRANCISCO '!A1",'ESCOLA PAROQUIAL SÃO FRANCISCO '!B2)</f>
        <v/>
      </c>
      <c r="C104" s="127" t="n">
        <v>0</v>
      </c>
      <c r="D104" s="127" t="n">
        <v>0</v>
      </c>
      <c r="E104" s="127" t="n">
        <v>0</v>
      </c>
      <c r="F104" s="127" t="n">
        <v>0</v>
      </c>
      <c r="G104" s="127" t="n">
        <v>0</v>
      </c>
      <c r="H104" s="127" t="n">
        <v>0</v>
      </c>
      <c r="I104" s="127" t="n">
        <v>0</v>
      </c>
      <c r="J104" s="127" t="n">
        <v>0</v>
      </c>
      <c r="K104" s="127" t="n">
        <v>0</v>
      </c>
      <c r="L104" s="127" t="n">
        <v>0</v>
      </c>
      <c r="M104" s="127" t="n">
        <v>0</v>
      </c>
      <c r="N104" s="127" t="n">
        <v>0</v>
      </c>
      <c r="O104" s="127" t="n">
        <v>0</v>
      </c>
      <c r="P104" s="127" t="n">
        <v>0</v>
      </c>
      <c r="Q104" s="127" t="n">
        <v>0</v>
      </c>
      <c r="R104" s="127" t="n">
        <v>0</v>
      </c>
      <c r="S104" s="127" t="n">
        <v>0</v>
      </c>
      <c r="T104" s="127" t="n">
        <v>0</v>
      </c>
      <c r="U104" s="127" t="n">
        <v>0</v>
      </c>
    </row>
    <row r="105" ht="15" customHeight="1" s="107">
      <c r="A105" s="125">
        <f>'ESCOLA SAO FRANCISCO DE ASSIS'!B5</f>
        <v/>
      </c>
      <c r="B105" s="126">
        <f>HYPERLINK("#'ESCOLA SAO FRANCISCO DE ASSIS'!A1",'ESCOLA SAO FRANCISCO DE ASSIS'!B2)</f>
        <v/>
      </c>
      <c r="C105" s="127" t="n">
        <v>0</v>
      </c>
      <c r="D105" s="127" t="n">
        <v>0</v>
      </c>
      <c r="E105" s="127" t="n">
        <v>0</v>
      </c>
      <c r="F105" s="127" t="n">
        <v>0</v>
      </c>
      <c r="G105" s="127" t="n">
        <v>0</v>
      </c>
      <c r="H105" s="127" t="n">
        <v>0</v>
      </c>
      <c r="I105" s="127" t="n">
        <v>0</v>
      </c>
      <c r="J105" s="127" t="n">
        <v>0</v>
      </c>
      <c r="K105" s="127" t="n">
        <v>0</v>
      </c>
      <c r="L105" s="127" t="n">
        <v>0</v>
      </c>
      <c r="M105" s="127" t="n">
        <v>0</v>
      </c>
      <c r="N105" s="127" t="n">
        <v>0</v>
      </c>
      <c r="O105" s="127" t="n">
        <v>0</v>
      </c>
      <c r="P105" s="127" t="n">
        <v>0</v>
      </c>
      <c r="Q105" s="127" t="n">
        <v>0</v>
      </c>
      <c r="R105" s="127" t="n">
        <v>0</v>
      </c>
      <c r="S105" s="127" t="n">
        <v>0</v>
      </c>
      <c r="T105" s="127" t="n">
        <v>0</v>
      </c>
      <c r="U105" s="127" t="n">
        <v>0</v>
      </c>
    </row>
    <row r="106" ht="15" customHeight="1" s="107">
      <c r="A106" s="125">
        <f>'ESCOLA SÃO JOÃO BATISTA'!B5</f>
        <v/>
      </c>
      <c r="B106" s="126">
        <f>HYPERLINK("#'ESCOLA SÃO JOÃO BATISTA'!A1",'ESCOLA SÃO JOÃO BATISTA'!B2)</f>
        <v/>
      </c>
      <c r="C106" s="127" t="n">
        <v>0</v>
      </c>
      <c r="D106" s="127" t="n">
        <v>0</v>
      </c>
      <c r="E106" s="127" t="n">
        <v>0</v>
      </c>
      <c r="F106" s="127" t="n">
        <v>0</v>
      </c>
      <c r="G106" s="127" t="n">
        <v>0</v>
      </c>
      <c r="H106" s="127" t="n">
        <v>0</v>
      </c>
      <c r="I106" s="127" t="n">
        <v>0</v>
      </c>
      <c r="J106" s="127" t="n">
        <v>0</v>
      </c>
      <c r="K106" s="127" t="n">
        <v>0</v>
      </c>
      <c r="L106" s="127" t="n">
        <v>0</v>
      </c>
      <c r="M106" s="127" t="n">
        <v>0</v>
      </c>
      <c r="N106" s="127" t="n">
        <v>0</v>
      </c>
      <c r="O106" s="127" t="n">
        <v>0</v>
      </c>
      <c r="P106" s="127" t="n">
        <v>0</v>
      </c>
      <c r="Q106" s="127" t="n">
        <v>0</v>
      </c>
      <c r="R106" s="127" t="n">
        <v>0</v>
      </c>
      <c r="S106" s="127" t="n">
        <v>0</v>
      </c>
      <c r="T106" s="127" t="n">
        <v>0</v>
      </c>
      <c r="U106" s="127" t="n">
        <v>0</v>
      </c>
    </row>
    <row r="107" ht="15" customHeight="1" s="107">
      <c r="A107" s="125">
        <f>'ESCOLA SÃO JUDAS TADEU'!B5</f>
        <v/>
      </c>
      <c r="B107" s="126">
        <f>HYPERLINK("#'ESCOLA SÃO JUDAS TADEU'!A1",'ESCOLA SÃO JUDAS TADEU'!B2)</f>
        <v/>
      </c>
      <c r="C107" s="127" t="n">
        <v>0</v>
      </c>
      <c r="D107" s="127" t="n">
        <v>0</v>
      </c>
      <c r="E107" s="127" t="n">
        <v>0</v>
      </c>
      <c r="F107" s="127" t="n">
        <v>0</v>
      </c>
      <c r="G107" s="127" t="n">
        <v>0</v>
      </c>
      <c r="H107" s="127" t="n">
        <v>0</v>
      </c>
      <c r="I107" s="127" t="n">
        <v>0</v>
      </c>
      <c r="J107" s="127" t="n">
        <v>0</v>
      </c>
      <c r="K107" s="127" t="n">
        <v>0</v>
      </c>
      <c r="L107" s="127" t="n">
        <v>0</v>
      </c>
      <c r="M107" s="127" t="n">
        <v>0</v>
      </c>
      <c r="N107" s="127" t="n">
        <v>0</v>
      </c>
      <c r="O107" s="127" t="n">
        <v>0</v>
      </c>
      <c r="P107" s="127" t="n">
        <v>0</v>
      </c>
      <c r="Q107" s="127" t="n">
        <v>0</v>
      </c>
      <c r="R107" s="127" t="n">
        <v>0</v>
      </c>
      <c r="S107" s="127" t="n">
        <v>0</v>
      </c>
      <c r="T107" s="127" t="n">
        <v>0</v>
      </c>
      <c r="U107" s="127" t="n">
        <v>0</v>
      </c>
    </row>
    <row r="108" ht="15" customHeight="1" s="107">
      <c r="A108" s="125">
        <f>'ESCOLA PAROQUIAL SÃO PIO X'!B5</f>
        <v/>
      </c>
      <c r="B108" s="126">
        <f>HYPERLINK("#'ESCOLA PAROQUIAL SÃO PIO X'!A1",'ESCOLA PAROQUIAL SÃO PIO X'!B2)</f>
        <v/>
      </c>
      <c r="C108" s="127" t="n">
        <v>0</v>
      </c>
      <c r="D108" s="127" t="n">
        <v>0</v>
      </c>
      <c r="E108" s="127" t="n">
        <v>0</v>
      </c>
      <c r="F108" s="127" t="n">
        <v>0</v>
      </c>
      <c r="G108" s="127" t="n">
        <v>0</v>
      </c>
      <c r="H108" s="127" t="n">
        <v>0</v>
      </c>
      <c r="I108" s="127" t="n">
        <v>0</v>
      </c>
      <c r="J108" s="127" t="n">
        <v>0</v>
      </c>
      <c r="K108" s="127" t="n">
        <v>0</v>
      </c>
      <c r="L108" s="127" t="n">
        <v>0</v>
      </c>
      <c r="M108" s="127" t="n">
        <v>0</v>
      </c>
      <c r="N108" s="127" t="n">
        <v>0</v>
      </c>
      <c r="O108" s="127" t="n">
        <v>0</v>
      </c>
      <c r="P108" s="127" t="n">
        <v>0</v>
      </c>
      <c r="Q108" s="127" t="n">
        <v>0</v>
      </c>
      <c r="R108" s="127" t="n">
        <v>0</v>
      </c>
      <c r="S108" s="127" t="n">
        <v>0</v>
      </c>
      <c r="T108" s="127" t="n">
        <v>0</v>
      </c>
      <c r="U108" s="127" t="n">
        <v>0</v>
      </c>
    </row>
    <row r="109" ht="15" customHeight="1" s="107">
      <c r="A109" s="125">
        <f>'COLÉGIO ANGLICANO DE ARARAS'!B5</f>
        <v/>
      </c>
      <c r="B109" s="126">
        <f>HYPERLINK("#'COLÉGIO ANGLICANO DE ARARAS'!A1",'COLÉGIO ANGLICANO DE ARARAS'!B2)</f>
        <v/>
      </c>
      <c r="C109" s="127" t="n">
        <v>0</v>
      </c>
      <c r="D109" s="127" t="n">
        <v>0</v>
      </c>
      <c r="E109" s="127" t="n">
        <v>0</v>
      </c>
      <c r="F109" s="127" t="n">
        <v>0</v>
      </c>
      <c r="G109" s="127" t="n">
        <v>0</v>
      </c>
      <c r="H109" s="127" t="n">
        <v>0</v>
      </c>
      <c r="I109" s="127" t="n">
        <v>0</v>
      </c>
      <c r="J109" s="127" t="n">
        <v>0</v>
      </c>
      <c r="K109" s="127" t="n">
        <v>0</v>
      </c>
      <c r="L109" s="127" t="n">
        <v>0</v>
      </c>
      <c r="M109" s="127" t="n">
        <v>0</v>
      </c>
      <c r="N109" s="127" t="n">
        <v>0</v>
      </c>
      <c r="O109" s="127" t="n">
        <v>0</v>
      </c>
      <c r="P109" s="127" t="n">
        <v>0</v>
      </c>
      <c r="Q109" s="127" t="n">
        <v>0</v>
      </c>
      <c r="R109" s="127" t="n">
        <v>0</v>
      </c>
      <c r="S109" s="127" t="n">
        <v>0</v>
      </c>
      <c r="T109" s="127" t="n">
        <v>0</v>
      </c>
      <c r="U109" s="127" t="n">
        <v>0</v>
      </c>
    </row>
    <row r="110" ht="15" customHeight="1" s="107">
      <c r="A110" s="125">
        <f>'COLEGIO VICENTINO PADRE CORRÊA'!B5</f>
        <v/>
      </c>
      <c r="B110" s="126">
        <f>HYPERLINK("#'COLEGIO VICENTINO PADRE CORRÊA'!A1",'COLEGIO VICENTINO PADRE CORRÊA'!B2)</f>
        <v/>
      </c>
      <c r="C110" s="127" t="n">
        <v>0</v>
      </c>
      <c r="D110" s="127" t="n">
        <v>0</v>
      </c>
      <c r="E110" s="127" t="n">
        <v>0</v>
      </c>
      <c r="F110" s="127" t="n">
        <v>0</v>
      </c>
      <c r="G110" s="127" t="n">
        <v>0</v>
      </c>
      <c r="H110" s="127" t="n">
        <v>0</v>
      </c>
      <c r="I110" s="127" t="n">
        <v>0</v>
      </c>
      <c r="J110" s="127" t="n">
        <v>0</v>
      </c>
      <c r="K110" s="127" t="n">
        <v>0</v>
      </c>
      <c r="L110" s="127" t="n">
        <v>0</v>
      </c>
      <c r="M110" s="127" t="n">
        <v>0</v>
      </c>
      <c r="N110" s="127" t="n">
        <v>0</v>
      </c>
      <c r="O110" s="127" t="n">
        <v>0</v>
      </c>
      <c r="P110" s="127" t="n">
        <v>0</v>
      </c>
      <c r="Q110" s="127" t="n">
        <v>0</v>
      </c>
      <c r="R110" s="127" t="n">
        <v>0</v>
      </c>
      <c r="S110" s="127" t="n">
        <v>0</v>
      </c>
      <c r="T110" s="127" t="n">
        <v>0</v>
      </c>
      <c r="U110" s="127" t="n">
        <v>0</v>
      </c>
    </row>
    <row r="111" ht="15" customHeight="1" s="107">
      <c r="A111" s="125">
        <f>'ESCOLA NOSSA SENHORA DE FÁTIMA'!B5</f>
        <v/>
      </c>
      <c r="B111" s="126">
        <f>HYPERLINK("#'ESCOLA NOSSA SENHORA DE FÁTIMA'!A1",'ESCOLA NOSSA SENHORA DE FÁTIMA'!B2)</f>
        <v/>
      </c>
      <c r="C111" s="127" t="n">
        <v>0</v>
      </c>
      <c r="D111" s="127" t="n">
        <v>0</v>
      </c>
      <c r="E111" s="127" t="n">
        <v>0</v>
      </c>
      <c r="F111" s="127" t="n">
        <v>0</v>
      </c>
      <c r="G111" s="127" t="n">
        <v>0</v>
      </c>
      <c r="H111" s="127" t="n">
        <v>0</v>
      </c>
      <c r="I111" s="127" t="n">
        <v>0</v>
      </c>
      <c r="J111" s="127" t="n">
        <v>0</v>
      </c>
      <c r="K111" s="127" t="n">
        <v>0</v>
      </c>
      <c r="L111" s="127" t="n">
        <v>0</v>
      </c>
      <c r="M111" s="127" t="n">
        <v>0</v>
      </c>
      <c r="N111" s="127" t="n">
        <v>0</v>
      </c>
      <c r="O111" s="127" t="n">
        <v>0</v>
      </c>
      <c r="P111" s="127" t="n">
        <v>0</v>
      </c>
      <c r="Q111" s="127" t="n">
        <v>0</v>
      </c>
      <c r="R111" s="127" t="n">
        <v>0</v>
      </c>
      <c r="S111" s="127" t="n">
        <v>0</v>
      </c>
      <c r="T111" s="127" t="n">
        <v>0</v>
      </c>
      <c r="U111" s="127" t="n">
        <v>0</v>
      </c>
    </row>
    <row r="112" ht="15" customHeight="1" s="107">
      <c r="A112" s="125">
        <f>'ESCOLA PAROQUIAL DA ALCOBAÇA'!B5</f>
        <v/>
      </c>
      <c r="B112" s="126">
        <f>HYPERLINK("#'ESCOLA PAROQUIAL DA ALCOBAÇA'!A1",'ESCOLA PAROQUIAL DA ALCOBAÇA'!B2)</f>
        <v/>
      </c>
      <c r="C112" s="127" t="n">
        <v>0</v>
      </c>
      <c r="D112" s="127" t="n">
        <v>0</v>
      </c>
      <c r="E112" s="127" t="n">
        <v>0</v>
      </c>
      <c r="F112" s="127" t="n">
        <v>0</v>
      </c>
      <c r="G112" s="127" t="n">
        <v>0</v>
      </c>
      <c r="H112" s="127" t="n">
        <v>0</v>
      </c>
      <c r="I112" s="127" t="n">
        <v>0</v>
      </c>
      <c r="J112" s="127" t="n">
        <v>0</v>
      </c>
      <c r="K112" s="127" t="n">
        <v>0</v>
      </c>
      <c r="L112" s="127" t="n">
        <v>0</v>
      </c>
      <c r="M112" s="127" t="n">
        <v>0</v>
      </c>
      <c r="N112" s="127" t="n">
        <v>0</v>
      </c>
      <c r="O112" s="127" t="n">
        <v>0</v>
      </c>
      <c r="P112" s="127" t="n">
        <v>0</v>
      </c>
      <c r="Q112" s="127" t="n">
        <v>0</v>
      </c>
      <c r="R112" s="127" t="n">
        <v>0</v>
      </c>
      <c r="S112" s="127" t="n">
        <v>0</v>
      </c>
      <c r="T112" s="127" t="n">
        <v>0</v>
      </c>
      <c r="U112" s="127" t="n">
        <v>0</v>
      </c>
    </row>
    <row r="113" ht="15" customHeight="1" s="107">
      <c r="A113" s="125">
        <f>'ESCOLA PAROQUIAL DO LOTEAMENTO '!B5</f>
        <v/>
      </c>
      <c r="B113" s="126">
        <f>HYPERLINK("#'ESCOLA PAROQUIAL DO LOTEAMENTO '!A1",'ESCOLA PAROQUIAL DO LOTEAMENTO '!B2)</f>
        <v/>
      </c>
      <c r="C113" s="127" t="n">
        <v>0</v>
      </c>
      <c r="D113" s="127" t="n">
        <v>0</v>
      </c>
      <c r="E113" s="127" t="n">
        <v>0</v>
      </c>
      <c r="F113" s="127" t="n">
        <v>0</v>
      </c>
      <c r="G113" s="127" t="n">
        <v>0</v>
      </c>
      <c r="H113" s="127" t="n">
        <v>0</v>
      </c>
      <c r="I113" s="127" t="n">
        <v>0</v>
      </c>
      <c r="J113" s="127" t="n">
        <v>0</v>
      </c>
      <c r="K113" s="127" t="n">
        <v>0</v>
      </c>
      <c r="L113" s="127" t="n">
        <v>0</v>
      </c>
      <c r="M113" s="127" t="n">
        <v>0</v>
      </c>
      <c r="N113" s="127" t="n">
        <v>0</v>
      </c>
      <c r="O113" s="127" t="n">
        <v>0</v>
      </c>
      <c r="P113" s="127" t="n">
        <v>0</v>
      </c>
      <c r="Q113" s="127" t="n">
        <v>0</v>
      </c>
      <c r="R113" s="127" t="n">
        <v>0</v>
      </c>
      <c r="S113" s="127" t="n">
        <v>0</v>
      </c>
      <c r="T113" s="127" t="n">
        <v>0</v>
      </c>
      <c r="U113" s="127" t="n">
        <v>0</v>
      </c>
    </row>
    <row r="114" ht="15" customHeight="1" s="107">
      <c r="A114" s="125">
        <f>'ESCOLA PAROQUIAL SANTA BERNADET'!B5</f>
        <v/>
      </c>
      <c r="B114" s="126">
        <f>HYPERLINK("#'ESCOLA PAROQUIAL SANTA BERNADET'!A1",'ESCOLA PAROQUIAL SANTA BERNADET'!B2)</f>
        <v/>
      </c>
      <c r="C114" s="127" t="n">
        <v>0</v>
      </c>
      <c r="D114" s="127" t="n">
        <v>0</v>
      </c>
      <c r="E114" s="127" t="n">
        <v>0</v>
      </c>
      <c r="F114" s="127" t="n">
        <v>0</v>
      </c>
      <c r="G114" s="127" t="n">
        <v>0</v>
      </c>
      <c r="H114" s="127" t="n">
        <v>0</v>
      </c>
      <c r="I114" s="127" t="n">
        <v>0</v>
      </c>
      <c r="J114" s="127" t="n">
        <v>0</v>
      </c>
      <c r="K114" s="127" t="n">
        <v>0</v>
      </c>
      <c r="L114" s="127" t="n">
        <v>0</v>
      </c>
      <c r="M114" s="127" t="n">
        <v>0</v>
      </c>
      <c r="N114" s="127" t="n">
        <v>0</v>
      </c>
      <c r="O114" s="127" t="n">
        <v>0</v>
      </c>
      <c r="P114" s="127" t="n">
        <v>0</v>
      </c>
      <c r="Q114" s="127" t="n">
        <v>0</v>
      </c>
      <c r="R114" s="127" t="n">
        <v>0</v>
      </c>
      <c r="S114" s="127" t="n">
        <v>0</v>
      </c>
      <c r="T114" s="127" t="n">
        <v>0</v>
      </c>
      <c r="U114" s="127" t="n">
        <v>0</v>
      </c>
    </row>
    <row r="115" ht="15" customHeight="1" s="107">
      <c r="A115" s="125">
        <f>'ESCOLA SÃO GERALDO'!B5</f>
        <v/>
      </c>
      <c r="B115" s="126">
        <f>HYPERLINK("#'ESCOLA SÃO GERALDO'!A1",'ESCOLA SÃO GERALDO'!B2)</f>
        <v/>
      </c>
      <c r="C115" s="127" t="n">
        <v>0</v>
      </c>
      <c r="D115" s="127" t="n">
        <v>0</v>
      </c>
      <c r="E115" s="127" t="n">
        <v>0</v>
      </c>
      <c r="F115" s="127" t="n">
        <v>0</v>
      </c>
      <c r="G115" s="127" t="n">
        <v>0</v>
      </c>
      <c r="H115" s="127" t="n">
        <v>0</v>
      </c>
      <c r="I115" s="127" t="n">
        <v>0</v>
      </c>
      <c r="J115" s="127" t="n">
        <v>0</v>
      </c>
      <c r="K115" s="127" t="n">
        <v>0</v>
      </c>
      <c r="L115" s="127" t="n">
        <v>0</v>
      </c>
      <c r="M115" s="127" t="n">
        <v>0</v>
      </c>
      <c r="N115" s="127" t="n">
        <v>0</v>
      </c>
      <c r="O115" s="127" t="n">
        <v>0</v>
      </c>
      <c r="P115" s="127" t="n">
        <v>0</v>
      </c>
      <c r="Q115" s="127" t="n">
        <v>0</v>
      </c>
      <c r="R115" s="127" t="n">
        <v>0</v>
      </c>
      <c r="S115" s="127" t="n">
        <v>0</v>
      </c>
      <c r="T115" s="127" t="n">
        <v>0</v>
      </c>
      <c r="U115" s="127" t="n">
        <v>0</v>
      </c>
    </row>
    <row r="116" ht="15" customHeight="1" s="107">
      <c r="A116" s="125">
        <f>'ESCOLA SANTO ANTÔNIO'!B5</f>
        <v/>
      </c>
      <c r="B116" s="126">
        <f>HYPERLINK("#'ESCOLA SANTO ANTÔNIO'!A1",'ESCOLA SANTO ANTÔNIO'!B2)</f>
        <v/>
      </c>
      <c r="C116" s="127" t="n">
        <v>0</v>
      </c>
      <c r="D116" s="127" t="n">
        <v>0</v>
      </c>
      <c r="E116" s="127" t="n">
        <v>0</v>
      </c>
      <c r="F116" s="127" t="n">
        <v>0</v>
      </c>
      <c r="G116" s="127" t="n">
        <v>0</v>
      </c>
      <c r="H116" s="127" t="n">
        <v>0</v>
      </c>
      <c r="I116" s="127" t="n">
        <v>0</v>
      </c>
      <c r="J116" s="127" t="n">
        <v>0</v>
      </c>
      <c r="K116" s="127" t="n">
        <v>0</v>
      </c>
      <c r="L116" s="127" t="n">
        <v>0</v>
      </c>
      <c r="M116" s="127" t="n">
        <v>0</v>
      </c>
      <c r="N116" s="127" t="n">
        <v>0</v>
      </c>
      <c r="O116" s="127" t="n">
        <v>0</v>
      </c>
      <c r="P116" s="127" t="n">
        <v>0</v>
      </c>
      <c r="Q116" s="127" t="n">
        <v>0</v>
      </c>
      <c r="R116" s="127" t="n">
        <v>0</v>
      </c>
      <c r="S116" s="127" t="n">
        <v>0</v>
      </c>
      <c r="T116" s="127" t="n">
        <v>0</v>
      </c>
      <c r="U116" s="127" t="n">
        <v>0</v>
      </c>
    </row>
    <row r="117" ht="15" customHeight="1" s="107">
      <c r="A117" s="125">
        <f>'LICEU SÃO JOSÉ DE ITAIPAVA'!B5</f>
        <v/>
      </c>
      <c r="B117" s="126">
        <f>HYPERLINK("#'LICEU SÃO JOSÉ DE ITAIPAVA'!A1",'LICEU SÃO JOSÉ DE ITAIPAVA'!B2)</f>
        <v/>
      </c>
      <c r="C117" s="127" t="n">
        <v>0</v>
      </c>
      <c r="D117" s="127" t="n">
        <v>0</v>
      </c>
      <c r="E117" s="127" t="n">
        <v>0</v>
      </c>
      <c r="F117" s="127" t="n">
        <v>0</v>
      </c>
      <c r="G117" s="127" t="n">
        <v>0</v>
      </c>
      <c r="H117" s="127" t="n">
        <v>0</v>
      </c>
      <c r="I117" s="127" t="n">
        <v>0</v>
      </c>
      <c r="J117" s="127" t="n">
        <v>0</v>
      </c>
      <c r="K117" s="127" t="n">
        <v>0</v>
      </c>
      <c r="L117" s="127" t="n">
        <v>0</v>
      </c>
      <c r="M117" s="127" t="n">
        <v>0</v>
      </c>
      <c r="N117" s="127" t="n">
        <v>0</v>
      </c>
      <c r="O117" s="127" t="n">
        <v>0</v>
      </c>
      <c r="P117" s="127" t="n">
        <v>0</v>
      </c>
      <c r="Q117" s="127" t="n">
        <v>0</v>
      </c>
      <c r="R117" s="127" t="n">
        <v>0</v>
      </c>
      <c r="S117" s="127" t="n">
        <v>0</v>
      </c>
      <c r="T117" s="127" t="n">
        <v>0</v>
      </c>
      <c r="U117" s="127" t="n">
        <v>0</v>
      </c>
    </row>
    <row r="118" ht="15" customHeight="1" s="107">
      <c r="A118" s="125">
        <f>'ESCOLA SÃO JOSÉ DO CAETITU'!B5</f>
        <v/>
      </c>
      <c r="B118" s="126">
        <f>HYPERLINK("#'ESCOLA SÃO JOSÉ DO CAETITU'!A1",'ESCOLA SÃO JOSÉ DO CAETITU'!B2)</f>
        <v/>
      </c>
      <c r="C118" s="127" t="n">
        <v>0</v>
      </c>
      <c r="D118" s="127" t="n">
        <v>0</v>
      </c>
      <c r="E118" s="127" t="n">
        <v>0</v>
      </c>
      <c r="F118" s="127" t="n">
        <v>0</v>
      </c>
      <c r="G118" s="127" t="n">
        <v>0</v>
      </c>
      <c r="H118" s="127" t="n">
        <v>0</v>
      </c>
      <c r="I118" s="127" t="n">
        <v>0</v>
      </c>
      <c r="J118" s="127" t="n">
        <v>0</v>
      </c>
      <c r="K118" s="127" t="n">
        <v>0</v>
      </c>
      <c r="L118" s="127" t="n">
        <v>0</v>
      </c>
      <c r="M118" s="127" t="n">
        <v>0</v>
      </c>
      <c r="N118" s="127" t="n">
        <v>0</v>
      </c>
      <c r="O118" s="127" t="n">
        <v>0</v>
      </c>
      <c r="P118" s="127" t="n">
        <v>0</v>
      </c>
      <c r="Q118" s="127" t="n">
        <v>0</v>
      </c>
      <c r="R118" s="127" t="n">
        <v>0</v>
      </c>
      <c r="S118" s="127" t="n">
        <v>0</v>
      </c>
      <c r="T118" s="127" t="n">
        <v>0</v>
      </c>
      <c r="U118" s="127" t="n">
        <v>0</v>
      </c>
    </row>
    <row r="119" ht="15" customHeight="1" s="107">
      <c r="A119" s="125">
        <f>'CEI ASSOCIAÇÃO BENEFICENTE FAZE'!B5</f>
        <v/>
      </c>
      <c r="B119" s="126">
        <f>HYPERLINK("#'CEI ASSOCIAÇÃO BENEFICENTE FAZE'!A1",'CEI ASSOCIAÇÃO BENEFICENTE FAZE'!B2)</f>
        <v/>
      </c>
      <c r="C119" s="127" t="n">
        <v>0</v>
      </c>
      <c r="D119" s="127" t="n">
        <v>0</v>
      </c>
      <c r="E119" s="127" t="n">
        <v>0</v>
      </c>
      <c r="F119" s="127" t="n">
        <v>0</v>
      </c>
      <c r="G119" s="127" t="n">
        <v>0</v>
      </c>
      <c r="H119" s="127" t="n">
        <v>0</v>
      </c>
      <c r="I119" s="127" t="n">
        <v>0</v>
      </c>
      <c r="J119" s="127" t="n">
        <v>0</v>
      </c>
      <c r="K119" s="127" t="n">
        <v>0</v>
      </c>
      <c r="L119" s="127" t="n">
        <v>0</v>
      </c>
      <c r="M119" s="127" t="n">
        <v>0</v>
      </c>
      <c r="N119" s="127" t="n">
        <v>0</v>
      </c>
      <c r="O119" s="127" t="n">
        <v>0</v>
      </c>
      <c r="P119" s="127" t="n">
        <v>0</v>
      </c>
      <c r="Q119" s="127" t="n">
        <v>0</v>
      </c>
      <c r="R119" s="127" t="n">
        <v>0</v>
      </c>
      <c r="S119" s="127" t="n">
        <v>0</v>
      </c>
      <c r="T119" s="127" t="n">
        <v>0</v>
      </c>
      <c r="U119" s="127" t="n">
        <v>0</v>
      </c>
    </row>
    <row r="120" ht="15" customHeight="1" s="107">
      <c r="A120" s="125">
        <f>'CEI CASA DA SOLIDARIEDADE DE NO'!B5</f>
        <v/>
      </c>
      <c r="B120" s="126">
        <f>HYPERLINK("#'CEI CASA DA SOLIDARIEDADE DE NO'!A1",'CEI CASA DA SOLIDARIEDADE DE NO'!B2)</f>
        <v/>
      </c>
      <c r="C120" s="127" t="n">
        <v>0</v>
      </c>
      <c r="D120" s="127" t="n">
        <v>0</v>
      </c>
      <c r="E120" s="127" t="n">
        <v>0</v>
      </c>
      <c r="F120" s="127" t="n">
        <v>0</v>
      </c>
      <c r="G120" s="127" t="n">
        <v>0</v>
      </c>
      <c r="H120" s="127" t="n">
        <v>0</v>
      </c>
      <c r="I120" s="127" t="n">
        <v>0</v>
      </c>
      <c r="J120" s="127" t="n">
        <v>0</v>
      </c>
      <c r="K120" s="127" t="n">
        <v>0</v>
      </c>
      <c r="L120" s="127" t="n">
        <v>0</v>
      </c>
      <c r="M120" s="127" t="n">
        <v>0</v>
      </c>
      <c r="N120" s="127" t="n">
        <v>0</v>
      </c>
      <c r="O120" s="127" t="n">
        <v>0</v>
      </c>
      <c r="P120" s="127" t="n">
        <v>0</v>
      </c>
      <c r="Q120" s="127" t="n">
        <v>0</v>
      </c>
      <c r="R120" s="127" t="n">
        <v>0</v>
      </c>
      <c r="S120" s="127" t="n">
        <v>0</v>
      </c>
      <c r="T120" s="127" t="n">
        <v>0</v>
      </c>
      <c r="U120" s="127" t="n">
        <v>0</v>
      </c>
    </row>
    <row r="121" ht="15" customHeight="1" s="107">
      <c r="A121" s="125">
        <f>'CEI LULU MONTEIRO DE CASTRO'!B5</f>
        <v/>
      </c>
      <c r="B121" s="126">
        <f>HYPERLINK("#'CEI LULU MONTEIRO DE CASTRO'!A1",'CEI LULU MONTEIRO DE CASTRO'!B2)</f>
        <v/>
      </c>
      <c r="C121" s="127" t="n">
        <v>0</v>
      </c>
      <c r="D121" s="127" t="n">
        <v>0</v>
      </c>
      <c r="E121" s="127" t="n">
        <v>0</v>
      </c>
      <c r="F121" s="127" t="n">
        <v>0</v>
      </c>
      <c r="G121" s="127" t="n">
        <v>0</v>
      </c>
      <c r="H121" s="127" t="n">
        <v>0</v>
      </c>
      <c r="I121" s="127" t="n">
        <v>0</v>
      </c>
      <c r="J121" s="127" t="n">
        <v>0</v>
      </c>
      <c r="K121" s="127" t="n">
        <v>0</v>
      </c>
      <c r="L121" s="127" t="n">
        <v>0</v>
      </c>
      <c r="M121" s="127" t="n">
        <v>0</v>
      </c>
      <c r="N121" s="127" t="n">
        <v>0</v>
      </c>
      <c r="O121" s="127" t="n">
        <v>0</v>
      </c>
      <c r="P121" s="127" t="n">
        <v>0</v>
      </c>
      <c r="Q121" s="127" t="n">
        <v>0</v>
      </c>
      <c r="R121" s="127" t="n">
        <v>0</v>
      </c>
      <c r="S121" s="127" t="n">
        <v>0</v>
      </c>
      <c r="T121" s="127" t="n">
        <v>0</v>
      </c>
      <c r="U121" s="127" t="n">
        <v>0</v>
      </c>
    </row>
    <row r="122" ht="15" customHeight="1" s="107">
      <c r="A122" s="125">
        <f>'CEI SÃO JOÃO BATISTA'!B5</f>
        <v/>
      </c>
      <c r="B122" s="126">
        <f>HYPERLINK("#'CEI SÃO JOÃO BATISTA'!A1",'CEI SÃO JOÃO BATISTA'!B2)</f>
        <v/>
      </c>
      <c r="C122" s="127" t="n">
        <v>0</v>
      </c>
      <c r="D122" s="127" t="n">
        <v>0</v>
      </c>
      <c r="E122" s="127" t="n">
        <v>0</v>
      </c>
      <c r="F122" s="127" t="n">
        <v>0</v>
      </c>
      <c r="G122" s="127" t="n">
        <v>0</v>
      </c>
      <c r="H122" s="127" t="n">
        <v>0</v>
      </c>
      <c r="I122" s="127" t="n">
        <v>0</v>
      </c>
      <c r="J122" s="127" t="n">
        <v>0</v>
      </c>
      <c r="K122" s="127" t="n">
        <v>0</v>
      </c>
      <c r="L122" s="127" t="n">
        <v>0</v>
      </c>
      <c r="M122" s="127" t="n">
        <v>0</v>
      </c>
      <c r="N122" s="127" t="n">
        <v>0</v>
      </c>
      <c r="O122" s="127" t="n">
        <v>0</v>
      </c>
      <c r="P122" s="127" t="n">
        <v>0</v>
      </c>
      <c r="Q122" s="127" t="n">
        <v>0</v>
      </c>
      <c r="R122" s="127" t="n">
        <v>0</v>
      </c>
      <c r="S122" s="127" t="n">
        <v>0</v>
      </c>
      <c r="T122" s="127" t="n">
        <v>0</v>
      </c>
      <c r="U122" s="127" t="n">
        <v>0</v>
      </c>
    </row>
    <row r="123" ht="15" customHeight="1" s="107">
      <c r="A123" s="125">
        <f>'CEI SÃO FRANCISCO ASSIS'!B5</f>
        <v/>
      </c>
      <c r="B123" s="126">
        <f>HYPERLINK("#'CEI SÃO FRANCISCO ASSIS'!A1",'CEI SÃO FRANCISCO ASSIS'!B2)</f>
        <v/>
      </c>
      <c r="C123" s="127" t="n">
        <v>0</v>
      </c>
      <c r="D123" s="127" t="n">
        <v>0</v>
      </c>
      <c r="E123" s="127" t="n">
        <v>0</v>
      </c>
      <c r="F123" s="127" t="n">
        <v>0</v>
      </c>
      <c r="G123" s="127" t="n">
        <v>0</v>
      </c>
      <c r="H123" s="127" t="n">
        <v>0</v>
      </c>
      <c r="I123" s="127" t="n">
        <v>0</v>
      </c>
      <c r="J123" s="127" t="n">
        <v>0</v>
      </c>
      <c r="K123" s="127" t="n">
        <v>0</v>
      </c>
      <c r="L123" s="127" t="n">
        <v>0</v>
      </c>
      <c r="M123" s="127" t="n">
        <v>0</v>
      </c>
      <c r="N123" s="127" t="n">
        <v>0</v>
      </c>
      <c r="O123" s="127" t="n">
        <v>0</v>
      </c>
      <c r="P123" s="127" t="n">
        <v>0</v>
      </c>
      <c r="Q123" s="127" t="n">
        <v>0</v>
      </c>
      <c r="R123" s="127" t="n">
        <v>0</v>
      </c>
      <c r="S123" s="127" t="n">
        <v>0</v>
      </c>
      <c r="T123" s="127" t="n">
        <v>0</v>
      </c>
      <c r="U123" s="127" t="n">
        <v>0</v>
      </c>
    </row>
    <row r="124" ht="15" customHeight="1" s="107">
      <c r="A124" s="125">
        <f>'CEI A SEMENTEIRA'!B5</f>
        <v/>
      </c>
      <c r="B124" s="126">
        <f>HYPERLINK("#'CEI A SEMENTEIRA'!A1",'CEI A SEMENTEIRA'!B2)</f>
        <v/>
      </c>
      <c r="C124" s="127" t="n">
        <v>0</v>
      </c>
      <c r="D124" s="127" t="n">
        <v>0</v>
      </c>
      <c r="E124" s="127" t="n">
        <v>0</v>
      </c>
      <c r="F124" s="127" t="n">
        <v>0</v>
      </c>
      <c r="G124" s="127" t="n">
        <v>0</v>
      </c>
      <c r="H124" s="127" t="n">
        <v>0</v>
      </c>
      <c r="I124" s="127" t="n">
        <v>0</v>
      </c>
      <c r="J124" s="127" t="n">
        <v>0</v>
      </c>
      <c r="K124" s="127" t="n">
        <v>0</v>
      </c>
      <c r="L124" s="127" t="n">
        <v>0</v>
      </c>
      <c r="M124" s="127" t="n">
        <v>0</v>
      </c>
      <c r="N124" s="127" t="n">
        <v>0</v>
      </c>
      <c r="O124" s="127" t="n">
        <v>0</v>
      </c>
      <c r="P124" s="127" t="n">
        <v>0</v>
      </c>
      <c r="Q124" s="127" t="n">
        <v>0</v>
      </c>
      <c r="R124" s="127" t="n">
        <v>0</v>
      </c>
      <c r="S124" s="127" t="n">
        <v>0</v>
      </c>
      <c r="T124" s="127" t="n">
        <v>0</v>
      </c>
      <c r="U124" s="127" t="n">
        <v>0</v>
      </c>
    </row>
    <row r="125" ht="15" customHeight="1" s="107">
      <c r="A125" s="125">
        <f>'CEI FREI LEÃO'!B5</f>
        <v/>
      </c>
      <c r="B125" s="126">
        <f>HYPERLINK("#'CEI FREI LEÃO'!A1",'CEI FREI LEÃO'!B2)</f>
        <v/>
      </c>
      <c r="C125" s="127" t="n">
        <v>0</v>
      </c>
      <c r="D125" s="127" t="n">
        <v>0</v>
      </c>
      <c r="E125" s="127" t="n">
        <v>0</v>
      </c>
      <c r="F125" s="127" t="n">
        <v>0</v>
      </c>
      <c r="G125" s="127" t="n">
        <v>0</v>
      </c>
      <c r="H125" s="127" t="n">
        <v>0</v>
      </c>
      <c r="I125" s="127" t="n">
        <v>0</v>
      </c>
      <c r="J125" s="127" t="n">
        <v>0</v>
      </c>
      <c r="K125" s="127" t="n">
        <v>0</v>
      </c>
      <c r="L125" s="127" t="n">
        <v>0</v>
      </c>
      <c r="M125" s="127" t="n">
        <v>0</v>
      </c>
      <c r="N125" s="127" t="n">
        <v>0</v>
      </c>
      <c r="O125" s="127" t="n">
        <v>0</v>
      </c>
      <c r="P125" s="127" t="n">
        <v>0</v>
      </c>
      <c r="Q125" s="127" t="n">
        <v>0</v>
      </c>
      <c r="R125" s="127" t="n">
        <v>0</v>
      </c>
      <c r="S125" s="127" t="n">
        <v>0</v>
      </c>
      <c r="T125" s="127" t="n">
        <v>0</v>
      </c>
      <c r="U125" s="127" t="n">
        <v>0</v>
      </c>
    </row>
    <row r="126" ht="15" customHeight="1" s="107">
      <c r="A126" s="125">
        <f>'CEI ROMANO CANAVESE'!B5</f>
        <v/>
      </c>
      <c r="B126" s="126">
        <f>HYPERLINK("#'CEI ROMANO CANAVESE'!A1",'CEI ROMANO CANAVESE'!B2)</f>
        <v/>
      </c>
      <c r="C126" s="127" t="n">
        <v>0</v>
      </c>
      <c r="D126" s="127" t="n">
        <v>0</v>
      </c>
      <c r="E126" s="127" t="n">
        <v>0</v>
      </c>
      <c r="F126" s="127" t="n">
        <v>0</v>
      </c>
      <c r="G126" s="127" t="n">
        <v>0</v>
      </c>
      <c r="H126" s="127" t="n">
        <v>0</v>
      </c>
      <c r="I126" s="127" t="n">
        <v>0</v>
      </c>
      <c r="J126" s="127" t="n">
        <v>0</v>
      </c>
      <c r="K126" s="127" t="n">
        <v>0</v>
      </c>
      <c r="L126" s="127" t="n">
        <v>0</v>
      </c>
      <c r="M126" s="127" t="n">
        <v>0</v>
      </c>
      <c r="N126" s="127" t="n">
        <v>0</v>
      </c>
      <c r="O126" s="127" t="n">
        <v>0</v>
      </c>
      <c r="P126" s="127" t="n">
        <v>0</v>
      </c>
      <c r="Q126" s="127" t="n">
        <v>0</v>
      </c>
      <c r="R126" s="127" t="n">
        <v>0</v>
      </c>
      <c r="S126" s="127" t="n">
        <v>0</v>
      </c>
      <c r="T126" s="127" t="n">
        <v>0</v>
      </c>
      <c r="U126" s="127" t="n">
        <v>0</v>
      </c>
    </row>
    <row r="127" ht="15" customHeight="1" s="107">
      <c r="A127" s="125">
        <f>'CEI ANDRÉ VANZAN'!B5</f>
        <v/>
      </c>
      <c r="B127" s="126">
        <f>HYPERLINK("#'CEI ANDRÉ VANZAN'!A1",'CEI ANDRÉ VANZAN'!B2)</f>
        <v/>
      </c>
      <c r="C127" s="127" t="n">
        <v>0</v>
      </c>
      <c r="D127" s="127" t="n">
        <v>0</v>
      </c>
      <c r="E127" s="127" t="n">
        <v>0</v>
      </c>
      <c r="F127" s="127" t="n">
        <v>0</v>
      </c>
      <c r="G127" s="127" t="n">
        <v>0</v>
      </c>
      <c r="H127" s="127" t="n">
        <v>0</v>
      </c>
      <c r="I127" s="127" t="n">
        <v>0</v>
      </c>
      <c r="J127" s="127" t="n">
        <v>0</v>
      </c>
      <c r="K127" s="127" t="n">
        <v>0</v>
      </c>
      <c r="L127" s="127" t="n">
        <v>0</v>
      </c>
      <c r="M127" s="127" t="n">
        <v>0</v>
      </c>
      <c r="N127" s="127" t="n">
        <v>0</v>
      </c>
      <c r="O127" s="127" t="n">
        <v>0</v>
      </c>
      <c r="P127" s="127" t="n">
        <v>0</v>
      </c>
      <c r="Q127" s="127" t="n">
        <v>0</v>
      </c>
      <c r="R127" s="127" t="n">
        <v>0</v>
      </c>
      <c r="S127" s="127" t="n">
        <v>0</v>
      </c>
      <c r="T127" s="127" t="n">
        <v>0</v>
      </c>
      <c r="U127" s="127" t="n">
        <v>0</v>
      </c>
    </row>
    <row r="128" ht="15" customHeight="1" s="107">
      <c r="A128" s="125">
        <f>'CEI CRIANÇA SANTA EDWIGES'!B5</f>
        <v/>
      </c>
      <c r="B128" s="126">
        <f>HYPERLINK("#'CEI CRIANÇA SANTA EDWIGES'!A1",'CEI CRIANÇA SANTA EDWIGES'!B2)</f>
        <v/>
      </c>
      <c r="C128" s="127" t="n">
        <v>0</v>
      </c>
      <c r="D128" s="127" t="n">
        <v>0</v>
      </c>
      <c r="E128" s="127" t="n">
        <v>0</v>
      </c>
      <c r="F128" s="127" t="n">
        <v>0</v>
      </c>
      <c r="G128" s="127" t="n">
        <v>0</v>
      </c>
      <c r="H128" s="127" t="n">
        <v>0</v>
      </c>
      <c r="I128" s="127" t="n">
        <v>0</v>
      </c>
      <c r="J128" s="127" t="n">
        <v>0</v>
      </c>
      <c r="K128" s="127" t="n">
        <v>0</v>
      </c>
      <c r="L128" s="127" t="n">
        <v>0</v>
      </c>
      <c r="M128" s="127" t="n">
        <v>0</v>
      </c>
      <c r="N128" s="127" t="n">
        <v>0</v>
      </c>
      <c r="O128" s="127" t="n">
        <v>0</v>
      </c>
      <c r="P128" s="127" t="n">
        <v>0</v>
      </c>
      <c r="Q128" s="127" t="n">
        <v>0</v>
      </c>
      <c r="R128" s="127" t="n">
        <v>0</v>
      </c>
      <c r="S128" s="127" t="n">
        <v>0</v>
      </c>
      <c r="T128" s="127" t="n">
        <v>0</v>
      </c>
      <c r="U128" s="127" t="n">
        <v>0</v>
      </c>
    </row>
    <row r="129" ht="15" customHeight="1" s="107">
      <c r="A129" s="125">
        <f>'CENTRO DE EDUCAÇÃO INFANTIL IRM'!B5</f>
        <v/>
      </c>
      <c r="B129" s="126">
        <f>HYPERLINK("#'CENTRO DE EDUCAÇÃO INFANTIL IRM'!A1",'CENTRO DE EDUCAÇÃO INFANTIL IRM'!B2)</f>
        <v/>
      </c>
      <c r="C129" s="127" t="n">
        <v>0</v>
      </c>
      <c r="D129" s="127" t="n">
        <v>0</v>
      </c>
      <c r="E129" s="127" t="n">
        <v>0</v>
      </c>
      <c r="F129" s="127" t="n">
        <v>0</v>
      </c>
      <c r="G129" s="127" t="n">
        <v>0</v>
      </c>
      <c r="H129" s="127" t="n">
        <v>0</v>
      </c>
      <c r="I129" s="127" t="n">
        <v>0</v>
      </c>
      <c r="J129" s="127" t="n">
        <v>0</v>
      </c>
      <c r="K129" s="127" t="n">
        <v>0</v>
      </c>
      <c r="L129" s="127" t="n">
        <v>0</v>
      </c>
      <c r="M129" s="127" t="n">
        <v>0</v>
      </c>
      <c r="N129" s="127" t="n">
        <v>0</v>
      </c>
      <c r="O129" s="127" t="n">
        <v>0</v>
      </c>
      <c r="P129" s="127" t="n">
        <v>0</v>
      </c>
      <c r="Q129" s="127" t="n">
        <v>0</v>
      </c>
      <c r="R129" s="127" t="n">
        <v>0</v>
      </c>
      <c r="S129" s="127" t="n">
        <v>0</v>
      </c>
      <c r="T129" s="127" t="n">
        <v>0</v>
      </c>
      <c r="U129" s="127" t="n">
        <v>0</v>
      </c>
    </row>
    <row r="130" ht="15" customHeight="1" s="107">
      <c r="A130" s="125">
        <f>'CEI PEDRAS BRANCAS'!B5</f>
        <v/>
      </c>
      <c r="B130" s="126">
        <f>HYPERLINK("#'CEI PEDRAS BRANCAS'!A1",'CEI PEDRAS BRANCAS'!B2)</f>
        <v/>
      </c>
      <c r="C130" s="127" t="n">
        <v>0</v>
      </c>
      <c r="D130" s="127" t="n">
        <v>0</v>
      </c>
      <c r="E130" s="127" t="n">
        <v>0</v>
      </c>
      <c r="F130" s="127" t="n">
        <v>0</v>
      </c>
      <c r="G130" s="127" t="n">
        <v>0</v>
      </c>
      <c r="H130" s="127" t="n">
        <v>0</v>
      </c>
      <c r="I130" s="127" t="n">
        <v>0</v>
      </c>
      <c r="J130" s="127" t="n">
        <v>0</v>
      </c>
      <c r="K130" s="127" t="n">
        <v>0</v>
      </c>
      <c r="L130" s="127" t="n">
        <v>0</v>
      </c>
      <c r="M130" s="127" t="n">
        <v>0</v>
      </c>
      <c r="N130" s="127" t="n">
        <v>0</v>
      </c>
      <c r="O130" s="127" t="n">
        <v>0</v>
      </c>
      <c r="P130" s="127" t="n">
        <v>0</v>
      </c>
      <c r="Q130" s="127" t="n">
        <v>0</v>
      </c>
      <c r="R130" s="127" t="n">
        <v>0</v>
      </c>
      <c r="S130" s="127" t="n">
        <v>0</v>
      </c>
      <c r="T130" s="127" t="n">
        <v>0</v>
      </c>
      <c r="U130" s="127" t="n">
        <v>0</v>
      </c>
    </row>
    <row r="131" ht="15" customHeight="1" s="107">
      <c r="A131" s="125">
        <f>'CEI INÊS BELARMINO DE SOUZA'!B5</f>
        <v/>
      </c>
      <c r="B131" s="126">
        <f>HYPERLINK("#'CEI INÊS BELARMINO DE SOUZA'!A1",'CEI INÊS BELARMINO DE SOUZA'!B2)</f>
        <v/>
      </c>
      <c r="C131" s="127" t="n">
        <v>0</v>
      </c>
      <c r="D131" s="127" t="n">
        <v>0</v>
      </c>
      <c r="E131" s="127" t="n">
        <v>0</v>
      </c>
      <c r="F131" s="127" t="n">
        <v>0</v>
      </c>
      <c r="G131" s="127" t="n">
        <v>0</v>
      </c>
      <c r="H131" s="127" t="n">
        <v>0</v>
      </c>
      <c r="I131" s="127" t="n">
        <v>0</v>
      </c>
      <c r="J131" s="127" t="n">
        <v>0</v>
      </c>
      <c r="K131" s="127" t="n">
        <v>0</v>
      </c>
      <c r="L131" s="127" t="n">
        <v>0</v>
      </c>
      <c r="M131" s="127" t="n">
        <v>0</v>
      </c>
      <c r="N131" s="127" t="n">
        <v>0</v>
      </c>
      <c r="O131" s="127" t="n">
        <v>0</v>
      </c>
      <c r="P131" s="127" t="n">
        <v>0</v>
      </c>
      <c r="Q131" s="127" t="n">
        <v>0</v>
      </c>
      <c r="R131" s="127" t="n">
        <v>0</v>
      </c>
      <c r="S131" s="127" t="n">
        <v>0</v>
      </c>
      <c r="T131" s="127" t="n">
        <v>0</v>
      </c>
      <c r="U131" s="127" t="n">
        <v>0</v>
      </c>
    </row>
    <row r="132" ht="15" customHeight="1" s="107">
      <c r="A132" s="125">
        <f>'CEI PROFª ROSANGELA DA SILVA LE'!B5</f>
        <v/>
      </c>
      <c r="B132" s="126">
        <f>HYPERLINK("#'CEI PROFª ROSANGELA DA SILVA LE'!A1",'CEI PROFª ROSANGELA DA SILVA LE'!B2)</f>
        <v/>
      </c>
      <c r="C132" s="127" t="n">
        <v>0</v>
      </c>
      <c r="D132" s="127" t="n">
        <v>0</v>
      </c>
      <c r="E132" s="127" t="n">
        <v>0</v>
      </c>
      <c r="F132" s="127" t="n">
        <v>0</v>
      </c>
      <c r="G132" s="127" t="n">
        <v>0</v>
      </c>
      <c r="H132" s="127" t="n">
        <v>0</v>
      </c>
      <c r="I132" s="127" t="n">
        <v>0</v>
      </c>
      <c r="J132" s="127" t="n">
        <v>0</v>
      </c>
      <c r="K132" s="127" t="n">
        <v>0</v>
      </c>
      <c r="L132" s="127" t="n">
        <v>0</v>
      </c>
      <c r="M132" s="127" t="n">
        <v>0</v>
      </c>
      <c r="N132" s="127" t="n">
        <v>0</v>
      </c>
      <c r="O132" s="127" t="n">
        <v>0</v>
      </c>
      <c r="P132" s="127" t="n">
        <v>0</v>
      </c>
      <c r="Q132" s="127" t="n">
        <v>0</v>
      </c>
      <c r="R132" s="127" t="n">
        <v>0</v>
      </c>
      <c r="S132" s="127" t="n">
        <v>0</v>
      </c>
      <c r="T132" s="127" t="n">
        <v>0</v>
      </c>
      <c r="U132" s="127" t="n">
        <v>0</v>
      </c>
    </row>
    <row r="133" ht="15" customHeight="1" s="107">
      <c r="A133" s="125">
        <f>'CEI VILA SAO JOSE'!B5</f>
        <v/>
      </c>
      <c r="B133" s="126">
        <f>HYPERLINK("#'CEI VILA SAO JOSE'!A1",'CEI VILA SAO JOSE'!B2)</f>
        <v/>
      </c>
      <c r="C133" s="127" t="n">
        <v>0</v>
      </c>
      <c r="D133" s="127" t="n">
        <v>0</v>
      </c>
      <c r="E133" s="127" t="n">
        <v>0</v>
      </c>
      <c r="F133" s="127" t="n">
        <v>0</v>
      </c>
      <c r="G133" s="127" t="n">
        <v>0</v>
      </c>
      <c r="H133" s="127" t="n">
        <v>0</v>
      </c>
      <c r="I133" s="127" t="n">
        <v>0</v>
      </c>
      <c r="J133" s="127" t="n">
        <v>0</v>
      </c>
      <c r="K133" s="127" t="n">
        <v>0</v>
      </c>
      <c r="L133" s="127" t="n">
        <v>0</v>
      </c>
      <c r="M133" s="127" t="n">
        <v>0</v>
      </c>
      <c r="N133" s="127" t="n">
        <v>0</v>
      </c>
      <c r="O133" s="127" t="n">
        <v>0</v>
      </c>
      <c r="P133" s="127" t="n">
        <v>0</v>
      </c>
      <c r="Q133" s="127" t="n">
        <v>0</v>
      </c>
      <c r="R133" s="127" t="n">
        <v>0</v>
      </c>
      <c r="S133" s="127" t="n">
        <v>0</v>
      </c>
      <c r="T133" s="127" t="n">
        <v>0</v>
      </c>
      <c r="U133" s="127" t="n">
        <v>0</v>
      </c>
    </row>
    <row r="134" ht="15" customHeight="1" s="107">
      <c r="A134" s="125">
        <f>'CEI MARIA THEREZA KLING DO VALL'!B5</f>
        <v/>
      </c>
      <c r="B134" s="126">
        <f>HYPERLINK("#'CEI MARIA THEREZA KLING DO VALL'!A1",'CEI MARIA THEREZA KLING DO VALL'!B2)</f>
        <v/>
      </c>
      <c r="C134" s="127" t="n">
        <v>0</v>
      </c>
      <c r="D134" s="127" t="n">
        <v>0</v>
      </c>
      <c r="E134" s="127" t="n">
        <v>0</v>
      </c>
      <c r="F134" s="127" t="n">
        <v>0</v>
      </c>
      <c r="G134" s="127" t="n">
        <v>0</v>
      </c>
      <c r="H134" s="127" t="n">
        <v>0</v>
      </c>
      <c r="I134" s="127" t="n">
        <v>0</v>
      </c>
      <c r="J134" s="127" t="n">
        <v>0</v>
      </c>
      <c r="K134" s="127" t="n">
        <v>0</v>
      </c>
      <c r="L134" s="127" t="n">
        <v>0</v>
      </c>
      <c r="M134" s="127" t="n">
        <v>0</v>
      </c>
      <c r="N134" s="127" t="n">
        <v>0</v>
      </c>
      <c r="O134" s="127" t="n">
        <v>0</v>
      </c>
      <c r="P134" s="127" t="n">
        <v>0</v>
      </c>
      <c r="Q134" s="127" t="n">
        <v>0</v>
      </c>
      <c r="R134" s="127" t="n">
        <v>0</v>
      </c>
      <c r="S134" s="127" t="n">
        <v>0</v>
      </c>
      <c r="T134" s="127" t="n">
        <v>0</v>
      </c>
      <c r="U134" s="127" t="n">
        <v>0</v>
      </c>
    </row>
    <row r="135" ht="15" customHeight="1" s="107">
      <c r="A135" s="125">
        <f>'CEI DEISE ELOY GOMES'!B5</f>
        <v/>
      </c>
      <c r="B135" s="126">
        <f>HYPERLINK("#'CEI DEISE ELOY GOMES'!A1",'CEI DEISE ELOY GOMES'!B2)</f>
        <v/>
      </c>
      <c r="C135" s="127" t="n">
        <v>0</v>
      </c>
      <c r="D135" s="127" t="n">
        <v>0</v>
      </c>
      <c r="E135" s="127" t="n">
        <v>0</v>
      </c>
      <c r="F135" s="127" t="n">
        <v>0</v>
      </c>
      <c r="G135" s="127" t="n">
        <v>0</v>
      </c>
      <c r="H135" s="127" t="n">
        <v>0</v>
      </c>
      <c r="I135" s="127" t="n">
        <v>0</v>
      </c>
      <c r="J135" s="127" t="n">
        <v>0</v>
      </c>
      <c r="K135" s="127" t="n">
        <v>0</v>
      </c>
      <c r="L135" s="127" t="n">
        <v>0</v>
      </c>
      <c r="M135" s="127" t="n">
        <v>0</v>
      </c>
      <c r="N135" s="127" t="n">
        <v>0</v>
      </c>
      <c r="O135" s="127" t="n">
        <v>0</v>
      </c>
      <c r="P135" s="127" t="n">
        <v>0</v>
      </c>
      <c r="Q135" s="127" t="n">
        <v>0</v>
      </c>
      <c r="R135" s="127" t="n">
        <v>0</v>
      </c>
      <c r="S135" s="127" t="n">
        <v>0</v>
      </c>
      <c r="T135" s="127" t="n">
        <v>0</v>
      </c>
      <c r="U135" s="127" t="n">
        <v>0</v>
      </c>
    </row>
    <row r="136" ht="15" customHeight="1" s="107">
      <c r="A136" s="125">
        <f>'CENTRO PAROQUIAL DE EDUCAÇÃO IN'!B5</f>
        <v/>
      </c>
      <c r="B136" s="126">
        <f>HYPERLINK("#'CENTRO PAROQUIAL DE EDUCAÇÃO IN'!A1",'CENTRO PAROQUIAL DE EDUCAÇÃO IN'!B2)</f>
        <v/>
      </c>
      <c r="C136" s="127" t="n">
        <v>0</v>
      </c>
      <c r="D136" s="127" t="n">
        <v>0</v>
      </c>
      <c r="E136" s="127" t="n">
        <v>0</v>
      </c>
      <c r="F136" s="127" t="n">
        <v>0</v>
      </c>
      <c r="G136" s="127" t="n">
        <v>0</v>
      </c>
      <c r="H136" s="127" t="n">
        <v>0</v>
      </c>
      <c r="I136" s="127" t="n">
        <v>0</v>
      </c>
      <c r="J136" s="127" t="n">
        <v>0</v>
      </c>
      <c r="K136" s="127" t="n">
        <v>0</v>
      </c>
      <c r="L136" s="127" t="n">
        <v>0</v>
      </c>
      <c r="M136" s="127" t="n">
        <v>0</v>
      </c>
      <c r="N136" s="127" t="n">
        <v>0</v>
      </c>
      <c r="O136" s="127" t="n">
        <v>0</v>
      </c>
      <c r="P136" s="127" t="n">
        <v>0</v>
      </c>
      <c r="Q136" s="127" t="n">
        <v>0</v>
      </c>
      <c r="R136" s="127" t="n">
        <v>0</v>
      </c>
      <c r="S136" s="127" t="n">
        <v>0</v>
      </c>
      <c r="T136" s="127" t="n">
        <v>0</v>
      </c>
      <c r="U136" s="127" t="n">
        <v>0</v>
      </c>
    </row>
    <row r="137" ht="15" customHeight="1" s="107">
      <c r="A137" s="125">
        <f>'CEI VISTA ALEGRE'!B5</f>
        <v/>
      </c>
      <c r="B137" s="126">
        <f>HYPERLINK("#'CEI VISTA ALEGRE'!A1",'CEI VISTA ALEGRE'!B2)</f>
        <v/>
      </c>
      <c r="C137" s="127" t="n">
        <v>0</v>
      </c>
      <c r="D137" s="127" t="n">
        <v>0</v>
      </c>
      <c r="E137" s="127" t="n">
        <v>0</v>
      </c>
      <c r="F137" s="127" t="n">
        <v>0</v>
      </c>
      <c r="G137" s="127" t="n">
        <v>0</v>
      </c>
      <c r="H137" s="127" t="n">
        <v>0</v>
      </c>
      <c r="I137" s="127" t="n">
        <v>0</v>
      </c>
      <c r="J137" s="127" t="n">
        <v>0</v>
      </c>
      <c r="K137" s="127" t="n">
        <v>0</v>
      </c>
      <c r="L137" s="127" t="n">
        <v>0</v>
      </c>
      <c r="M137" s="127" t="n">
        <v>0</v>
      </c>
      <c r="N137" s="127" t="n">
        <v>0</v>
      </c>
      <c r="O137" s="127" t="n">
        <v>0</v>
      </c>
      <c r="P137" s="127" t="n">
        <v>0</v>
      </c>
      <c r="Q137" s="127" t="n">
        <v>0</v>
      </c>
      <c r="R137" s="127" t="n">
        <v>0</v>
      </c>
      <c r="S137" s="127" t="n">
        <v>0</v>
      </c>
      <c r="T137" s="127" t="n">
        <v>0</v>
      </c>
      <c r="U137" s="127" t="n">
        <v>0</v>
      </c>
    </row>
    <row r="138" ht="15" customHeight="1" s="107">
      <c r="A138" s="125">
        <f>'CEI ALDEIA DA CRIANCA'!B5</f>
        <v/>
      </c>
      <c r="B138" s="126">
        <f>HYPERLINK("#'CEI ALDEIA DA CRIANCA'!A1",'CEI ALDEIA DA CRIANCA'!B2)</f>
        <v/>
      </c>
      <c r="C138" s="127" t="n">
        <v>0</v>
      </c>
      <c r="D138" s="127" t="n">
        <v>0</v>
      </c>
      <c r="E138" s="127" t="n">
        <v>0</v>
      </c>
      <c r="F138" s="127" t="n">
        <v>0</v>
      </c>
      <c r="G138" s="127" t="n">
        <v>0</v>
      </c>
      <c r="H138" s="127" t="n">
        <v>0</v>
      </c>
      <c r="I138" s="127" t="n">
        <v>0</v>
      </c>
      <c r="J138" s="127" t="n">
        <v>0</v>
      </c>
      <c r="K138" s="127" t="n">
        <v>0</v>
      </c>
      <c r="L138" s="127" t="n">
        <v>0</v>
      </c>
      <c r="M138" s="127" t="n">
        <v>0</v>
      </c>
      <c r="N138" s="127" t="n">
        <v>0</v>
      </c>
      <c r="O138" s="127" t="n">
        <v>0</v>
      </c>
      <c r="P138" s="127" t="n">
        <v>0</v>
      </c>
      <c r="Q138" s="127" t="n">
        <v>0</v>
      </c>
      <c r="R138" s="127" t="n">
        <v>0</v>
      </c>
      <c r="S138" s="127" t="n">
        <v>0</v>
      </c>
      <c r="T138" s="127" t="n">
        <v>0</v>
      </c>
      <c r="U138" s="127" t="n">
        <v>0</v>
      </c>
    </row>
    <row r="139" ht="15" customHeight="1" s="107">
      <c r="A139" s="125">
        <f>'CEI DÉA LÚCIA CORDEIRO'!B5</f>
        <v/>
      </c>
      <c r="B139" s="126">
        <f>HYPERLINK("#'CEI DÉA LÚCIA CORDEIRO'!A1",'CEI DÉA LÚCIA CORDEIRO'!B2)</f>
        <v/>
      </c>
      <c r="C139" s="127" t="n">
        <v>0</v>
      </c>
      <c r="D139" s="127" t="n">
        <v>0</v>
      </c>
      <c r="E139" s="127" t="n">
        <v>0</v>
      </c>
      <c r="F139" s="127" t="n">
        <v>0</v>
      </c>
      <c r="G139" s="127" t="n">
        <v>0</v>
      </c>
      <c r="H139" s="127" t="n">
        <v>0</v>
      </c>
      <c r="I139" s="127" t="n">
        <v>0</v>
      </c>
      <c r="J139" s="127" t="n">
        <v>0</v>
      </c>
      <c r="K139" s="127" t="n">
        <v>0</v>
      </c>
      <c r="L139" s="127" t="n">
        <v>0</v>
      </c>
      <c r="M139" s="127" t="n">
        <v>0</v>
      </c>
      <c r="N139" s="127" t="n">
        <v>0</v>
      </c>
      <c r="O139" s="127" t="n">
        <v>0</v>
      </c>
      <c r="P139" s="127" t="n">
        <v>0</v>
      </c>
      <c r="Q139" s="127" t="n">
        <v>0</v>
      </c>
      <c r="R139" s="127" t="n">
        <v>0</v>
      </c>
      <c r="S139" s="127" t="n">
        <v>0</v>
      </c>
      <c r="T139" s="127" t="n">
        <v>0</v>
      </c>
      <c r="U139" s="127" t="n">
        <v>0</v>
      </c>
    </row>
    <row r="140" ht="15" customHeight="1" s="107">
      <c r="A140" s="125">
        <f>'CENTRO DE EDUCAÇÃO INFANTIL CAR'!B5</f>
        <v/>
      </c>
      <c r="B140" s="126">
        <f>HYPERLINK("#'CENTRO DE EDUCAÇÃO INFANTIL CAR'!A1",'CENTRO DE EDUCAÇÃO INFANTIL CAR'!B2)</f>
        <v/>
      </c>
      <c r="C140" s="127" t="n">
        <v>0</v>
      </c>
      <c r="D140" s="127" t="n">
        <v>0</v>
      </c>
      <c r="E140" s="127" t="n">
        <v>0</v>
      </c>
      <c r="F140" s="127" t="n">
        <v>0</v>
      </c>
      <c r="G140" s="127" t="n">
        <v>0</v>
      </c>
      <c r="H140" s="127" t="n">
        <v>0</v>
      </c>
      <c r="I140" s="127" t="n">
        <v>0</v>
      </c>
      <c r="J140" s="127" t="n">
        <v>0</v>
      </c>
      <c r="K140" s="127" t="n">
        <v>0</v>
      </c>
      <c r="L140" s="127" t="n">
        <v>0</v>
      </c>
      <c r="M140" s="127" t="n">
        <v>0</v>
      </c>
      <c r="N140" s="127" t="n">
        <v>0</v>
      </c>
      <c r="O140" s="127" t="n">
        <v>0</v>
      </c>
      <c r="P140" s="127" t="n">
        <v>0</v>
      </c>
      <c r="Q140" s="127" t="n">
        <v>0</v>
      </c>
      <c r="R140" s="127" t="n">
        <v>0</v>
      </c>
      <c r="S140" s="127" t="n">
        <v>0</v>
      </c>
      <c r="T140" s="127" t="n">
        <v>0</v>
      </c>
      <c r="U140" s="127" t="n">
        <v>0</v>
      </c>
    </row>
    <row r="141" ht="15" customHeight="1" s="107">
      <c r="A141" s="125">
        <f>'CEI IRMÃ SILVANA'!B5</f>
        <v/>
      </c>
      <c r="B141" s="126">
        <f>HYPERLINK("#'CEI IRMÃ SILVANA'!A1",'CEI IRMÃ SILVANA'!B2)</f>
        <v/>
      </c>
      <c r="C141" s="127" t="n">
        <v>0</v>
      </c>
      <c r="D141" s="127" t="n">
        <v>0</v>
      </c>
      <c r="E141" s="127" t="n">
        <v>0</v>
      </c>
      <c r="F141" s="127" t="n">
        <v>0</v>
      </c>
      <c r="G141" s="127" t="n">
        <v>0</v>
      </c>
      <c r="H141" s="127" t="n">
        <v>0</v>
      </c>
      <c r="I141" s="127" t="n">
        <v>0</v>
      </c>
      <c r="J141" s="127" t="n">
        <v>0</v>
      </c>
      <c r="K141" s="127" t="n">
        <v>0</v>
      </c>
      <c r="L141" s="127" t="n">
        <v>0</v>
      </c>
      <c r="M141" s="127" t="n">
        <v>0</v>
      </c>
      <c r="N141" s="127" t="n">
        <v>0</v>
      </c>
      <c r="O141" s="127" t="n">
        <v>0</v>
      </c>
      <c r="P141" s="127" t="n">
        <v>0</v>
      </c>
      <c r="Q141" s="127" t="n">
        <v>0</v>
      </c>
      <c r="R141" s="127" t="n">
        <v>0</v>
      </c>
      <c r="S141" s="127" t="n">
        <v>0</v>
      </c>
      <c r="T141" s="127" t="n">
        <v>0</v>
      </c>
      <c r="U141" s="127" t="n">
        <v>0</v>
      </c>
    </row>
    <row r="142" ht="15" customHeight="1" s="107">
      <c r="A142" s="125">
        <f>'CEI MARLI SOARES FERREIRA NETTO'!B5</f>
        <v/>
      </c>
      <c r="B142" s="126">
        <f>HYPERLINK("#'CEI MARLI SOARES FERREIRA NETTO'!A1",'CEI MARLI SOARES FERREIRA NETTO'!B2)</f>
        <v/>
      </c>
      <c r="C142" s="127" t="n">
        <v>0</v>
      </c>
      <c r="D142" s="127" t="n">
        <v>0</v>
      </c>
      <c r="E142" s="127" t="n">
        <v>0</v>
      </c>
      <c r="F142" s="127" t="n">
        <v>0</v>
      </c>
      <c r="G142" s="127" t="n">
        <v>0</v>
      </c>
      <c r="H142" s="127" t="n">
        <v>0</v>
      </c>
      <c r="I142" s="127" t="n">
        <v>0</v>
      </c>
      <c r="J142" s="127" t="n">
        <v>0</v>
      </c>
      <c r="K142" s="127" t="n">
        <v>0</v>
      </c>
      <c r="L142" s="127" t="n">
        <v>0</v>
      </c>
      <c r="M142" s="127" t="n">
        <v>0</v>
      </c>
      <c r="N142" s="127" t="n">
        <v>0</v>
      </c>
      <c r="O142" s="127" t="n">
        <v>0</v>
      </c>
      <c r="P142" s="127" t="n">
        <v>0</v>
      </c>
      <c r="Q142" s="127" t="n">
        <v>0</v>
      </c>
      <c r="R142" s="127" t="n">
        <v>0</v>
      </c>
      <c r="S142" s="127" t="n">
        <v>0</v>
      </c>
      <c r="T142" s="127" t="n">
        <v>0</v>
      </c>
      <c r="U142" s="127" t="n">
        <v>0</v>
      </c>
    </row>
    <row r="143" ht="15" customHeight="1" s="107">
      <c r="A143" s="125">
        <f>'CEI PROFª SONIA REGINA SCUDESE '!B5</f>
        <v/>
      </c>
      <c r="B143" s="126">
        <f>HYPERLINK("#'CEI PROFª SONIA REGINA SCUDESE '!A1",'CEI PROFª SONIA REGINA SCUDESE '!B2)</f>
        <v/>
      </c>
      <c r="C143" s="127" t="n">
        <v>0</v>
      </c>
      <c r="D143" s="127" t="n">
        <v>0</v>
      </c>
      <c r="E143" s="127" t="n">
        <v>0</v>
      </c>
      <c r="F143" s="127" t="n">
        <v>0</v>
      </c>
      <c r="G143" s="127" t="n">
        <v>0</v>
      </c>
      <c r="H143" s="127" t="n">
        <v>0</v>
      </c>
      <c r="I143" s="127" t="n">
        <v>0</v>
      </c>
      <c r="J143" s="127" t="n">
        <v>0</v>
      </c>
      <c r="K143" s="127" t="n">
        <v>0</v>
      </c>
      <c r="L143" s="127" t="n">
        <v>0</v>
      </c>
      <c r="M143" s="127" t="n">
        <v>0</v>
      </c>
      <c r="N143" s="127" t="n">
        <v>0</v>
      </c>
      <c r="O143" s="127" t="n">
        <v>0</v>
      </c>
      <c r="P143" s="127" t="n">
        <v>0</v>
      </c>
      <c r="Q143" s="127" t="n">
        <v>0</v>
      </c>
      <c r="R143" s="127" t="n">
        <v>0</v>
      </c>
      <c r="S143" s="127" t="n">
        <v>0</v>
      </c>
      <c r="T143" s="127" t="n">
        <v>0</v>
      </c>
      <c r="U143" s="127" t="n">
        <v>0</v>
      </c>
    </row>
    <row r="144" ht="15" customHeight="1" s="107">
      <c r="A144" s="125">
        <f>'CEI DONA ESPERANZA DE BOURBON D'!B5</f>
        <v/>
      </c>
      <c r="B144" s="126">
        <f>HYPERLINK("#'CEI DONA ESPERANZA DE BOURBON D'!A1",'CEI DONA ESPERANZA DE BOURBON D'!B2)</f>
        <v/>
      </c>
      <c r="C144" s="127" t="n">
        <v>0</v>
      </c>
      <c r="D144" s="127" t="n">
        <v>0</v>
      </c>
      <c r="E144" s="127" t="n">
        <v>0</v>
      </c>
      <c r="F144" s="127" t="n">
        <v>0</v>
      </c>
      <c r="G144" s="127" t="n">
        <v>0</v>
      </c>
      <c r="H144" s="127" t="n">
        <v>0</v>
      </c>
      <c r="I144" s="127" t="n">
        <v>0</v>
      </c>
      <c r="J144" s="127" t="n">
        <v>0</v>
      </c>
      <c r="K144" s="127" t="n">
        <v>0</v>
      </c>
      <c r="L144" s="127" t="n">
        <v>0</v>
      </c>
      <c r="M144" s="127" t="n">
        <v>0</v>
      </c>
      <c r="N144" s="127" t="n">
        <v>0</v>
      </c>
      <c r="O144" s="127" t="n">
        <v>0</v>
      </c>
      <c r="P144" s="127" t="n">
        <v>0</v>
      </c>
      <c r="Q144" s="127" t="n">
        <v>0</v>
      </c>
      <c r="R144" s="127" t="n">
        <v>0</v>
      </c>
      <c r="S144" s="127" t="n">
        <v>0</v>
      </c>
      <c r="T144" s="127" t="n">
        <v>0</v>
      </c>
      <c r="U144" s="127" t="n">
        <v>0</v>
      </c>
    </row>
    <row r="145" ht="15" customHeight="1" s="107">
      <c r="A145" s="125">
        <f>'CEI PREFEITO SÉRGIO FADEL'!B5</f>
        <v/>
      </c>
      <c r="B145" s="126">
        <f>HYPERLINK("#'CEI PREFEITO SÉRGIO FADEL'!A1",'CEI PREFEITO SÉRGIO FADEL'!B2)</f>
        <v/>
      </c>
      <c r="C145" s="127" t="n">
        <v>0</v>
      </c>
      <c r="D145" s="127" t="n">
        <v>0</v>
      </c>
      <c r="E145" s="127" t="n">
        <v>0</v>
      </c>
      <c r="F145" s="127" t="n">
        <v>0</v>
      </c>
      <c r="G145" s="127" t="n">
        <v>0</v>
      </c>
      <c r="H145" s="127" t="n">
        <v>0</v>
      </c>
      <c r="I145" s="127" t="n">
        <v>0</v>
      </c>
      <c r="J145" s="127" t="n">
        <v>0</v>
      </c>
      <c r="K145" s="127" t="n">
        <v>0</v>
      </c>
      <c r="L145" s="127" t="n">
        <v>0</v>
      </c>
      <c r="M145" s="127" t="n">
        <v>0</v>
      </c>
      <c r="N145" s="127" t="n">
        <v>0</v>
      </c>
      <c r="O145" s="127" t="n">
        <v>0</v>
      </c>
      <c r="P145" s="127" t="n">
        <v>0</v>
      </c>
      <c r="Q145" s="127" t="n">
        <v>0</v>
      </c>
      <c r="R145" s="127" t="n">
        <v>0</v>
      </c>
      <c r="S145" s="127" t="n">
        <v>0</v>
      </c>
      <c r="T145" s="127" t="n">
        <v>0</v>
      </c>
      <c r="U145" s="127" t="n">
        <v>0</v>
      </c>
    </row>
    <row r="146" ht="15" customHeight="1" s="107">
      <c r="A146" s="125">
        <f>'CEI ANDRÉ REBOUÇAS'!B5</f>
        <v/>
      </c>
      <c r="B146" s="126">
        <f>HYPERLINK("#'CEI ANDRÉ REBOUÇAS'!A1",'CEI ANDRÉ REBOUÇAS'!B2)</f>
        <v/>
      </c>
      <c r="C146" s="127" t="n">
        <v>0</v>
      </c>
      <c r="D146" s="127" t="n">
        <v>0</v>
      </c>
      <c r="E146" s="127" t="n">
        <v>0</v>
      </c>
      <c r="F146" s="127" t="n">
        <v>0</v>
      </c>
      <c r="G146" s="127" t="n">
        <v>0</v>
      </c>
      <c r="H146" s="127" t="n">
        <v>0</v>
      </c>
      <c r="I146" s="127" t="n">
        <v>0</v>
      </c>
      <c r="J146" s="127" t="n">
        <v>0</v>
      </c>
      <c r="K146" s="127" t="n">
        <v>0</v>
      </c>
      <c r="L146" s="127" t="n">
        <v>0</v>
      </c>
      <c r="M146" s="127" t="n">
        <v>0</v>
      </c>
      <c r="N146" s="127" t="n">
        <v>0</v>
      </c>
      <c r="O146" s="127" t="n">
        <v>0</v>
      </c>
      <c r="P146" s="127" t="n">
        <v>0</v>
      </c>
      <c r="Q146" s="127" t="n">
        <v>0</v>
      </c>
      <c r="R146" s="127" t="n">
        <v>0</v>
      </c>
      <c r="S146" s="127" t="n">
        <v>0</v>
      </c>
      <c r="T146" s="127" t="n">
        <v>0</v>
      </c>
      <c r="U146" s="127" t="n">
        <v>0</v>
      </c>
    </row>
    <row r="147" ht="15" customHeight="1" s="107">
      <c r="A147" s="125">
        <f>'CENTRO DE EDUCAÇÃO INFANTIL CHI'!B5</f>
        <v/>
      </c>
      <c r="B147" s="126">
        <f>HYPERLINK("#'CENTRO DE EDUCAÇÃO INFANTIL CHI'!A1",'CENTRO DE EDUCAÇÃO INFANTIL CHI'!B2)</f>
        <v/>
      </c>
      <c r="C147" s="127" t="n">
        <v>0</v>
      </c>
      <c r="D147" s="127" t="n">
        <v>0</v>
      </c>
      <c r="E147" s="127" t="n">
        <v>0</v>
      </c>
      <c r="F147" s="127" t="n">
        <v>0</v>
      </c>
      <c r="G147" s="127" t="n">
        <v>0</v>
      </c>
      <c r="H147" s="127" t="n">
        <v>0</v>
      </c>
      <c r="I147" s="127" t="n">
        <v>0</v>
      </c>
      <c r="J147" s="127" t="n">
        <v>0</v>
      </c>
      <c r="K147" s="127" t="n">
        <v>0</v>
      </c>
      <c r="L147" s="127" t="n">
        <v>0</v>
      </c>
      <c r="M147" s="127" t="n">
        <v>0</v>
      </c>
      <c r="N147" s="127" t="n">
        <v>0</v>
      </c>
      <c r="O147" s="127" t="n">
        <v>0</v>
      </c>
      <c r="P147" s="127" t="n">
        <v>0</v>
      </c>
      <c r="Q147" s="127" t="n">
        <v>0</v>
      </c>
      <c r="R147" s="127" t="n">
        <v>0</v>
      </c>
      <c r="S147" s="127" t="n">
        <v>0</v>
      </c>
      <c r="T147" s="127" t="n">
        <v>0</v>
      </c>
      <c r="U147" s="127" t="n">
        <v>0</v>
      </c>
    </row>
    <row r="148" ht="15" customHeight="1" s="107">
      <c r="A148" s="125">
        <f>'CEI TIA ALICE'!B5</f>
        <v/>
      </c>
      <c r="B148" s="126">
        <f>HYPERLINK("#'CEI TIA ALICE'!A1",'CEI TIA ALICE'!B2)</f>
        <v/>
      </c>
      <c r="C148" s="127" t="n">
        <v>0</v>
      </c>
      <c r="D148" s="127" t="n">
        <v>0</v>
      </c>
      <c r="E148" s="127" t="n">
        <v>0</v>
      </c>
      <c r="F148" s="127" t="n">
        <v>0</v>
      </c>
      <c r="G148" s="127" t="n">
        <v>0</v>
      </c>
      <c r="H148" s="127" t="n">
        <v>0</v>
      </c>
      <c r="I148" s="127" t="n">
        <v>0</v>
      </c>
      <c r="J148" s="127" t="n">
        <v>0</v>
      </c>
      <c r="K148" s="127" t="n">
        <v>0</v>
      </c>
      <c r="L148" s="127" t="n">
        <v>0</v>
      </c>
      <c r="M148" s="127" t="n">
        <v>0</v>
      </c>
      <c r="N148" s="127" t="n">
        <v>0</v>
      </c>
      <c r="O148" s="127" t="n">
        <v>0</v>
      </c>
      <c r="P148" s="127" t="n">
        <v>0</v>
      </c>
      <c r="Q148" s="127" t="n">
        <v>0</v>
      </c>
      <c r="R148" s="127" t="n">
        <v>0</v>
      </c>
      <c r="S148" s="127" t="n">
        <v>0</v>
      </c>
      <c r="T148" s="127" t="n">
        <v>0</v>
      </c>
      <c r="U148" s="127" t="n">
        <v>0</v>
      </c>
    </row>
    <row r="149" ht="15" customHeight="1" s="107">
      <c r="A149" s="125">
        <f>'CEI TERRA SANTA'!B5</f>
        <v/>
      </c>
      <c r="B149" s="126">
        <f>HYPERLINK("#'CEI TERRA SANTA'!A1",'CEI TERRA SANTA'!B2)</f>
        <v/>
      </c>
      <c r="C149" s="127" t="n">
        <v>0</v>
      </c>
      <c r="D149" s="127" t="n">
        <v>0</v>
      </c>
      <c r="E149" s="127" t="n">
        <v>0</v>
      </c>
      <c r="F149" s="127" t="n">
        <v>0</v>
      </c>
      <c r="G149" s="127" t="n">
        <v>0</v>
      </c>
      <c r="H149" s="127" t="n">
        <v>0</v>
      </c>
      <c r="I149" s="127" t="n">
        <v>0</v>
      </c>
      <c r="J149" s="127" t="n">
        <v>0</v>
      </c>
      <c r="K149" s="127" t="n">
        <v>0</v>
      </c>
      <c r="L149" s="127" t="n">
        <v>0</v>
      </c>
      <c r="M149" s="127" t="n">
        <v>0</v>
      </c>
      <c r="N149" s="127" t="n">
        <v>0</v>
      </c>
      <c r="O149" s="127" t="n">
        <v>0</v>
      </c>
      <c r="P149" s="127" t="n">
        <v>0</v>
      </c>
      <c r="Q149" s="127" t="n">
        <v>0</v>
      </c>
      <c r="R149" s="127" t="n">
        <v>0</v>
      </c>
      <c r="S149" s="127" t="n">
        <v>0</v>
      </c>
      <c r="T149" s="127" t="n">
        <v>0</v>
      </c>
      <c r="U149" s="127" t="n">
        <v>0</v>
      </c>
    </row>
    <row r="150" ht="15" customHeight="1" s="107">
      <c r="A150" s="125">
        <f>'CEI JORGE ROLANDO DA SILVA'!B5</f>
        <v/>
      </c>
      <c r="B150" s="126">
        <f>HYPERLINK("#'CEI JORGE ROLANDO DA SILVA'!A1",'CEI JORGE ROLANDO DA SILVA'!B2)</f>
        <v/>
      </c>
      <c r="C150" s="127" t="n">
        <v>0</v>
      </c>
      <c r="D150" s="127" t="n">
        <v>0</v>
      </c>
      <c r="E150" s="127" t="n">
        <v>0</v>
      </c>
      <c r="F150" s="127" t="n">
        <v>0</v>
      </c>
      <c r="G150" s="127" t="n">
        <v>0</v>
      </c>
      <c r="H150" s="127" t="n">
        <v>0</v>
      </c>
      <c r="I150" s="127" t="n">
        <v>0</v>
      </c>
      <c r="J150" s="127" t="n">
        <v>0</v>
      </c>
      <c r="K150" s="127" t="n">
        <v>0</v>
      </c>
      <c r="L150" s="127" t="n">
        <v>0</v>
      </c>
      <c r="M150" s="127" t="n">
        <v>0</v>
      </c>
      <c r="N150" s="127" t="n">
        <v>0</v>
      </c>
      <c r="O150" s="127" t="n">
        <v>0</v>
      </c>
      <c r="P150" s="127" t="n">
        <v>0</v>
      </c>
      <c r="Q150" s="127" t="n">
        <v>0</v>
      </c>
      <c r="R150" s="127" t="n">
        <v>0</v>
      </c>
      <c r="S150" s="127" t="n">
        <v>0</v>
      </c>
      <c r="T150" s="127" t="n">
        <v>0</v>
      </c>
      <c r="U150" s="127" t="n">
        <v>0</v>
      </c>
    </row>
    <row r="151" ht="15" customHeight="1" s="107">
      <c r="A151" s="125">
        <f>'CEI CARANGOLA'!B5</f>
        <v/>
      </c>
      <c r="B151" s="126">
        <f>HYPERLINK("#'CEI CARANGOLA'!A1",'CEI CARANGOLA'!B2)</f>
        <v/>
      </c>
      <c r="C151" s="127" t="n">
        <v>0</v>
      </c>
      <c r="D151" s="127" t="n">
        <v>0</v>
      </c>
      <c r="E151" s="127" t="n">
        <v>0</v>
      </c>
      <c r="F151" s="127" t="n">
        <v>0</v>
      </c>
      <c r="G151" s="127" t="n">
        <v>0</v>
      </c>
      <c r="H151" s="127" t="n">
        <v>0</v>
      </c>
      <c r="I151" s="127" t="n">
        <v>0</v>
      </c>
      <c r="J151" s="127" t="n">
        <v>0</v>
      </c>
      <c r="K151" s="127" t="n">
        <v>0</v>
      </c>
      <c r="L151" s="127" t="n">
        <v>0</v>
      </c>
      <c r="M151" s="127" t="n">
        <v>0</v>
      </c>
      <c r="N151" s="127" t="n">
        <v>0</v>
      </c>
      <c r="O151" s="127" t="n">
        <v>0</v>
      </c>
      <c r="P151" s="127" t="n">
        <v>0</v>
      </c>
      <c r="Q151" s="127" t="n">
        <v>0</v>
      </c>
      <c r="R151" s="127" t="n">
        <v>0</v>
      </c>
      <c r="S151" s="127" t="n">
        <v>0</v>
      </c>
      <c r="T151" s="127" t="n">
        <v>0</v>
      </c>
      <c r="U151" s="127" t="n">
        <v>0</v>
      </c>
    </row>
    <row r="152" ht="15" customHeight="1" s="107">
      <c r="A152" s="125">
        <f>'CEI CÉLIA LÔBO PAULO'!B5</f>
        <v/>
      </c>
      <c r="B152" s="126">
        <f>HYPERLINK("#'CEI CÉLIA LÔBO PAULO'!A1",'CEI CÉLIA LÔBO PAULO'!B2)</f>
        <v/>
      </c>
      <c r="C152" s="127" t="n">
        <v>0</v>
      </c>
      <c r="D152" s="127" t="n">
        <v>0</v>
      </c>
      <c r="E152" s="127" t="n">
        <v>0</v>
      </c>
      <c r="F152" s="127" t="n">
        <v>0</v>
      </c>
      <c r="G152" s="127" t="n">
        <v>0</v>
      </c>
      <c r="H152" s="127" t="n">
        <v>0</v>
      </c>
      <c r="I152" s="127" t="n">
        <v>0</v>
      </c>
      <c r="J152" s="127" t="n">
        <v>0</v>
      </c>
      <c r="K152" s="127" t="n">
        <v>0</v>
      </c>
      <c r="L152" s="127" t="n">
        <v>0</v>
      </c>
      <c r="M152" s="127" t="n">
        <v>0</v>
      </c>
      <c r="N152" s="127" t="n">
        <v>0</v>
      </c>
      <c r="O152" s="127" t="n">
        <v>0</v>
      </c>
      <c r="P152" s="127" t="n">
        <v>0</v>
      </c>
      <c r="Q152" s="127" t="n">
        <v>0</v>
      </c>
      <c r="R152" s="127" t="n">
        <v>0</v>
      </c>
      <c r="S152" s="127" t="n">
        <v>0</v>
      </c>
      <c r="T152" s="127" t="n">
        <v>0</v>
      </c>
      <c r="U152" s="127" t="n">
        <v>0</v>
      </c>
    </row>
    <row r="153" ht="15" customHeight="1" s="107">
      <c r="A153" s="125">
        <f>'CEI LIONS CLUBE DE PETRÓPOLIS'!B5</f>
        <v/>
      </c>
      <c r="B153" s="126">
        <f>HYPERLINK("#'CEI LIONS CLUBE DE PETRÓPOLIS'!A1",'CEI LIONS CLUBE DE PETRÓPOLIS'!B2)</f>
        <v/>
      </c>
      <c r="C153" s="127" t="n">
        <v>0</v>
      </c>
      <c r="D153" s="127" t="n">
        <v>0</v>
      </c>
      <c r="E153" s="127" t="n">
        <v>0</v>
      </c>
      <c r="F153" s="127" t="n">
        <v>0</v>
      </c>
      <c r="G153" s="127" t="n">
        <v>0</v>
      </c>
      <c r="H153" s="127" t="n">
        <v>0</v>
      </c>
      <c r="I153" s="127" t="n">
        <v>0</v>
      </c>
      <c r="J153" s="127" t="n">
        <v>0</v>
      </c>
      <c r="K153" s="127" t="n">
        <v>0</v>
      </c>
      <c r="L153" s="127" t="n">
        <v>0</v>
      </c>
      <c r="M153" s="127" t="n">
        <v>0</v>
      </c>
      <c r="N153" s="127" t="n">
        <v>0</v>
      </c>
      <c r="O153" s="127" t="n">
        <v>0</v>
      </c>
      <c r="P153" s="127" t="n">
        <v>0</v>
      </c>
      <c r="Q153" s="127" t="n">
        <v>0</v>
      </c>
      <c r="R153" s="127" t="n">
        <v>0</v>
      </c>
      <c r="S153" s="127" t="n">
        <v>0</v>
      </c>
      <c r="T153" s="127" t="n">
        <v>0</v>
      </c>
      <c r="U153" s="127" t="n">
        <v>0</v>
      </c>
    </row>
    <row r="154" ht="15" customHeight="1" s="107">
      <c r="A154" s="125">
        <f>'CEI PROFª GRAÇA COSTA'!B5</f>
        <v/>
      </c>
      <c r="B154" s="126">
        <f>HYPERLINK("#'CEI PROFª GRAÇA COSTA'!A1",'CEI PROFª GRAÇA COSTA'!B2)</f>
        <v/>
      </c>
      <c r="C154" s="127" t="n">
        <v>0</v>
      </c>
      <c r="D154" s="127" t="n">
        <v>0</v>
      </c>
      <c r="E154" s="127" t="n">
        <v>0</v>
      </c>
      <c r="F154" s="127" t="n">
        <v>0</v>
      </c>
      <c r="G154" s="127" t="n">
        <v>0</v>
      </c>
      <c r="H154" s="127" t="n">
        <v>0</v>
      </c>
      <c r="I154" s="127" t="n">
        <v>0</v>
      </c>
      <c r="J154" s="127" t="n">
        <v>0</v>
      </c>
      <c r="K154" s="127" t="n">
        <v>0</v>
      </c>
      <c r="L154" s="127" t="n">
        <v>0</v>
      </c>
      <c r="M154" s="127" t="n">
        <v>0</v>
      </c>
      <c r="N154" s="127" t="n">
        <v>0</v>
      </c>
      <c r="O154" s="127" t="n">
        <v>0</v>
      </c>
      <c r="P154" s="127" t="n">
        <v>0</v>
      </c>
      <c r="Q154" s="127" t="n">
        <v>0</v>
      </c>
      <c r="R154" s="127" t="n">
        <v>0</v>
      </c>
      <c r="S154" s="127" t="n">
        <v>0</v>
      </c>
      <c r="T154" s="127" t="n">
        <v>0</v>
      </c>
      <c r="U154" s="127" t="n">
        <v>0</v>
      </c>
    </row>
    <row r="155" ht="15" customHeight="1" s="107">
      <c r="A155" s="125">
        <f>'CEI ANGELA MARIA DA CONCEIÇÃO S'!B5</f>
        <v/>
      </c>
      <c r="B155" s="126">
        <f>HYPERLINK("#'CEI ANGELA MARIA DA CONCEIÇÃO S'!A1",'CEI ANGELA MARIA DA CONCEIÇÃO S'!B2)</f>
        <v/>
      </c>
      <c r="C155" s="127" t="n">
        <v>0</v>
      </c>
      <c r="D155" s="127" t="n">
        <v>0</v>
      </c>
      <c r="E155" s="127" t="n">
        <v>0</v>
      </c>
      <c r="F155" s="127" t="n">
        <v>0</v>
      </c>
      <c r="G155" s="127" t="n">
        <v>0</v>
      </c>
      <c r="H155" s="127" t="n">
        <v>0</v>
      </c>
      <c r="I155" s="127" t="n">
        <v>0</v>
      </c>
      <c r="J155" s="127" t="n">
        <v>0</v>
      </c>
      <c r="K155" s="127" t="n">
        <v>0</v>
      </c>
      <c r="L155" s="127" t="n">
        <v>0</v>
      </c>
      <c r="M155" s="127" t="n">
        <v>0</v>
      </c>
      <c r="N155" s="127" t="n">
        <v>0</v>
      </c>
      <c r="O155" s="127" t="n">
        <v>0</v>
      </c>
      <c r="P155" s="127" t="n">
        <v>0</v>
      </c>
      <c r="Q155" s="127" t="n">
        <v>0</v>
      </c>
      <c r="R155" s="127" t="n">
        <v>0</v>
      </c>
      <c r="S155" s="127" t="n">
        <v>0</v>
      </c>
      <c r="T155" s="127" t="n">
        <v>0</v>
      </c>
      <c r="U155" s="127" t="n">
        <v>0</v>
      </c>
    </row>
    <row r="156" ht="15" customHeight="1" s="107">
      <c r="A156" s="125">
        <f>'CEI LUIZ MARCHIORI'!B5</f>
        <v/>
      </c>
      <c r="B156" s="126">
        <f>HYPERLINK("#'CEI LUIZ MARCHIORI'!A1",'CEI LUIZ MARCHIORI'!B2)</f>
        <v/>
      </c>
      <c r="C156" s="127" t="n">
        <v>0</v>
      </c>
      <c r="D156" s="127" t="n">
        <v>0</v>
      </c>
      <c r="E156" s="127" t="n">
        <v>0</v>
      </c>
      <c r="F156" s="127" t="n">
        <v>0</v>
      </c>
      <c r="G156" s="127" t="n">
        <v>0</v>
      </c>
      <c r="H156" s="127" t="n">
        <v>0</v>
      </c>
      <c r="I156" s="127" t="n">
        <v>0</v>
      </c>
      <c r="J156" s="127" t="n">
        <v>0</v>
      </c>
      <c r="K156" s="127" t="n">
        <v>0</v>
      </c>
      <c r="L156" s="127" t="n">
        <v>0</v>
      </c>
      <c r="M156" s="127" t="n">
        <v>0</v>
      </c>
      <c r="N156" s="127" t="n">
        <v>0</v>
      </c>
      <c r="O156" s="127" t="n">
        <v>0</v>
      </c>
      <c r="P156" s="127" t="n">
        <v>0</v>
      </c>
      <c r="Q156" s="127" t="n">
        <v>0</v>
      </c>
      <c r="R156" s="127" t="n">
        <v>0</v>
      </c>
      <c r="S156" s="127" t="n">
        <v>0</v>
      </c>
      <c r="T156" s="127" t="n">
        <v>0</v>
      </c>
      <c r="U156" s="127" t="n">
        <v>0</v>
      </c>
    </row>
    <row r="157" ht="15" customHeight="1" s="107">
      <c r="A157" s="125">
        <f>'CEI PROFª MARLUCE DE SOUZA PEST'!B5</f>
        <v/>
      </c>
      <c r="B157" s="126">
        <f>HYPERLINK("#'CEI PROFª MARLUCE DE SOUZA PEST'!A1",'CEI PROFª MARLUCE DE SOUZA PEST'!B2)</f>
        <v/>
      </c>
      <c r="C157" s="127" t="n">
        <v>0</v>
      </c>
      <c r="D157" s="127" t="n">
        <v>0</v>
      </c>
      <c r="E157" s="127" t="n">
        <v>0</v>
      </c>
      <c r="F157" s="127" t="n">
        <v>0</v>
      </c>
      <c r="G157" s="127" t="n">
        <v>0</v>
      </c>
      <c r="H157" s="127" t="n">
        <v>0</v>
      </c>
      <c r="I157" s="127" t="n">
        <v>0</v>
      </c>
      <c r="J157" s="127" t="n">
        <v>0</v>
      </c>
      <c r="K157" s="127" t="n">
        <v>0</v>
      </c>
      <c r="L157" s="127" t="n">
        <v>0</v>
      </c>
      <c r="M157" s="127" t="n">
        <v>0</v>
      </c>
      <c r="N157" s="127" t="n">
        <v>0</v>
      </c>
      <c r="O157" s="127" t="n">
        <v>0</v>
      </c>
      <c r="P157" s="127" t="n">
        <v>0</v>
      </c>
      <c r="Q157" s="127" t="n">
        <v>0</v>
      </c>
      <c r="R157" s="127" t="n">
        <v>0</v>
      </c>
      <c r="S157" s="127" t="n">
        <v>0</v>
      </c>
      <c r="T157" s="127" t="n">
        <v>0</v>
      </c>
      <c r="U157" s="127" t="n">
        <v>0</v>
      </c>
    </row>
    <row r="158" ht="15" customHeight="1" s="107">
      <c r="A158" s="125">
        <f>'CEI OLÍVIA MACHADO DA COSTA NOG'!B5</f>
        <v/>
      </c>
      <c r="B158" s="126">
        <f>HYPERLINK("#'CEI OLÍVIA MACHADO DA COSTA NOG'!A1",'CEI OLÍVIA MACHADO DA COSTA NOG'!B2)</f>
        <v/>
      </c>
      <c r="C158" s="127" t="n">
        <v>0</v>
      </c>
      <c r="D158" s="127" t="n">
        <v>0</v>
      </c>
      <c r="E158" s="127" t="n">
        <v>0</v>
      </c>
      <c r="F158" s="127" t="n">
        <v>0</v>
      </c>
      <c r="G158" s="127" t="n">
        <v>0</v>
      </c>
      <c r="H158" s="127" t="n">
        <v>0</v>
      </c>
      <c r="I158" s="127" t="n">
        <v>0</v>
      </c>
      <c r="J158" s="127" t="n">
        <v>0</v>
      </c>
      <c r="K158" s="127" t="n">
        <v>0</v>
      </c>
      <c r="L158" s="127" t="n">
        <v>0</v>
      </c>
      <c r="M158" s="127" t="n">
        <v>0</v>
      </c>
      <c r="N158" s="127" t="n">
        <v>0</v>
      </c>
      <c r="O158" s="127" t="n">
        <v>0</v>
      </c>
      <c r="P158" s="127" t="n">
        <v>0</v>
      </c>
      <c r="Q158" s="127" t="n">
        <v>0</v>
      </c>
      <c r="R158" s="127" t="n">
        <v>0</v>
      </c>
      <c r="S158" s="127" t="n">
        <v>0</v>
      </c>
      <c r="T158" s="127" t="n">
        <v>0</v>
      </c>
      <c r="U158" s="127" t="n">
        <v>0</v>
      </c>
    </row>
    <row r="159" ht="15" customHeight="1" s="107">
      <c r="A159" s="125">
        <f>'CEI VILA IPANEMA'!B5</f>
        <v/>
      </c>
      <c r="B159" s="126">
        <f>HYPERLINK("#'CEI VILA IPANEMA'!A1",'CEI VILA IPANEMA'!B2)</f>
        <v/>
      </c>
      <c r="C159" s="127" t="n">
        <v>0</v>
      </c>
      <c r="D159" s="127" t="n">
        <v>0</v>
      </c>
      <c r="E159" s="127" t="n">
        <v>0</v>
      </c>
      <c r="F159" s="127" t="n">
        <v>0</v>
      </c>
      <c r="G159" s="127" t="n">
        <v>0</v>
      </c>
      <c r="H159" s="127" t="n">
        <v>0</v>
      </c>
      <c r="I159" s="127" t="n">
        <v>0</v>
      </c>
      <c r="J159" s="127" t="n">
        <v>0</v>
      </c>
      <c r="K159" s="127" t="n">
        <v>0</v>
      </c>
      <c r="L159" s="127" t="n">
        <v>0</v>
      </c>
      <c r="M159" s="127" t="n">
        <v>0</v>
      </c>
      <c r="N159" s="127" t="n">
        <v>0</v>
      </c>
      <c r="O159" s="127" t="n">
        <v>0</v>
      </c>
      <c r="P159" s="127" t="n">
        <v>0</v>
      </c>
      <c r="Q159" s="127" t="n">
        <v>0</v>
      </c>
      <c r="R159" s="127" t="n">
        <v>0</v>
      </c>
      <c r="S159" s="127" t="n">
        <v>0</v>
      </c>
      <c r="T159" s="127" t="n">
        <v>0</v>
      </c>
      <c r="U159" s="127" t="n">
        <v>0</v>
      </c>
    </row>
    <row r="160" ht="15" customHeight="1" s="107">
      <c r="A160" s="125">
        <f>'CEI VILA LEOPOLDINA'!B5</f>
        <v/>
      </c>
      <c r="B160" s="126">
        <f>HYPERLINK("#'CEI VILA LEOPOLDINA'!A1",'CEI VILA LEOPOLDINA'!B2)</f>
        <v/>
      </c>
      <c r="C160" s="127" t="n">
        <v>0</v>
      </c>
      <c r="D160" s="127" t="n">
        <v>0</v>
      </c>
      <c r="E160" s="127" t="n">
        <v>0</v>
      </c>
      <c r="F160" s="127" t="n">
        <v>0</v>
      </c>
      <c r="G160" s="127" t="n">
        <v>0</v>
      </c>
      <c r="H160" s="127" t="n">
        <v>0</v>
      </c>
      <c r="I160" s="127" t="n">
        <v>0</v>
      </c>
      <c r="J160" s="127" t="n">
        <v>0</v>
      </c>
      <c r="K160" s="127" t="n">
        <v>0</v>
      </c>
      <c r="L160" s="127" t="n">
        <v>0</v>
      </c>
      <c r="M160" s="127" t="n">
        <v>0</v>
      </c>
      <c r="N160" s="127" t="n">
        <v>0</v>
      </c>
      <c r="O160" s="127" t="n">
        <v>0</v>
      </c>
      <c r="P160" s="127" t="n">
        <v>0</v>
      </c>
      <c r="Q160" s="127" t="n">
        <v>0</v>
      </c>
      <c r="R160" s="127" t="n">
        <v>0</v>
      </c>
      <c r="S160" s="127" t="n">
        <v>0</v>
      </c>
      <c r="T160" s="127" t="n">
        <v>0</v>
      </c>
      <c r="U160" s="127" t="n">
        <v>0</v>
      </c>
    </row>
    <row r="161" ht="15" customHeight="1" s="107">
      <c r="A161" s="125">
        <f>'CENTRO DE EDUCAÇÃO INFANTIL CAS'!B5</f>
        <v/>
      </c>
      <c r="B161" s="126">
        <f>HYPERLINK("#'CENTRO DE EDUCAÇÃO INFANTIL CAS'!A1",'CENTRO DE EDUCAÇÃO INFANTIL CAS'!B2)</f>
        <v/>
      </c>
      <c r="C161" s="127" t="n">
        <v>0</v>
      </c>
      <c r="D161" s="127" t="n">
        <v>0</v>
      </c>
      <c r="E161" s="127" t="n">
        <v>0</v>
      </c>
      <c r="F161" s="127" t="n">
        <v>0</v>
      </c>
      <c r="G161" s="127" t="n">
        <v>0</v>
      </c>
      <c r="H161" s="127" t="n">
        <v>0</v>
      </c>
      <c r="I161" s="127" t="n">
        <v>0</v>
      </c>
      <c r="J161" s="127" t="n">
        <v>0</v>
      </c>
      <c r="K161" s="127" t="n">
        <v>0</v>
      </c>
      <c r="L161" s="127" t="n">
        <v>0</v>
      </c>
      <c r="M161" s="127" t="n">
        <v>0</v>
      </c>
      <c r="N161" s="127" t="n">
        <v>0</v>
      </c>
      <c r="O161" s="127" t="n">
        <v>0</v>
      </c>
      <c r="P161" s="127" t="n">
        <v>0</v>
      </c>
      <c r="Q161" s="127" t="n">
        <v>0</v>
      </c>
      <c r="R161" s="127" t="n">
        <v>0</v>
      </c>
      <c r="S161" s="127" t="n">
        <v>0</v>
      </c>
      <c r="T161" s="127" t="n">
        <v>0</v>
      </c>
      <c r="U161" s="127" t="n">
        <v>0</v>
      </c>
    </row>
    <row r="162" ht="15" customHeight="1" s="107">
      <c r="A162" s="125">
        <f>'CEI PRIMEIRA INFÂNCIA'!B5</f>
        <v/>
      </c>
      <c r="B162" s="126">
        <f>HYPERLINK("#'CEI PRIMEIRA INFÂNCIA'!A1",'CEI PRIMEIRA INFÂNCIA'!B2)</f>
        <v/>
      </c>
      <c r="C162" s="127" t="n">
        <v>0</v>
      </c>
      <c r="D162" s="127" t="n">
        <v>0</v>
      </c>
      <c r="E162" s="127" t="n">
        <v>0</v>
      </c>
      <c r="F162" s="127" t="n">
        <v>0</v>
      </c>
      <c r="G162" s="127" t="n">
        <v>0</v>
      </c>
      <c r="H162" s="127" t="n">
        <v>0</v>
      </c>
      <c r="I162" s="127" t="n">
        <v>0</v>
      </c>
      <c r="J162" s="127" t="n">
        <v>0</v>
      </c>
      <c r="K162" s="127" t="n">
        <v>0</v>
      </c>
      <c r="L162" s="127" t="n">
        <v>0</v>
      </c>
      <c r="M162" s="127" t="n">
        <v>0</v>
      </c>
      <c r="N162" s="127" t="n">
        <v>0</v>
      </c>
      <c r="O162" s="127" t="n">
        <v>0</v>
      </c>
      <c r="P162" s="127" t="n">
        <v>0</v>
      </c>
      <c r="Q162" s="127" t="n">
        <v>0</v>
      </c>
      <c r="R162" s="127" t="n">
        <v>0</v>
      </c>
      <c r="S162" s="127" t="n">
        <v>0</v>
      </c>
      <c r="T162" s="127" t="n">
        <v>0</v>
      </c>
      <c r="U162" s="127" t="n">
        <v>0</v>
      </c>
    </row>
    <row r="163" ht="15" customHeight="1" s="107">
      <c r="A163" s="125">
        <f>'CEI PROFª DORA KILLER'!B5</f>
        <v/>
      </c>
      <c r="B163" s="126">
        <f>HYPERLINK("#'CEI PROFª DORA KILLER'!A1",'CEI PROFª DORA KILLER'!B2)</f>
        <v/>
      </c>
      <c r="C163" s="127" t="n">
        <v>0</v>
      </c>
      <c r="D163" s="127" t="n">
        <v>0</v>
      </c>
      <c r="E163" s="127" t="n">
        <v>0</v>
      </c>
      <c r="F163" s="127" t="n">
        <v>0</v>
      </c>
      <c r="G163" s="127" t="n">
        <v>0</v>
      </c>
      <c r="H163" s="127" t="n">
        <v>0</v>
      </c>
      <c r="I163" s="127" t="n">
        <v>0</v>
      </c>
      <c r="J163" s="127" t="n">
        <v>0</v>
      </c>
      <c r="K163" s="127" t="n">
        <v>0</v>
      </c>
      <c r="L163" s="127" t="n">
        <v>0</v>
      </c>
      <c r="M163" s="127" t="n">
        <v>0</v>
      </c>
      <c r="N163" s="127" t="n">
        <v>0</v>
      </c>
      <c r="O163" s="127" t="n">
        <v>0</v>
      </c>
      <c r="P163" s="127" t="n">
        <v>0</v>
      </c>
      <c r="Q163" s="127" t="n">
        <v>0</v>
      </c>
      <c r="R163" s="127" t="n">
        <v>0</v>
      </c>
      <c r="S163" s="127" t="n">
        <v>0</v>
      </c>
      <c r="T163" s="127" t="n">
        <v>0</v>
      </c>
      <c r="U163" s="127" t="n">
        <v>0</v>
      </c>
    </row>
    <row r="164" ht="15" customHeight="1" s="107">
      <c r="A164" s="125">
        <f>'CEI PROFª PATRÍCIA FERREIRA E S'!B5</f>
        <v/>
      </c>
      <c r="B164" s="126">
        <f>HYPERLINK("#'CEI PROFª PATRÍCIA FERREIRA E S'!A1",'CEI PROFª PATRÍCIA FERREIRA E S'!B2)</f>
        <v/>
      </c>
      <c r="C164" s="127" t="n">
        <v>0</v>
      </c>
      <c r="D164" s="127" t="n">
        <v>0</v>
      </c>
      <c r="E164" s="127" t="n">
        <v>0</v>
      </c>
      <c r="F164" s="127" t="n">
        <v>0</v>
      </c>
      <c r="G164" s="127" t="n">
        <v>0</v>
      </c>
      <c r="H164" s="127" t="n">
        <v>0</v>
      </c>
      <c r="I164" s="127" t="n">
        <v>0</v>
      </c>
      <c r="J164" s="127" t="n">
        <v>0</v>
      </c>
      <c r="K164" s="127" t="n">
        <v>0</v>
      </c>
      <c r="L164" s="127" t="n">
        <v>0</v>
      </c>
      <c r="M164" s="127" t="n">
        <v>0</v>
      </c>
      <c r="N164" s="127" t="n">
        <v>0</v>
      </c>
      <c r="O164" s="127" t="n">
        <v>0</v>
      </c>
      <c r="P164" s="127" t="n">
        <v>0</v>
      </c>
      <c r="Q164" s="127" t="n">
        <v>0</v>
      </c>
      <c r="R164" s="127" t="n">
        <v>0</v>
      </c>
      <c r="S164" s="127" t="n">
        <v>0</v>
      </c>
      <c r="T164" s="127" t="n">
        <v>0</v>
      </c>
      <c r="U164" s="127" t="n">
        <v>0</v>
      </c>
    </row>
    <row r="165" ht="15" customHeight="1" s="107">
      <c r="A165" s="125">
        <f>'CEI DRA ZILDA ARNS NEUMANN'!B5</f>
        <v/>
      </c>
      <c r="B165" s="126">
        <f>HYPERLINK("#'CEI DRA ZILDA ARNS NEUMANN'!A1",'CEI DRA ZILDA ARNS NEUMANN'!B2)</f>
        <v/>
      </c>
      <c r="C165" s="127" t="n">
        <v>0</v>
      </c>
      <c r="D165" s="127" t="n">
        <v>0</v>
      </c>
      <c r="E165" s="127" t="n">
        <v>0</v>
      </c>
      <c r="F165" s="127" t="n">
        <v>0</v>
      </c>
      <c r="G165" s="127" t="n">
        <v>0</v>
      </c>
      <c r="H165" s="127" t="n">
        <v>0</v>
      </c>
      <c r="I165" s="127" t="n">
        <v>0</v>
      </c>
      <c r="J165" s="127" t="n">
        <v>0</v>
      </c>
      <c r="K165" s="127" t="n">
        <v>0</v>
      </c>
      <c r="L165" s="127" t="n">
        <v>0</v>
      </c>
      <c r="M165" s="127" t="n">
        <v>0</v>
      </c>
      <c r="N165" s="127" t="n">
        <v>0</v>
      </c>
      <c r="O165" s="127" t="n">
        <v>0</v>
      </c>
      <c r="P165" s="127" t="n">
        <v>0</v>
      </c>
      <c r="Q165" s="127" t="n">
        <v>0</v>
      </c>
      <c r="R165" s="127" t="n">
        <v>0</v>
      </c>
      <c r="S165" s="127" t="n">
        <v>0</v>
      </c>
      <c r="T165" s="127" t="n">
        <v>0</v>
      </c>
      <c r="U165" s="127" t="n">
        <v>0</v>
      </c>
    </row>
    <row r="166" ht="15" customHeight="1" s="107">
      <c r="A166" s="125">
        <f>'CEI DENISE BESSA DE OLIVA MAYA'!B5</f>
        <v/>
      </c>
      <c r="B166" s="126">
        <f>HYPERLINK("#'CEI DENISE BESSA DE OLIVA MAYA'!A1",'CEI DENISE BESSA DE OLIVA MAYA'!B2)</f>
        <v/>
      </c>
      <c r="C166" s="127" t="n">
        <v>0</v>
      </c>
      <c r="D166" s="127" t="n">
        <v>0</v>
      </c>
      <c r="E166" s="127" t="n">
        <v>0</v>
      </c>
      <c r="F166" s="127" t="n">
        <v>0</v>
      </c>
      <c r="G166" s="127" t="n">
        <v>0</v>
      </c>
      <c r="H166" s="127" t="n">
        <v>0</v>
      </c>
      <c r="I166" s="127" t="n">
        <v>0</v>
      </c>
      <c r="J166" s="127" t="n">
        <v>0</v>
      </c>
      <c r="K166" s="127" t="n">
        <v>0</v>
      </c>
      <c r="L166" s="127" t="n">
        <v>0</v>
      </c>
      <c r="M166" s="127" t="n">
        <v>0</v>
      </c>
      <c r="N166" s="127" t="n">
        <v>0</v>
      </c>
      <c r="O166" s="127" t="n">
        <v>0</v>
      </c>
      <c r="P166" s="127" t="n">
        <v>0</v>
      </c>
      <c r="Q166" s="127" t="n">
        <v>0</v>
      </c>
      <c r="R166" s="127" t="n">
        <v>0</v>
      </c>
      <c r="S166" s="127" t="n">
        <v>0</v>
      </c>
      <c r="T166" s="127" t="n">
        <v>0</v>
      </c>
      <c r="U166" s="127" t="n">
        <v>0</v>
      </c>
    </row>
    <row r="167" ht="15" customHeight="1" s="107">
      <c r="A167" s="125">
        <f>'CEI GIUSEPPE-NEVA VOLONTERIO'!B5</f>
        <v/>
      </c>
      <c r="B167" s="126">
        <f>HYPERLINK("#'CEI GIUSEPPE-NEVA VOLONTERIO'!A1",'CEI GIUSEPPE-NEVA VOLONTERIO'!B2)</f>
        <v/>
      </c>
      <c r="C167" s="127" t="n">
        <v>0</v>
      </c>
      <c r="D167" s="127" t="n">
        <v>0</v>
      </c>
      <c r="E167" s="127" t="n">
        <v>0</v>
      </c>
      <c r="F167" s="127" t="n">
        <v>0</v>
      </c>
      <c r="G167" s="127" t="n">
        <v>0</v>
      </c>
      <c r="H167" s="127" t="n">
        <v>0</v>
      </c>
      <c r="I167" s="127" t="n">
        <v>0</v>
      </c>
      <c r="J167" s="127" t="n">
        <v>0</v>
      </c>
      <c r="K167" s="127" t="n">
        <v>0</v>
      </c>
      <c r="L167" s="127" t="n">
        <v>0</v>
      </c>
      <c r="M167" s="127" t="n">
        <v>0</v>
      </c>
      <c r="N167" s="127" t="n">
        <v>0</v>
      </c>
      <c r="O167" s="127" t="n">
        <v>0</v>
      </c>
      <c r="P167" s="127" t="n">
        <v>0</v>
      </c>
      <c r="Q167" s="127" t="n">
        <v>0</v>
      </c>
      <c r="R167" s="127" t="n">
        <v>0</v>
      </c>
      <c r="S167" s="127" t="n">
        <v>0</v>
      </c>
      <c r="T167" s="127" t="n">
        <v>0</v>
      </c>
      <c r="U167" s="127" t="n">
        <v>0</v>
      </c>
    </row>
    <row r="168" ht="15" customHeight="1" s="107">
      <c r="A168" s="125">
        <f>'CENTRO DE EDUCAÇÃO INFANTIL LOT'!B5</f>
        <v/>
      </c>
      <c r="B168" s="126">
        <f>HYPERLINK("#'CENTRO DE EDUCAÇÃO INFANTIL LOT'!A1",'CENTRO DE EDUCAÇÃO INFANTIL LOT'!B2)</f>
        <v/>
      </c>
      <c r="C168" s="127" t="n">
        <v>0</v>
      </c>
      <c r="D168" s="127" t="n">
        <v>0</v>
      </c>
      <c r="E168" s="127" t="n">
        <v>0</v>
      </c>
      <c r="F168" s="127" t="n">
        <v>0</v>
      </c>
      <c r="G168" s="127" t="n">
        <v>0</v>
      </c>
      <c r="H168" s="127" t="n">
        <v>0</v>
      </c>
      <c r="I168" s="127" t="n">
        <v>0</v>
      </c>
      <c r="J168" s="127" t="n">
        <v>0</v>
      </c>
      <c r="K168" s="127" t="n">
        <v>0</v>
      </c>
      <c r="L168" s="127" t="n">
        <v>0</v>
      </c>
      <c r="M168" s="127" t="n">
        <v>0</v>
      </c>
      <c r="N168" s="127" t="n">
        <v>0</v>
      </c>
      <c r="O168" s="127" t="n">
        <v>0</v>
      </c>
      <c r="P168" s="127" t="n">
        <v>0</v>
      </c>
      <c r="Q168" s="127" t="n">
        <v>0</v>
      </c>
      <c r="R168" s="127" t="n">
        <v>0</v>
      </c>
      <c r="S168" s="127" t="n">
        <v>0</v>
      </c>
      <c r="T168" s="127" t="n">
        <v>0</v>
      </c>
      <c r="U168" s="127" t="n">
        <v>0</v>
      </c>
    </row>
    <row r="169" ht="15" customHeight="1" s="107">
      <c r="A169" s="125">
        <f>'CEI IRINEU MARINHO'!B5</f>
        <v/>
      </c>
      <c r="B169" s="126">
        <f>HYPERLINK("#'CEI IRINEU MARINHO'!A1",'CEI IRINEU MARINHO'!B2)</f>
        <v/>
      </c>
      <c r="C169" s="127" t="n">
        <v>0</v>
      </c>
      <c r="D169" s="127" t="n">
        <v>0</v>
      </c>
      <c r="E169" s="127" t="n">
        <v>0</v>
      </c>
      <c r="F169" s="127" t="n">
        <v>0</v>
      </c>
      <c r="G169" s="127" t="n">
        <v>0</v>
      </c>
      <c r="H169" s="127" t="n">
        <v>0</v>
      </c>
      <c r="I169" s="127" t="n">
        <v>0</v>
      </c>
      <c r="J169" s="127" t="n">
        <v>0</v>
      </c>
      <c r="K169" s="127" t="n">
        <v>0</v>
      </c>
      <c r="L169" s="127" t="n">
        <v>0</v>
      </c>
      <c r="M169" s="127" t="n">
        <v>0</v>
      </c>
      <c r="N169" s="127" t="n">
        <v>0</v>
      </c>
      <c r="O169" s="127" t="n">
        <v>0</v>
      </c>
      <c r="P169" s="127" t="n">
        <v>0</v>
      </c>
      <c r="Q169" s="127" t="n">
        <v>0</v>
      </c>
      <c r="R169" s="127" t="n">
        <v>0</v>
      </c>
      <c r="S169" s="127" t="n">
        <v>0</v>
      </c>
      <c r="T169" s="127" t="n">
        <v>0</v>
      </c>
      <c r="U169" s="127" t="n">
        <v>0</v>
      </c>
    </row>
    <row r="170" ht="15" customHeight="1" s="107">
      <c r="A170" s="125">
        <f>'CEI OSWALDO CRUZ'!B5</f>
        <v/>
      </c>
      <c r="B170" s="126">
        <f>HYPERLINK("#'CEI OSWALDO CRUZ'!A1",'CEI OSWALDO CRUZ'!B2)</f>
        <v/>
      </c>
      <c r="C170" s="127" t="n">
        <v>0</v>
      </c>
      <c r="D170" s="127" t="n">
        <v>0</v>
      </c>
      <c r="E170" s="127" t="n">
        <v>0</v>
      </c>
      <c r="F170" s="127" t="n">
        <v>0</v>
      </c>
      <c r="G170" s="127" t="n">
        <v>0</v>
      </c>
      <c r="H170" s="127" t="n">
        <v>0</v>
      </c>
      <c r="I170" s="127" t="n">
        <v>0</v>
      </c>
      <c r="J170" s="127" t="n">
        <v>0</v>
      </c>
      <c r="K170" s="127" t="n">
        <v>0</v>
      </c>
      <c r="L170" s="127" t="n">
        <v>0</v>
      </c>
      <c r="M170" s="127" t="n">
        <v>0</v>
      </c>
      <c r="N170" s="127" t="n">
        <v>0</v>
      </c>
      <c r="O170" s="127" t="n">
        <v>0</v>
      </c>
      <c r="P170" s="127" t="n">
        <v>0</v>
      </c>
      <c r="Q170" s="127" t="n">
        <v>0</v>
      </c>
      <c r="R170" s="127" t="n">
        <v>0</v>
      </c>
      <c r="S170" s="127" t="n">
        <v>0</v>
      </c>
      <c r="T170" s="127" t="n">
        <v>0</v>
      </c>
      <c r="U170" s="127" t="n">
        <v>0</v>
      </c>
    </row>
    <row r="171" ht="15" customHeight="1" s="107">
      <c r="A171" s="125">
        <f>'CEI ANA CAROLINA TELLES'!B5</f>
        <v/>
      </c>
      <c r="B171" s="126">
        <f>HYPERLINK("#'CEI ANA CAROLINA TELLES'!A1",'CEI ANA CAROLINA TELLES'!B2)</f>
        <v/>
      </c>
      <c r="C171" s="127" t="n">
        <v>0</v>
      </c>
      <c r="D171" s="127" t="n">
        <v>0</v>
      </c>
      <c r="E171" s="127" t="n">
        <v>0</v>
      </c>
      <c r="F171" s="127" t="n">
        <v>0</v>
      </c>
      <c r="G171" s="127" t="n">
        <v>0</v>
      </c>
      <c r="H171" s="127" t="n">
        <v>0</v>
      </c>
      <c r="I171" s="127" t="n">
        <v>0</v>
      </c>
      <c r="J171" s="127" t="n">
        <v>0</v>
      </c>
      <c r="K171" s="127" t="n">
        <v>0</v>
      </c>
      <c r="L171" s="127" t="n">
        <v>0</v>
      </c>
      <c r="M171" s="127" t="n">
        <v>0</v>
      </c>
      <c r="N171" s="127" t="n">
        <v>0</v>
      </c>
      <c r="O171" s="127" t="n">
        <v>0</v>
      </c>
      <c r="P171" s="127" t="n">
        <v>0</v>
      </c>
      <c r="Q171" s="127" t="n">
        <v>0</v>
      </c>
      <c r="R171" s="127" t="n">
        <v>0</v>
      </c>
      <c r="S171" s="127" t="n">
        <v>0</v>
      </c>
      <c r="T171" s="127" t="n">
        <v>0</v>
      </c>
      <c r="U171" s="127" t="n">
        <v>0</v>
      </c>
    </row>
    <row r="172" ht="15" customHeight="1" s="107">
      <c r="A172" s="125">
        <f>'CEI JOSÉ GONÇALVES DA MOTTA'!B5</f>
        <v/>
      </c>
      <c r="B172" s="126">
        <f>HYPERLINK("#'CEI JOSÉ GONÇALVES DA MOTTA'!A1",'CEI JOSÉ GONÇALVES DA MOTTA'!B2)</f>
        <v/>
      </c>
      <c r="C172" s="127" t="n">
        <v>0</v>
      </c>
      <c r="D172" s="127" t="n">
        <v>0</v>
      </c>
      <c r="E172" s="127" t="n">
        <v>0</v>
      </c>
      <c r="F172" s="127" t="n">
        <v>0</v>
      </c>
      <c r="G172" s="127" t="n">
        <v>0</v>
      </c>
      <c r="H172" s="127" t="n">
        <v>0</v>
      </c>
      <c r="I172" s="127" t="n">
        <v>0</v>
      </c>
      <c r="J172" s="127" t="n">
        <v>0</v>
      </c>
      <c r="K172" s="127" t="n">
        <v>0</v>
      </c>
      <c r="L172" s="127" t="n">
        <v>0</v>
      </c>
      <c r="M172" s="127" t="n">
        <v>0</v>
      </c>
      <c r="N172" s="127" t="n">
        <v>0</v>
      </c>
      <c r="O172" s="127" t="n">
        <v>0</v>
      </c>
      <c r="P172" s="127" t="n">
        <v>0</v>
      </c>
      <c r="Q172" s="127" t="n">
        <v>0</v>
      </c>
      <c r="R172" s="127" t="n">
        <v>0</v>
      </c>
      <c r="S172" s="127" t="n">
        <v>0</v>
      </c>
      <c r="T172" s="127" t="n">
        <v>0</v>
      </c>
      <c r="U172" s="127" t="n">
        <v>0</v>
      </c>
    </row>
    <row r="173" ht="15" customHeight="1" s="107">
      <c r="A173" s="125">
        <f>'CEI SAGRADA FAMÍLIA'!B5</f>
        <v/>
      </c>
      <c r="B173" s="126">
        <f>HYPERLINK("#'CEI SAGRADA FAMÍLIA'!A1",'CEI SAGRADA FAMÍLIA'!B2)</f>
        <v/>
      </c>
      <c r="C173" s="127" t="n">
        <v>0</v>
      </c>
      <c r="D173" s="127" t="n">
        <v>0</v>
      </c>
      <c r="E173" s="127" t="n">
        <v>0</v>
      </c>
      <c r="F173" s="127" t="n">
        <v>0</v>
      </c>
      <c r="G173" s="127" t="n">
        <v>0</v>
      </c>
      <c r="H173" s="127" t="n">
        <v>0</v>
      </c>
      <c r="I173" s="127" t="n">
        <v>0</v>
      </c>
      <c r="J173" s="127" t="n">
        <v>0</v>
      </c>
      <c r="K173" s="127" t="n">
        <v>0</v>
      </c>
      <c r="L173" s="127" t="n">
        <v>0</v>
      </c>
      <c r="M173" s="127" t="n">
        <v>0</v>
      </c>
      <c r="N173" s="127" t="n">
        <v>0</v>
      </c>
      <c r="O173" s="127" t="n">
        <v>0</v>
      </c>
      <c r="P173" s="127" t="n">
        <v>0</v>
      </c>
      <c r="Q173" s="127" t="n">
        <v>0</v>
      </c>
      <c r="R173" s="127" t="n">
        <v>0</v>
      </c>
      <c r="S173" s="127" t="n">
        <v>0</v>
      </c>
      <c r="T173" s="127" t="n">
        <v>0</v>
      </c>
      <c r="U173" s="127" t="n">
        <v>0</v>
      </c>
    </row>
    <row r="174" ht="15" customHeight="1" s="107">
      <c r="A174" s="125">
        <f>'CEI PROFª HERMÍNIA MATHEUS'!B5</f>
        <v/>
      </c>
      <c r="B174" s="126">
        <f>HYPERLINK("#'CEI PROFª HERMÍNIA MATHEUS'!A1",'CEI PROFª HERMÍNIA MATHEUS'!B2)</f>
        <v/>
      </c>
      <c r="C174" s="127" t="n">
        <v>0</v>
      </c>
      <c r="D174" s="127" t="n">
        <v>0</v>
      </c>
      <c r="E174" s="127" t="n">
        <v>0</v>
      </c>
      <c r="F174" s="127" t="n">
        <v>0</v>
      </c>
      <c r="G174" s="127" t="n">
        <v>0</v>
      </c>
      <c r="H174" s="127" t="n">
        <v>0</v>
      </c>
      <c r="I174" s="127" t="n">
        <v>0</v>
      </c>
      <c r="J174" s="127" t="n">
        <v>0</v>
      </c>
      <c r="K174" s="127" t="n">
        <v>0</v>
      </c>
      <c r="L174" s="127" t="n">
        <v>0</v>
      </c>
      <c r="M174" s="127" t="n">
        <v>0</v>
      </c>
      <c r="N174" s="127" t="n">
        <v>0</v>
      </c>
      <c r="O174" s="127" t="n">
        <v>0</v>
      </c>
      <c r="P174" s="127" t="n">
        <v>0</v>
      </c>
      <c r="Q174" s="127" t="n">
        <v>0</v>
      </c>
      <c r="R174" s="127" t="n">
        <v>0</v>
      </c>
      <c r="S174" s="127" t="n">
        <v>0</v>
      </c>
      <c r="T174" s="127" t="n">
        <v>0</v>
      </c>
      <c r="U174" s="127" t="n">
        <v>0</v>
      </c>
    </row>
    <row r="175" ht="15" customHeight="1" s="107">
      <c r="A175" s="125">
        <f>'CENTRO DE EDUCAÇÃO INFANTIL PRO'!B5</f>
        <v/>
      </c>
      <c r="B175" s="126">
        <f>HYPERLINK("#'CENTRO DE EDUCAÇÃO INFANTIL PRO'!A1",'CENTRO DE EDUCAÇÃO INFANTIL PRO'!B2)</f>
        <v/>
      </c>
      <c r="C175" s="127" t="n">
        <v>0</v>
      </c>
      <c r="D175" s="127" t="n">
        <v>0</v>
      </c>
      <c r="E175" s="127" t="n">
        <v>0</v>
      </c>
      <c r="F175" s="127" t="n">
        <v>0</v>
      </c>
      <c r="G175" s="127" t="n">
        <v>0</v>
      </c>
      <c r="H175" s="127" t="n">
        <v>0</v>
      </c>
      <c r="I175" s="127" t="n">
        <v>0</v>
      </c>
      <c r="J175" s="127" t="n">
        <v>0</v>
      </c>
      <c r="K175" s="127" t="n">
        <v>0</v>
      </c>
      <c r="L175" s="127" t="n">
        <v>0</v>
      </c>
      <c r="M175" s="127" t="n">
        <v>0</v>
      </c>
      <c r="N175" s="127" t="n">
        <v>0</v>
      </c>
      <c r="O175" s="127" t="n">
        <v>0</v>
      </c>
      <c r="P175" s="127" t="n">
        <v>0</v>
      </c>
      <c r="Q175" s="127" t="n">
        <v>0</v>
      </c>
      <c r="R175" s="127" t="n">
        <v>0</v>
      </c>
      <c r="S175" s="127" t="n">
        <v>0</v>
      </c>
      <c r="T175" s="127" t="n">
        <v>0</v>
      </c>
      <c r="U175" s="127" t="n">
        <v>0</v>
      </c>
    </row>
    <row r="176" ht="15" customHeight="1" s="107">
      <c r="A176" s="125">
        <f>'CEI MONSENHOR PAULO ELIAS DAHER'!B5</f>
        <v/>
      </c>
      <c r="B176" s="126">
        <f>HYPERLINK("#'CEI MONSENHOR PAULO ELIAS DAHER'!A1",'CEI MONSENHOR PAULO ELIAS DAHER'!B2)</f>
        <v/>
      </c>
      <c r="C176" s="127" t="n">
        <v>0</v>
      </c>
      <c r="D176" s="127" t="n">
        <v>0</v>
      </c>
      <c r="E176" s="127" t="n">
        <v>0</v>
      </c>
      <c r="F176" s="127" t="n">
        <v>0</v>
      </c>
      <c r="G176" s="127" t="n">
        <v>0</v>
      </c>
      <c r="H176" s="127" t="n">
        <v>0</v>
      </c>
      <c r="I176" s="127" t="n">
        <v>0</v>
      </c>
      <c r="J176" s="127" t="n">
        <v>0</v>
      </c>
      <c r="K176" s="127" t="n">
        <v>0</v>
      </c>
      <c r="L176" s="127" t="n">
        <v>0</v>
      </c>
      <c r="M176" s="127" t="n">
        <v>0</v>
      </c>
      <c r="N176" s="127" t="n">
        <v>0</v>
      </c>
      <c r="O176" s="127" t="n">
        <v>0</v>
      </c>
      <c r="P176" s="127" t="n">
        <v>0</v>
      </c>
      <c r="Q176" s="127" t="n">
        <v>0</v>
      </c>
      <c r="R176" s="127" t="n">
        <v>0</v>
      </c>
      <c r="S176" s="127" t="n">
        <v>0</v>
      </c>
      <c r="T176" s="127" t="n">
        <v>0</v>
      </c>
      <c r="U176" s="127" t="n">
        <v>0</v>
      </c>
    </row>
    <row r="177" ht="15" customHeight="1" s="107">
      <c r="A177" s="125">
        <f>'CEI DAGMAR ROLANDO DE OLIVEIRA'!B5</f>
        <v/>
      </c>
      <c r="B177" s="126">
        <f>HYPERLINK("#'CEI DAGMAR ROLANDO DE OLIVEIRA'!A1",'CEI DAGMAR ROLANDO DE OLIVEIRA'!B2)</f>
        <v/>
      </c>
      <c r="C177" s="127" t="n">
        <v>0</v>
      </c>
      <c r="D177" s="127" t="n">
        <v>0</v>
      </c>
      <c r="E177" s="127" t="n">
        <v>0</v>
      </c>
      <c r="F177" s="127" t="n">
        <v>0</v>
      </c>
      <c r="G177" s="127" t="n">
        <v>0</v>
      </c>
      <c r="H177" s="127" t="n">
        <v>0</v>
      </c>
      <c r="I177" s="127" t="n">
        <v>0</v>
      </c>
      <c r="J177" s="127" t="n">
        <v>0</v>
      </c>
      <c r="K177" s="127" t="n">
        <v>0</v>
      </c>
      <c r="L177" s="127" t="n">
        <v>0</v>
      </c>
      <c r="M177" s="127" t="n">
        <v>0</v>
      </c>
      <c r="N177" s="127" t="n">
        <v>0</v>
      </c>
      <c r="O177" s="127" t="n">
        <v>0</v>
      </c>
      <c r="P177" s="127" t="n">
        <v>0</v>
      </c>
      <c r="Q177" s="127" t="n">
        <v>0</v>
      </c>
      <c r="R177" s="127" t="n">
        <v>0</v>
      </c>
      <c r="S177" s="127" t="n">
        <v>0</v>
      </c>
      <c r="T177" s="127" t="n">
        <v>0</v>
      </c>
      <c r="U177" s="127" t="n">
        <v>0</v>
      </c>
    </row>
    <row r="178" ht="15" customHeight="1" s="107">
      <c r="A178" s="125">
        <f>'CENTRO DE EDUCAÇÃO INFANTIL  2'!B5</f>
        <v/>
      </c>
      <c r="B178" s="126">
        <f>HYPERLINK("#'CENTRO DE EDUCAÇÃO INFANTIL  2'!A1",'CENTRO DE EDUCAÇÃO INFANTIL  2'!B2)</f>
        <v/>
      </c>
      <c r="C178" s="127" t="n">
        <v>0</v>
      </c>
      <c r="D178" s="127" t="n">
        <v>0</v>
      </c>
      <c r="E178" s="127" t="n">
        <v>0</v>
      </c>
      <c r="F178" s="127" t="n">
        <v>0</v>
      </c>
      <c r="G178" s="127" t="n">
        <v>0</v>
      </c>
      <c r="H178" s="127" t="n">
        <v>0</v>
      </c>
      <c r="I178" s="127" t="n">
        <v>0</v>
      </c>
      <c r="J178" s="127" t="n">
        <v>0</v>
      </c>
      <c r="K178" s="127" t="n">
        <v>0</v>
      </c>
      <c r="L178" s="127" t="n">
        <v>0</v>
      </c>
      <c r="M178" s="127" t="n">
        <v>0</v>
      </c>
      <c r="N178" s="127" t="n">
        <v>0</v>
      </c>
      <c r="O178" s="127" t="n">
        <v>0</v>
      </c>
      <c r="P178" s="127" t="n">
        <v>0</v>
      </c>
      <c r="Q178" s="127" t="n">
        <v>0</v>
      </c>
      <c r="R178" s="127" t="n">
        <v>0</v>
      </c>
      <c r="S178" s="127" t="n">
        <v>0</v>
      </c>
      <c r="T178" s="127" t="n">
        <v>0</v>
      </c>
      <c r="U178" s="127" t="n">
        <v>0</v>
      </c>
    </row>
    <row r="179" ht="15" customHeight="1" s="107">
      <c r="A179" s="125">
        <f>'CEI BOA VISTA'!B5</f>
        <v/>
      </c>
      <c r="B179" s="126">
        <f>HYPERLINK("#'CEI BOA VISTA'!A1",'CEI BOA VISTA'!B2)</f>
        <v/>
      </c>
      <c r="C179" s="127" t="n">
        <v>0</v>
      </c>
      <c r="D179" s="127" t="n">
        <v>0</v>
      </c>
      <c r="E179" s="127" t="n">
        <v>0</v>
      </c>
      <c r="F179" s="127" t="n">
        <v>0</v>
      </c>
      <c r="G179" s="127" t="n">
        <v>0</v>
      </c>
      <c r="H179" s="127" t="n">
        <v>0</v>
      </c>
      <c r="I179" s="127" t="n">
        <v>0</v>
      </c>
      <c r="J179" s="127" t="n">
        <v>0</v>
      </c>
      <c r="K179" s="127" t="n">
        <v>0</v>
      </c>
      <c r="L179" s="127" t="n">
        <v>0</v>
      </c>
      <c r="M179" s="127" t="n">
        <v>0</v>
      </c>
      <c r="N179" s="127" t="n">
        <v>0</v>
      </c>
      <c r="O179" s="127" t="n">
        <v>0</v>
      </c>
      <c r="P179" s="127" t="n">
        <v>0</v>
      </c>
      <c r="Q179" s="127" t="n">
        <v>0</v>
      </c>
      <c r="R179" s="127" t="n">
        <v>0</v>
      </c>
      <c r="S179" s="127" t="n">
        <v>0</v>
      </c>
      <c r="T179" s="127" t="n">
        <v>0</v>
      </c>
      <c r="U179" s="127" t="n">
        <v>0</v>
      </c>
    </row>
    <row r="180" ht="15" customHeight="1" s="107">
      <c r="A180" s="125">
        <f>'CEI NILO PEÇANHA'!B5</f>
        <v/>
      </c>
      <c r="B180" s="126">
        <f>HYPERLINK("#'CEI NILO PEÇANHA'!A1",'CEI NILO PEÇANHA'!B2)</f>
        <v/>
      </c>
      <c r="C180" s="127" t="n">
        <v>0</v>
      </c>
      <c r="D180" s="127" t="n">
        <v>0</v>
      </c>
      <c r="E180" s="127" t="n">
        <v>0</v>
      </c>
      <c r="F180" s="127" t="n">
        <v>0</v>
      </c>
      <c r="G180" s="127" t="n">
        <v>0</v>
      </c>
      <c r="H180" s="127" t="n">
        <v>0</v>
      </c>
      <c r="I180" s="127" t="n">
        <v>0</v>
      </c>
      <c r="J180" s="127" t="n">
        <v>0</v>
      </c>
      <c r="K180" s="127" t="n">
        <v>0</v>
      </c>
      <c r="L180" s="127" t="n">
        <v>0</v>
      </c>
      <c r="M180" s="127" t="n">
        <v>0</v>
      </c>
      <c r="N180" s="127" t="n">
        <v>0</v>
      </c>
      <c r="O180" s="127" t="n">
        <v>0</v>
      </c>
      <c r="P180" s="127" t="n">
        <v>0</v>
      </c>
      <c r="Q180" s="127" t="n">
        <v>0</v>
      </c>
      <c r="R180" s="127" t="n">
        <v>0</v>
      </c>
      <c r="S180" s="127" t="n">
        <v>0</v>
      </c>
      <c r="T180" s="127" t="n">
        <v>0</v>
      </c>
      <c r="U180" s="127" t="n">
        <v>0</v>
      </c>
    </row>
    <row r="181" ht="15" customHeight="1" s="107">
      <c r="A181" s="125">
        <f>'CENTRO DE EDUCAÇÃO INFANTIL AUG'!B5</f>
        <v/>
      </c>
      <c r="B181" s="126">
        <f>HYPERLINK("#'CENTRO DE EDUCAÇÃO INFANTIL AUG'!A1",'CENTRO DE EDUCAÇÃO INFANTIL AUG'!B2)</f>
        <v/>
      </c>
      <c r="C181" s="127" t="n">
        <v>0</v>
      </c>
      <c r="D181" s="127" t="n">
        <v>0</v>
      </c>
      <c r="E181" s="127" t="n">
        <v>0</v>
      </c>
      <c r="F181" s="127" t="n">
        <v>0</v>
      </c>
      <c r="G181" s="127" t="n">
        <v>0</v>
      </c>
      <c r="H181" s="127" t="n">
        <v>0</v>
      </c>
      <c r="I181" s="127" t="n">
        <v>0</v>
      </c>
      <c r="J181" s="127" t="n">
        <v>0</v>
      </c>
      <c r="K181" s="127" t="n">
        <v>0</v>
      </c>
      <c r="L181" s="127" t="n">
        <v>0</v>
      </c>
      <c r="M181" s="127" t="n">
        <v>0</v>
      </c>
      <c r="N181" s="127" t="n">
        <v>0</v>
      </c>
      <c r="O181" s="127" t="n">
        <v>0</v>
      </c>
      <c r="P181" s="127" t="n">
        <v>0</v>
      </c>
      <c r="Q181" s="127" t="n">
        <v>0</v>
      </c>
      <c r="R181" s="127" t="n">
        <v>0</v>
      </c>
      <c r="S181" s="127" t="n">
        <v>0</v>
      </c>
      <c r="T181" s="127" t="n">
        <v>0</v>
      </c>
      <c r="U181" s="127" t="n">
        <v>0</v>
      </c>
    </row>
    <row r="182" ht="15" customHeight="1" s="107">
      <c r="A182" s="125">
        <f>'CEI THEREZINHA DE JESUS LIMA'!B5</f>
        <v/>
      </c>
      <c r="B182" s="126">
        <f>HYPERLINK("#'CEI THEREZINHA DE JESUS LIMA'!A1",'CEI THEREZINHA DE JESUS LIMA'!B2)</f>
        <v/>
      </c>
      <c r="C182" s="127" t="n">
        <v>0</v>
      </c>
      <c r="D182" s="127" t="n">
        <v>0</v>
      </c>
      <c r="E182" s="127" t="n">
        <v>0</v>
      </c>
      <c r="F182" s="127" t="n">
        <v>0</v>
      </c>
      <c r="G182" s="127" t="n">
        <v>0</v>
      </c>
      <c r="H182" s="127" t="n">
        <v>0</v>
      </c>
      <c r="I182" s="127" t="n">
        <v>0</v>
      </c>
      <c r="J182" s="127" t="n">
        <v>0</v>
      </c>
      <c r="K182" s="127" t="n">
        <v>0</v>
      </c>
      <c r="L182" s="127" t="n">
        <v>0</v>
      </c>
      <c r="M182" s="127" t="n">
        <v>0</v>
      </c>
      <c r="N182" s="127" t="n">
        <v>0</v>
      </c>
      <c r="O182" s="127" t="n">
        <v>0</v>
      </c>
      <c r="P182" s="127" t="n">
        <v>0</v>
      </c>
      <c r="Q182" s="127" t="n">
        <v>0</v>
      </c>
      <c r="R182" s="127" t="n">
        <v>0</v>
      </c>
      <c r="S182" s="127" t="n">
        <v>0</v>
      </c>
      <c r="T182" s="127" t="n">
        <v>0</v>
      </c>
      <c r="U182" s="127" t="n">
        <v>0</v>
      </c>
    </row>
    <row r="183" ht="15" customHeight="1" s="107">
      <c r="A183" s="125">
        <f>'CEI VIDEIRINHA'!B5</f>
        <v/>
      </c>
      <c r="B183" s="126">
        <f>HYPERLINK("#'CEI VIDEIRINHA'!A1",'CEI VIDEIRINHA'!B2)</f>
        <v/>
      </c>
      <c r="C183" s="127" t="n">
        <v>0</v>
      </c>
      <c r="D183" s="127" t="n">
        <v>0</v>
      </c>
      <c r="E183" s="127" t="n">
        <v>0</v>
      </c>
      <c r="F183" s="127" t="n">
        <v>0</v>
      </c>
      <c r="G183" s="127" t="n">
        <v>0</v>
      </c>
      <c r="H183" s="127" t="n">
        <v>0</v>
      </c>
      <c r="I183" s="127" t="n">
        <v>0</v>
      </c>
      <c r="J183" s="127" t="n">
        <v>0</v>
      </c>
      <c r="K183" s="127" t="n">
        <v>0</v>
      </c>
      <c r="L183" s="127" t="n">
        <v>0</v>
      </c>
      <c r="M183" s="127" t="n">
        <v>0</v>
      </c>
      <c r="N183" s="127" t="n">
        <v>0</v>
      </c>
      <c r="O183" s="127" t="n">
        <v>0</v>
      </c>
      <c r="P183" s="127" t="n">
        <v>0</v>
      </c>
      <c r="Q183" s="127" t="n">
        <v>0</v>
      </c>
      <c r="R183" s="127" t="n">
        <v>0</v>
      </c>
      <c r="S183" s="127" t="n">
        <v>0</v>
      </c>
      <c r="T183" s="127" t="n">
        <v>0</v>
      </c>
      <c r="U183" s="127" t="n">
        <v>0</v>
      </c>
    </row>
    <row r="184" ht="15" customHeight="1" s="107">
      <c r="A184" s="125">
        <f>'CEI PROFª ADRIANA CONSTÂNCIO TR'!B5</f>
        <v/>
      </c>
      <c r="B184" s="126">
        <f>HYPERLINK("#'CEI PROFª ADRIANA CONSTÂNCIO TR'!A1",'CEI PROFª ADRIANA CONSTÂNCIO TR'!B2)</f>
        <v/>
      </c>
      <c r="C184" s="127" t="n">
        <v>0</v>
      </c>
      <c r="D184" s="127" t="n">
        <v>0</v>
      </c>
      <c r="E184" s="127" t="n">
        <v>0</v>
      </c>
      <c r="F184" s="127" t="n">
        <v>0</v>
      </c>
      <c r="G184" s="127" t="n">
        <v>0</v>
      </c>
      <c r="H184" s="127" t="n">
        <v>0</v>
      </c>
      <c r="I184" s="127" t="n">
        <v>0</v>
      </c>
      <c r="J184" s="127" t="n">
        <v>0</v>
      </c>
      <c r="K184" s="127" t="n">
        <v>0</v>
      </c>
      <c r="L184" s="127" t="n">
        <v>0</v>
      </c>
      <c r="M184" s="127" t="n">
        <v>0</v>
      </c>
      <c r="N184" s="127" t="n">
        <v>0</v>
      </c>
      <c r="O184" s="127" t="n">
        <v>0</v>
      </c>
      <c r="P184" s="127" t="n">
        <v>0</v>
      </c>
      <c r="Q184" s="127" t="n">
        <v>0</v>
      </c>
      <c r="R184" s="127" t="n">
        <v>0</v>
      </c>
      <c r="S184" s="127" t="n">
        <v>0</v>
      </c>
      <c r="T184" s="127" t="n">
        <v>0</v>
      </c>
      <c r="U184" s="127" t="n">
        <v>0</v>
      </c>
    </row>
    <row r="185" ht="15" customHeight="1" s="107">
      <c r="A185" s="125">
        <f>'CENTRO DE EDUCAÇÃO INFANTIL SÉR'!B5</f>
        <v/>
      </c>
      <c r="B185" s="126">
        <f>HYPERLINK("#'CENTRO DE EDUCAÇÃO INFANTIL SÉR'!A1",'CENTRO DE EDUCAÇÃO INFANTIL SÉR'!B2)</f>
        <v/>
      </c>
      <c r="C185" s="127" t="n">
        <v>0</v>
      </c>
      <c r="D185" s="127" t="n">
        <v>0</v>
      </c>
      <c r="E185" s="127" t="n">
        <v>0</v>
      </c>
      <c r="F185" s="127" t="n">
        <v>0</v>
      </c>
      <c r="G185" s="127" t="n">
        <v>0</v>
      </c>
      <c r="H185" s="127" t="n">
        <v>0</v>
      </c>
      <c r="I185" s="127" t="n">
        <v>0</v>
      </c>
      <c r="J185" s="127" t="n">
        <v>0</v>
      </c>
      <c r="K185" s="127" t="n">
        <v>0</v>
      </c>
      <c r="L185" s="127" t="n">
        <v>0</v>
      </c>
      <c r="M185" s="127" t="n">
        <v>0</v>
      </c>
      <c r="N185" s="127" t="n">
        <v>0</v>
      </c>
      <c r="O185" s="127" t="n">
        <v>0</v>
      </c>
      <c r="P185" s="127" t="n">
        <v>0</v>
      </c>
      <c r="Q185" s="127" t="n">
        <v>0</v>
      </c>
      <c r="R185" s="127" t="n">
        <v>0</v>
      </c>
      <c r="S185" s="127" t="n">
        <v>0</v>
      </c>
      <c r="T185" s="127" t="n">
        <v>0</v>
      </c>
      <c r="U185" s="127" t="n">
        <v>0</v>
      </c>
    </row>
    <row r="186" ht="15" customHeight="1" s="107">
      <c r="A186" s="125">
        <f>'CEI JURACI PINTO DO AMARAL DE C'!B5</f>
        <v/>
      </c>
      <c r="B186" s="126">
        <f>HYPERLINK("#'CEI JURACI PINTO DO AMARAL DE C'!A1",'CEI JURACI PINTO DO AMARAL DE C'!B2)</f>
        <v/>
      </c>
      <c r="C186" s="127" t="n">
        <v>0</v>
      </c>
      <c r="D186" s="127" t="n">
        <v>0</v>
      </c>
      <c r="E186" s="127" t="n">
        <v>0</v>
      </c>
      <c r="F186" s="127" t="n">
        <v>0</v>
      </c>
      <c r="G186" s="127" t="n">
        <v>0</v>
      </c>
      <c r="H186" s="127" t="n">
        <v>0</v>
      </c>
      <c r="I186" s="127" t="n">
        <v>0</v>
      </c>
      <c r="J186" s="127" t="n">
        <v>0</v>
      </c>
      <c r="K186" s="127" t="n">
        <v>0</v>
      </c>
      <c r="L186" s="127" t="n">
        <v>0</v>
      </c>
      <c r="M186" s="127" t="n">
        <v>0</v>
      </c>
      <c r="N186" s="127" t="n">
        <v>0</v>
      </c>
      <c r="O186" s="127" t="n">
        <v>0</v>
      </c>
      <c r="P186" s="127" t="n">
        <v>0</v>
      </c>
      <c r="Q186" s="127" t="n">
        <v>0</v>
      </c>
      <c r="R186" s="127" t="n">
        <v>0</v>
      </c>
      <c r="S186" s="127" t="n">
        <v>0</v>
      </c>
      <c r="T186" s="127" t="n">
        <v>0</v>
      </c>
      <c r="U186" s="127" t="n">
        <v>0</v>
      </c>
    </row>
    <row r="187" ht="15" customHeight="1" s="107">
      <c r="A187" s="125">
        <f>'CEI NOSSA SENHORA DA GLÓRIA'!B5</f>
        <v/>
      </c>
      <c r="B187" s="126">
        <f>HYPERLINK("#'CEI NOSSA SENHORA DA GLÓRIA'!A1",'CEI NOSSA SENHORA DA GLÓRIA'!B2)</f>
        <v/>
      </c>
      <c r="C187" s="127" t="n">
        <v>0</v>
      </c>
      <c r="D187" s="127" t="n">
        <v>0</v>
      </c>
      <c r="E187" s="127" t="n">
        <v>0</v>
      </c>
      <c r="F187" s="127" t="n">
        <v>0</v>
      </c>
      <c r="G187" s="127" t="n">
        <v>0</v>
      </c>
      <c r="H187" s="127" t="n">
        <v>0</v>
      </c>
      <c r="I187" s="127" t="n">
        <v>0</v>
      </c>
      <c r="J187" s="127" t="n">
        <v>0</v>
      </c>
      <c r="K187" s="127" t="n">
        <v>0</v>
      </c>
      <c r="L187" s="127" t="n">
        <v>0</v>
      </c>
      <c r="M187" s="127" t="n">
        <v>0</v>
      </c>
      <c r="N187" s="127" t="n">
        <v>0</v>
      </c>
      <c r="O187" s="127" t="n">
        <v>0</v>
      </c>
      <c r="P187" s="127" t="n">
        <v>0</v>
      </c>
      <c r="Q187" s="127" t="n">
        <v>0</v>
      </c>
      <c r="R187" s="127" t="n">
        <v>0</v>
      </c>
      <c r="S187" s="127" t="n">
        <v>0</v>
      </c>
      <c r="T187" s="127" t="n">
        <v>0</v>
      </c>
      <c r="U187" s="127" t="n">
        <v>0</v>
      </c>
    </row>
    <row r="188" ht="15" customHeight="1" s="107">
      <c r="A188" s="125">
        <f>'CEI ALTO INDEPENDÊNCIA'!B5</f>
        <v/>
      </c>
      <c r="B188" s="126">
        <f>HYPERLINK("#'CEI ALTO INDEPENDÊNCIA'!A1",'CEI ALTO INDEPENDÊNCIA'!B2)</f>
        <v/>
      </c>
      <c r="C188" s="127" t="n">
        <v>0</v>
      </c>
      <c r="D188" s="127" t="n">
        <v>0</v>
      </c>
      <c r="E188" s="127" t="n">
        <v>0</v>
      </c>
      <c r="F188" s="127" t="n">
        <v>0</v>
      </c>
      <c r="G188" s="127" t="n">
        <v>0</v>
      </c>
      <c r="H188" s="127" t="n">
        <v>0</v>
      </c>
      <c r="I188" s="127" t="n">
        <v>0</v>
      </c>
      <c r="J188" s="127" t="n">
        <v>0</v>
      </c>
      <c r="K188" s="127" t="n">
        <v>0</v>
      </c>
      <c r="L188" s="127" t="n">
        <v>0</v>
      </c>
      <c r="M188" s="127" t="n">
        <v>0</v>
      </c>
      <c r="N188" s="127" t="n">
        <v>0</v>
      </c>
      <c r="O188" s="127" t="n">
        <v>0</v>
      </c>
      <c r="P188" s="127" t="n">
        <v>0</v>
      </c>
      <c r="Q188" s="127" t="n">
        <v>0</v>
      </c>
      <c r="R188" s="127" t="n">
        <v>0</v>
      </c>
      <c r="S188" s="127" t="n">
        <v>0</v>
      </c>
      <c r="T188" s="127" t="n">
        <v>0</v>
      </c>
      <c r="U188" s="127" t="n">
        <v>0</v>
      </c>
    </row>
    <row r="189" ht="15" customHeight="1" s="107">
      <c r="A189" s="125">
        <f>'CEI SÃO JOSÉ DAS OBLATAS DE NAZ'!B5</f>
        <v/>
      </c>
      <c r="B189" s="126">
        <f>HYPERLINK("#'CEI SÃO JOSÉ DAS OBLATAS DE NAZ'!A1",'CEI SÃO JOSÉ DAS OBLATAS DE NAZ'!B2)</f>
        <v/>
      </c>
      <c r="C189" s="127" t="n">
        <v>0</v>
      </c>
      <c r="D189" s="127" t="n">
        <v>0</v>
      </c>
      <c r="E189" s="127" t="n">
        <v>0</v>
      </c>
      <c r="F189" s="127" t="n">
        <v>0</v>
      </c>
      <c r="G189" s="127" t="n">
        <v>0</v>
      </c>
      <c r="H189" s="127" t="n">
        <v>0</v>
      </c>
      <c r="I189" s="127" t="n">
        <v>0</v>
      </c>
      <c r="J189" s="127" t="n">
        <v>0</v>
      </c>
      <c r="K189" s="127" t="n">
        <v>0</v>
      </c>
      <c r="L189" s="127" t="n">
        <v>0</v>
      </c>
      <c r="M189" s="127" t="n">
        <v>0</v>
      </c>
      <c r="N189" s="127" t="n">
        <v>0</v>
      </c>
      <c r="O189" s="127" t="n">
        <v>0</v>
      </c>
      <c r="P189" s="127" t="n">
        <v>0</v>
      </c>
      <c r="Q189" s="127" t="n">
        <v>0</v>
      </c>
      <c r="R189" s="127" t="n">
        <v>0</v>
      </c>
      <c r="S189" s="127" t="n">
        <v>0</v>
      </c>
      <c r="T189" s="127" t="n">
        <v>0</v>
      </c>
      <c r="U189" s="127" t="n">
        <v>0</v>
      </c>
    </row>
    <row r="190" ht="15" customHeight="1" s="107">
      <c r="A190" s="125">
        <f>'CEI SANTO ANTÔNIO AGOSTINHO'!B5</f>
        <v/>
      </c>
      <c r="B190" s="126">
        <f>HYPERLINK("#'CEI SANTO ANTÔNIO AGOSTINHO'!A1",'CEI SANTO ANTÔNIO AGOSTINHO'!B2)</f>
        <v/>
      </c>
      <c r="C190" s="127" t="n">
        <v>0</v>
      </c>
      <c r="D190" s="127" t="n">
        <v>0</v>
      </c>
      <c r="E190" s="127" t="n">
        <v>0</v>
      </c>
      <c r="F190" s="127" t="n">
        <v>0</v>
      </c>
      <c r="G190" s="127" t="n">
        <v>0</v>
      </c>
      <c r="H190" s="127" t="n">
        <v>0</v>
      </c>
      <c r="I190" s="127" t="n">
        <v>0</v>
      </c>
      <c r="J190" s="127" t="n">
        <v>0</v>
      </c>
      <c r="K190" s="127" t="n">
        <v>0</v>
      </c>
      <c r="L190" s="127" t="n">
        <v>0</v>
      </c>
      <c r="M190" s="127" t="n">
        <v>0</v>
      </c>
      <c r="N190" s="127" t="n">
        <v>0</v>
      </c>
      <c r="O190" s="127" t="n">
        <v>0</v>
      </c>
      <c r="P190" s="127" t="n">
        <v>0</v>
      </c>
      <c r="Q190" s="127" t="n">
        <v>0</v>
      </c>
      <c r="R190" s="127" t="n">
        <v>0</v>
      </c>
      <c r="S190" s="127" t="n">
        <v>0</v>
      </c>
      <c r="T190" s="127" t="n">
        <v>0</v>
      </c>
      <c r="U190" s="127" t="n">
        <v>0</v>
      </c>
    </row>
    <row r="191" ht="15" customHeight="1" s="107">
      <c r="A191" s="125">
        <f>'CEI SÃO CHARBEL'!B5</f>
        <v/>
      </c>
      <c r="B191" s="126">
        <f>HYPERLINK("#'CEI SÃO CHARBEL'!A1",'CEI SÃO CHARBEL'!B2)</f>
        <v/>
      </c>
      <c r="C191" s="127" t="n">
        <v>0</v>
      </c>
      <c r="D191" s="127" t="n">
        <v>0</v>
      </c>
      <c r="E191" s="127" t="n">
        <v>0</v>
      </c>
      <c r="F191" s="127" t="n">
        <v>0</v>
      </c>
      <c r="G191" s="127" t="n">
        <v>0</v>
      </c>
      <c r="H191" s="127" t="n">
        <v>0</v>
      </c>
      <c r="I191" s="127" t="n">
        <v>0</v>
      </c>
      <c r="J191" s="127" t="n">
        <v>0</v>
      </c>
      <c r="K191" s="127" t="n">
        <v>0</v>
      </c>
      <c r="L191" s="127" t="n">
        <v>0</v>
      </c>
      <c r="M191" s="127" t="n">
        <v>0</v>
      </c>
      <c r="N191" s="127" t="n">
        <v>0</v>
      </c>
      <c r="O191" s="127" t="n">
        <v>0</v>
      </c>
      <c r="P191" s="127" t="n">
        <v>0</v>
      </c>
      <c r="Q191" s="127" t="n">
        <v>0</v>
      </c>
      <c r="R191" s="127" t="n">
        <v>0</v>
      </c>
      <c r="S191" s="127" t="n">
        <v>0</v>
      </c>
      <c r="T191" s="127" t="n">
        <v>0</v>
      </c>
      <c r="U191" s="127" t="n">
        <v>0</v>
      </c>
    </row>
    <row r="192" ht="15" customHeight="1" s="107">
      <c r="A192" s="125">
        <f>'ASSOCIAÇÃO DA CRECHE SÃO FRANCI'!B5</f>
        <v/>
      </c>
      <c r="B192" s="126">
        <f>HYPERLINK("#'ASSOCIAÇÃO DA CRECHE SÃO FRANCI'!A1",'ASSOCIAÇÃO DA CRECHE SÃO FRANCI'!B2)</f>
        <v/>
      </c>
      <c r="C192" s="127" t="n">
        <v>0</v>
      </c>
      <c r="D192" s="127" t="n">
        <v>0</v>
      </c>
      <c r="E192" s="127" t="n">
        <v>0</v>
      </c>
      <c r="F192" s="127" t="n">
        <v>0</v>
      </c>
      <c r="G192" s="127" t="n">
        <v>0</v>
      </c>
      <c r="H192" s="127" t="n">
        <v>0</v>
      </c>
      <c r="I192" s="127" t="n">
        <v>0</v>
      </c>
      <c r="J192" s="127" t="n">
        <v>0</v>
      </c>
      <c r="K192" s="127" t="n">
        <v>0</v>
      </c>
      <c r="L192" s="127" t="n">
        <v>0</v>
      </c>
      <c r="M192" s="127" t="n">
        <v>0</v>
      </c>
      <c r="N192" s="127" t="n">
        <v>0</v>
      </c>
      <c r="O192" s="127" t="n">
        <v>0</v>
      </c>
      <c r="P192" s="127" t="n">
        <v>0</v>
      </c>
      <c r="Q192" s="127" t="n">
        <v>0</v>
      </c>
      <c r="R192" s="127" t="n">
        <v>0</v>
      </c>
      <c r="S192" s="127" t="n">
        <v>0</v>
      </c>
      <c r="T192" s="127" t="n">
        <v>0</v>
      </c>
      <c r="U192" s="127" t="n">
        <v>0</v>
      </c>
    </row>
    <row r="193" ht="15" customHeight="1" s="107">
      <c r="A193" s="125">
        <f>'CEI SÃO JOSÉ DO ITAMARATI'!B5</f>
        <v/>
      </c>
      <c r="B193" s="126">
        <f>HYPERLINK("#'CEI SÃO JOSÉ DO ITAMARATI'!A1",'CEI SÃO JOSÉ DO ITAMARATI'!B2)</f>
        <v/>
      </c>
      <c r="C193" s="127" t="n">
        <v>0</v>
      </c>
      <c r="D193" s="127" t="n">
        <v>0</v>
      </c>
      <c r="E193" s="127" t="n">
        <v>0</v>
      </c>
      <c r="F193" s="127" t="n">
        <v>0</v>
      </c>
      <c r="G193" s="127" t="n">
        <v>0</v>
      </c>
      <c r="H193" s="127" t="n">
        <v>0</v>
      </c>
      <c r="I193" s="127" t="n">
        <v>0</v>
      </c>
      <c r="J193" s="127" t="n">
        <v>0</v>
      </c>
      <c r="K193" s="127" t="n">
        <v>0</v>
      </c>
      <c r="L193" s="127" t="n">
        <v>0</v>
      </c>
      <c r="M193" s="127" t="n">
        <v>0</v>
      </c>
      <c r="N193" s="127" t="n">
        <v>0</v>
      </c>
      <c r="O193" s="127" t="n">
        <v>0</v>
      </c>
      <c r="P193" s="127" t="n">
        <v>0</v>
      </c>
      <c r="Q193" s="127" t="n">
        <v>0</v>
      </c>
      <c r="R193" s="127" t="n">
        <v>0</v>
      </c>
      <c r="S193" s="127" t="n">
        <v>0</v>
      </c>
      <c r="T193" s="127" t="n">
        <v>0</v>
      </c>
      <c r="U193" s="127" t="n">
        <v>0</v>
      </c>
    </row>
    <row r="194" ht="15" customHeight="1" s="107">
      <c r="A194" s="125">
        <f>'ASSOCIAÇÃO RECREAR'!B5</f>
        <v/>
      </c>
      <c r="B194" s="126">
        <f>HYPERLINK("#'ASSOCIAÇÃO RECREAR'!A1",'ASSOCIAÇÃO RECREAR'!B2)</f>
        <v/>
      </c>
      <c r="C194" s="127" t="n">
        <v>0</v>
      </c>
      <c r="D194" s="127" t="n">
        <v>0</v>
      </c>
      <c r="E194" s="127" t="n">
        <v>0</v>
      </c>
      <c r="F194" s="127" t="n">
        <v>0</v>
      </c>
      <c r="G194" s="127" t="n">
        <v>0</v>
      </c>
      <c r="H194" s="127" t="n">
        <v>0</v>
      </c>
      <c r="I194" s="127" t="n">
        <v>0</v>
      </c>
      <c r="J194" s="127" t="n">
        <v>0</v>
      </c>
      <c r="K194" s="127" t="n">
        <v>0</v>
      </c>
      <c r="L194" s="127" t="n">
        <v>0</v>
      </c>
      <c r="M194" s="127" t="n">
        <v>0</v>
      </c>
      <c r="N194" s="127" t="n">
        <v>0</v>
      </c>
      <c r="O194" s="127" t="n">
        <v>0</v>
      </c>
      <c r="P194" s="127" t="n">
        <v>0</v>
      </c>
      <c r="Q194" s="127" t="n">
        <v>0</v>
      </c>
      <c r="R194" s="127" t="n">
        <v>0</v>
      </c>
      <c r="S194" s="127" t="n">
        <v>0</v>
      </c>
      <c r="T194" s="127" t="n">
        <v>0</v>
      </c>
      <c r="U194" s="127" t="n">
        <v>0</v>
      </c>
    </row>
    <row r="195" ht="15" customHeight="1" s="107">
      <c r="A195" s="125">
        <f>'CRECHE-ESCOLA CASTELO SÃO MANOE'!B5</f>
        <v/>
      </c>
      <c r="B195" s="126">
        <f>HYPERLINK("#'CRECHE-ESCOLA CASTELO SÃO MANOE'!A1",'CRECHE-ESCOLA CASTELO SÃO MANOE'!B2)</f>
        <v/>
      </c>
      <c r="C195" s="127" t="n">
        <v>0</v>
      </c>
      <c r="D195" s="127" t="n">
        <v>0</v>
      </c>
      <c r="E195" s="127" t="n">
        <v>0</v>
      </c>
      <c r="F195" s="127" t="n">
        <v>0</v>
      </c>
      <c r="G195" s="127" t="n">
        <v>0</v>
      </c>
      <c r="H195" s="127" t="n">
        <v>0</v>
      </c>
      <c r="I195" s="127" t="n">
        <v>0</v>
      </c>
      <c r="J195" s="127" t="n">
        <v>0</v>
      </c>
      <c r="K195" s="127" t="n">
        <v>0</v>
      </c>
      <c r="L195" s="127" t="n">
        <v>0</v>
      </c>
      <c r="M195" s="127" t="n">
        <v>0</v>
      </c>
      <c r="N195" s="127" t="n">
        <v>0</v>
      </c>
      <c r="O195" s="127" t="n">
        <v>0</v>
      </c>
      <c r="P195" s="127" t="n">
        <v>0</v>
      </c>
      <c r="Q195" s="127" t="n">
        <v>0</v>
      </c>
      <c r="R195" s="127" t="n">
        <v>0</v>
      </c>
      <c r="S195" s="127" t="n">
        <v>0</v>
      </c>
      <c r="T195" s="127" t="n">
        <v>0</v>
      </c>
      <c r="U195" s="127" t="n">
        <v>0</v>
      </c>
    </row>
    <row r="196" ht="15" customHeight="1" s="107">
      <c r="A196" s="125">
        <f>'CENTRO DE EDUCAÇÃO INFANTIL SÃO'!B5</f>
        <v/>
      </c>
      <c r="B196" s="126">
        <f>HYPERLINK("#'CENTRO DE EDUCAÇÃO INFANTIL SÃO'!A1",'CENTRO DE EDUCAÇÃO INFANTIL SÃO'!B2)</f>
        <v/>
      </c>
      <c r="C196" s="127" t="n">
        <v>0</v>
      </c>
      <c r="D196" s="127" t="n">
        <v>0</v>
      </c>
      <c r="E196" s="127" t="n">
        <v>0</v>
      </c>
      <c r="F196" s="127" t="n">
        <v>0</v>
      </c>
      <c r="G196" s="127" t="n">
        <v>0</v>
      </c>
      <c r="H196" s="127" t="n">
        <v>0</v>
      </c>
      <c r="I196" s="127" t="n">
        <v>0</v>
      </c>
      <c r="J196" s="127" t="n">
        <v>0</v>
      </c>
      <c r="K196" s="127" t="n">
        <v>0</v>
      </c>
      <c r="L196" s="127" t="n">
        <v>0</v>
      </c>
      <c r="M196" s="127" t="n">
        <v>0</v>
      </c>
      <c r="N196" s="127" t="n">
        <v>0</v>
      </c>
      <c r="O196" s="127" t="n">
        <v>0</v>
      </c>
      <c r="P196" s="127" t="n">
        <v>0</v>
      </c>
      <c r="Q196" s="127" t="n">
        <v>0</v>
      </c>
      <c r="R196" s="127" t="n">
        <v>0</v>
      </c>
      <c r="S196" s="127" t="n">
        <v>0</v>
      </c>
      <c r="T196" s="127" t="n">
        <v>0</v>
      </c>
      <c r="U196" s="127" t="n">
        <v>0</v>
      </c>
    </row>
    <row r="197" ht="15" customHeight="1" s="107">
      <c r="A197" s="128" t="inlineStr">
        <is>
          <t>TOTAL</t>
        </is>
      </c>
      <c r="B197" s="129" t="inlineStr">
        <is>
          <t>PEDIDO ESCOLAS</t>
        </is>
      </c>
      <c r="C197" s="130">
        <f>SUM(C6:C196)</f>
        <v/>
      </c>
      <c r="D197" s="130">
        <f>SUM(D6:D196)</f>
        <v/>
      </c>
      <c r="E197" s="130">
        <f>SUM(E6:E196)</f>
        <v/>
      </c>
      <c r="F197" s="130">
        <f>SUM(F6:F196)</f>
        <v/>
      </c>
      <c r="G197" s="130">
        <f>SUM(G6:G196)</f>
        <v/>
      </c>
      <c r="H197" s="130">
        <f>SUM(H6:H196)</f>
        <v/>
      </c>
      <c r="I197" s="130">
        <f>SUM(I6:I196)</f>
        <v/>
      </c>
      <c r="J197" s="130">
        <f>SUM(J6:J196)</f>
        <v/>
      </c>
      <c r="K197" s="130">
        <f>SUM(K6:K196)</f>
        <v/>
      </c>
      <c r="L197" s="130">
        <f>SUM(L6:L196)</f>
        <v/>
      </c>
      <c r="M197" s="130">
        <f>SUM(M6:M196)</f>
        <v/>
      </c>
      <c r="N197" s="130">
        <f>SUM(N6:N196)</f>
        <v/>
      </c>
      <c r="O197" s="130">
        <f>SUM(O6:O196)</f>
        <v/>
      </c>
      <c r="P197" s="130">
        <f>SUM(P6:P196)</f>
        <v/>
      </c>
      <c r="Q197" s="130">
        <f>SUM(Q6:Q196)</f>
        <v/>
      </c>
      <c r="R197" s="130">
        <f>SUM(R6:R196)</f>
        <v/>
      </c>
      <c r="S197" s="130">
        <f>SUM(S6:S196)</f>
        <v/>
      </c>
      <c r="T197" s="130">
        <f>SUM(T6:T196)</f>
        <v/>
      </c>
      <c r="U197" s="130">
        <f>SUM(U6:U196)</f>
        <v/>
      </c>
    </row>
    <row r="199" ht="21.75" customHeight="1" s="107">
      <c r="A199" s="123" t="inlineStr">
        <is>
          <t>PEDIDO AOS PRODUTORES (kg) — o que vamos pedir para cada um trazer</t>
        </is>
      </c>
      <c r="C199" s="131" t="n"/>
      <c r="D199" s="131" t="n"/>
      <c r="E199" s="131" t="n"/>
      <c r="F199" s="131" t="n"/>
      <c r="G199" s="131" t="n"/>
      <c r="H199" s="131" t="n"/>
      <c r="I199" s="131" t="n"/>
      <c r="J199" s="131" t="n"/>
      <c r="K199" s="131" t="n"/>
      <c r="L199" s="131" t="n"/>
      <c r="M199" s="131" t="n"/>
      <c r="N199" s="131" t="n"/>
      <c r="O199" s="131" t="n"/>
      <c r="P199" s="131" t="n"/>
      <c r="Q199" s="131" t="n"/>
      <c r="R199" s="131" t="n"/>
      <c r="S199" s="131" t="n"/>
      <c r="T199" s="131" t="n"/>
      <c r="U199" s="131" t="n"/>
    </row>
    <row r="200" ht="30" customHeight="1" s="107">
      <c r="A200" s="124" t="inlineStr">
        <is>
          <t>—</t>
        </is>
      </c>
      <c r="B200" s="124" t="inlineStr">
        <is>
          <t>PRODUTOR</t>
        </is>
      </c>
      <c r="C200" s="124" t="inlineStr">
        <is>
          <t>Abacate</t>
        </is>
      </c>
      <c r="D200" s="124" t="inlineStr">
        <is>
          <t>Abobrinha</t>
        </is>
      </c>
      <c r="E200" s="124" t="inlineStr">
        <is>
          <t>Agrião</t>
        </is>
      </c>
      <c r="F200" s="124" t="inlineStr">
        <is>
          <t>Alface lisa</t>
        </is>
      </c>
      <c r="G200" s="124" t="inlineStr">
        <is>
          <t>Banana prata</t>
        </is>
      </c>
      <c r="H200" s="124" t="inlineStr">
        <is>
          <t>Batata inglesa</t>
        </is>
      </c>
      <c r="I200" s="124" t="inlineStr">
        <is>
          <t>Beterraba</t>
        </is>
      </c>
      <c r="J200" s="124" t="inlineStr">
        <is>
          <t>Brócolis</t>
        </is>
      </c>
      <c r="K200" s="124" t="inlineStr">
        <is>
          <t>Cenoura</t>
        </is>
      </c>
      <c r="L200" s="124" t="inlineStr">
        <is>
          <t>Cheiro verde</t>
        </is>
      </c>
      <c r="M200" s="124" t="inlineStr">
        <is>
          <t>Chuchu</t>
        </is>
      </c>
      <c r="N200" s="124" t="inlineStr">
        <is>
          <t>Couve manteiga</t>
        </is>
      </c>
      <c r="O200" s="124" t="inlineStr">
        <is>
          <t>Couve-flor</t>
        </is>
      </c>
      <c r="P200" s="124" t="inlineStr">
        <is>
          <t>Espinafre</t>
        </is>
      </c>
      <c r="Q200" s="124" t="inlineStr">
        <is>
          <t>Maçã gala</t>
        </is>
      </c>
      <c r="R200" s="124" t="inlineStr">
        <is>
          <t>Mel</t>
        </is>
      </c>
      <c r="S200" s="124" t="inlineStr">
        <is>
          <t>Ovos</t>
        </is>
      </c>
      <c r="T200" s="124" t="inlineStr">
        <is>
          <t>Repolho</t>
        </is>
      </c>
      <c r="U200" s="124" t="inlineStr">
        <is>
          <t>Tangerina ponkan</t>
        </is>
      </c>
    </row>
    <row r="201" ht="15" customHeight="1" s="107">
      <c r="A201" s="125" t="n"/>
      <c r="B201" s="126">
        <f>HYPERLINK("#'PROD - Ana C. C. R. Souza'!A1",'PROD - Ana C. C. R. Souza'!B2)</f>
        <v/>
      </c>
      <c r="C201" s="127" t="n">
        <v>0</v>
      </c>
      <c r="D201" s="127" t="n">
        <v>0</v>
      </c>
      <c r="E201" s="127" t="n">
        <v>0</v>
      </c>
      <c r="F201" s="127" t="n">
        <v>0</v>
      </c>
      <c r="G201" s="127" t="n">
        <v>0</v>
      </c>
      <c r="H201" s="127" t="n">
        <v>0</v>
      </c>
      <c r="I201" s="127" t="n">
        <v>0</v>
      </c>
      <c r="J201" s="127" t="n">
        <v>0</v>
      </c>
      <c r="K201" s="127" t="n">
        <v>0</v>
      </c>
      <c r="L201" s="127" t="n">
        <v>0</v>
      </c>
      <c r="M201" s="127" t="n">
        <v>0</v>
      </c>
      <c r="N201" s="127" t="n">
        <v>0</v>
      </c>
      <c r="O201" s="127" t="n">
        <v>0</v>
      </c>
      <c r="P201" s="127" t="n">
        <v>0</v>
      </c>
      <c r="Q201" s="127" t="n">
        <v>0</v>
      </c>
      <c r="R201" s="127" t="n">
        <v>0</v>
      </c>
      <c r="S201" s="127" t="n">
        <v>0</v>
      </c>
      <c r="T201" s="127" t="n">
        <v>0</v>
      </c>
      <c r="U201" s="127" t="n">
        <v>0</v>
      </c>
    </row>
    <row r="202" ht="15" customHeight="1" s="107">
      <c r="A202" s="125" t="n"/>
      <c r="B202" s="126">
        <f>HYPERLINK("#'PROD - Anderson Mello Quimas'!A1",'PROD - Anderson Mello Quimas'!B2)</f>
        <v/>
      </c>
      <c r="C202" s="127" t="n">
        <v>0</v>
      </c>
      <c r="D202" s="127" t="n">
        <v>0</v>
      </c>
      <c r="E202" s="127" t="n">
        <v>0</v>
      </c>
      <c r="F202" s="127" t="n">
        <v>0</v>
      </c>
      <c r="G202" s="127" t="n">
        <v>0</v>
      </c>
      <c r="H202" s="127" t="n">
        <v>0</v>
      </c>
      <c r="I202" s="127" t="n">
        <v>0</v>
      </c>
      <c r="J202" s="127" t="n">
        <v>0</v>
      </c>
      <c r="K202" s="127" t="n">
        <v>0</v>
      </c>
      <c r="L202" s="127" t="n">
        <v>0</v>
      </c>
      <c r="M202" s="127" t="n">
        <v>0</v>
      </c>
      <c r="N202" s="127" t="n">
        <v>0</v>
      </c>
      <c r="O202" s="127" t="n">
        <v>0</v>
      </c>
      <c r="P202" s="127" t="n">
        <v>0</v>
      </c>
      <c r="Q202" s="127" t="n">
        <v>0</v>
      </c>
      <c r="R202" s="127" t="n">
        <v>0</v>
      </c>
      <c r="S202" s="127" t="n">
        <v>0</v>
      </c>
      <c r="T202" s="127" t="n">
        <v>0</v>
      </c>
      <c r="U202" s="127" t="n">
        <v>0</v>
      </c>
    </row>
    <row r="203" ht="15" customHeight="1" s="107">
      <c r="A203" s="125" t="n"/>
      <c r="B203" s="126">
        <f>HYPERLINK("#'PROD - Armando Jose Silva'!A1",'PROD - Armando Jose Silva'!B2)</f>
        <v/>
      </c>
      <c r="C203" s="127" t="n">
        <v>0</v>
      </c>
      <c r="D203" s="127" t="n">
        <v>0</v>
      </c>
      <c r="E203" s="127" t="n">
        <v>0</v>
      </c>
      <c r="F203" s="127" t="n">
        <v>0</v>
      </c>
      <c r="G203" s="127" t="n">
        <v>0</v>
      </c>
      <c r="H203" s="127" t="n">
        <v>0</v>
      </c>
      <c r="I203" s="127" t="n">
        <v>0</v>
      </c>
      <c r="J203" s="127" t="n">
        <v>0</v>
      </c>
      <c r="K203" s="127" t="n">
        <v>0</v>
      </c>
      <c r="L203" s="127" t="n">
        <v>0</v>
      </c>
      <c r="M203" s="127" t="n">
        <v>0</v>
      </c>
      <c r="N203" s="127" t="n">
        <v>0</v>
      </c>
      <c r="O203" s="127" t="n">
        <v>0</v>
      </c>
      <c r="P203" s="127" t="n">
        <v>0</v>
      </c>
      <c r="Q203" s="127" t="n">
        <v>0</v>
      </c>
      <c r="R203" s="127" t="n">
        <v>0</v>
      </c>
      <c r="S203" s="127" t="n">
        <v>0</v>
      </c>
      <c r="T203" s="127" t="n">
        <v>0</v>
      </c>
      <c r="U203" s="127" t="n">
        <v>0</v>
      </c>
    </row>
    <row r="204" ht="15" customHeight="1" s="107">
      <c r="A204" s="125" t="n"/>
      <c r="B204" s="126">
        <f>HYPERLINK("#'PROD - Arnaldo Silva'!A1",'PROD - Arnaldo Silva'!B2)</f>
        <v/>
      </c>
      <c r="C204" s="127" t="n">
        <v>0</v>
      </c>
      <c r="D204" s="127" t="n">
        <v>0</v>
      </c>
      <c r="E204" s="127" t="n">
        <v>0</v>
      </c>
      <c r="F204" s="127" t="n">
        <v>0</v>
      </c>
      <c r="G204" s="127" t="n">
        <v>0</v>
      </c>
      <c r="H204" s="127" t="n">
        <v>0</v>
      </c>
      <c r="I204" s="127" t="n">
        <v>0</v>
      </c>
      <c r="J204" s="127" t="n">
        <v>0</v>
      </c>
      <c r="K204" s="127" t="n">
        <v>0</v>
      </c>
      <c r="L204" s="127" t="n">
        <v>0</v>
      </c>
      <c r="M204" s="127" t="n">
        <v>0</v>
      </c>
      <c r="N204" s="127" t="n">
        <v>0</v>
      </c>
      <c r="O204" s="127" t="n">
        <v>0</v>
      </c>
      <c r="P204" s="127" t="n">
        <v>0</v>
      </c>
      <c r="Q204" s="127" t="n">
        <v>0</v>
      </c>
      <c r="R204" s="127" t="n">
        <v>0</v>
      </c>
      <c r="S204" s="127" t="n">
        <v>0</v>
      </c>
      <c r="T204" s="127" t="n">
        <v>0</v>
      </c>
      <c r="U204" s="127" t="n">
        <v>0</v>
      </c>
    </row>
    <row r="205" ht="15" customHeight="1" s="107">
      <c r="A205" s="125" t="n"/>
      <c r="B205" s="126">
        <f>HYPERLINK("#'PROD - Claudeni R. Xavier'!A1",'PROD - Claudeni R. Xavier'!B2)</f>
        <v/>
      </c>
      <c r="C205" s="127" t="n">
        <v>0</v>
      </c>
      <c r="D205" s="127" t="n">
        <v>0</v>
      </c>
      <c r="E205" s="127" t="n">
        <v>0</v>
      </c>
      <c r="F205" s="127" t="n">
        <v>0</v>
      </c>
      <c r="G205" s="127" t="n">
        <v>0</v>
      </c>
      <c r="H205" s="127" t="n">
        <v>0</v>
      </c>
      <c r="I205" s="127" t="n">
        <v>0</v>
      </c>
      <c r="J205" s="127" t="n">
        <v>0</v>
      </c>
      <c r="K205" s="127" t="n">
        <v>0</v>
      </c>
      <c r="L205" s="127" t="n">
        <v>0</v>
      </c>
      <c r="M205" s="127" t="n">
        <v>0</v>
      </c>
      <c r="N205" s="127" t="n">
        <v>0</v>
      </c>
      <c r="O205" s="127" t="n">
        <v>0</v>
      </c>
      <c r="P205" s="127" t="n">
        <v>0</v>
      </c>
      <c r="Q205" s="127" t="n">
        <v>0</v>
      </c>
      <c r="R205" s="127" t="n">
        <v>0</v>
      </c>
      <c r="S205" s="127" t="n">
        <v>0</v>
      </c>
      <c r="T205" s="127" t="n">
        <v>0</v>
      </c>
      <c r="U205" s="127" t="n">
        <v>0</v>
      </c>
    </row>
    <row r="206" ht="15" customHeight="1" s="107">
      <c r="A206" s="125" t="n"/>
      <c r="B206" s="126">
        <f>HYPERLINK("#'PROD - Edson Jose Silva'!A1",'PROD - Edson Jose Silva'!B2)</f>
        <v/>
      </c>
      <c r="C206" s="127" t="n">
        <v>0</v>
      </c>
      <c r="D206" s="127" t="n">
        <v>0</v>
      </c>
      <c r="E206" s="127" t="n">
        <v>0</v>
      </c>
      <c r="F206" s="127" t="n">
        <v>0</v>
      </c>
      <c r="G206" s="127" t="n">
        <v>0</v>
      </c>
      <c r="H206" s="127" t="n">
        <v>0</v>
      </c>
      <c r="I206" s="127" t="n">
        <v>0</v>
      </c>
      <c r="J206" s="127" t="n">
        <v>0</v>
      </c>
      <c r="K206" s="127" t="n">
        <v>0</v>
      </c>
      <c r="L206" s="127" t="n">
        <v>0</v>
      </c>
      <c r="M206" s="127" t="n">
        <v>0</v>
      </c>
      <c r="N206" s="127" t="n">
        <v>0</v>
      </c>
      <c r="O206" s="127" t="n">
        <v>0</v>
      </c>
      <c r="P206" s="127" t="n">
        <v>0</v>
      </c>
      <c r="Q206" s="127" t="n">
        <v>0</v>
      </c>
      <c r="R206" s="127" t="n">
        <v>0</v>
      </c>
      <c r="S206" s="127" t="n">
        <v>0</v>
      </c>
      <c r="T206" s="127" t="n">
        <v>0</v>
      </c>
      <c r="U206" s="127" t="n">
        <v>0</v>
      </c>
    </row>
    <row r="207" ht="15" customHeight="1" s="107">
      <c r="A207" s="125" t="n"/>
      <c r="B207" s="126">
        <f>HYPERLINK("#'PROD - Gabriel Adriano Souza'!A1",'PROD - Gabriel Adriano Souza'!B2)</f>
        <v/>
      </c>
      <c r="C207" s="127" t="n">
        <v>0</v>
      </c>
      <c r="D207" s="127" t="n">
        <v>0</v>
      </c>
      <c r="E207" s="127" t="n">
        <v>0</v>
      </c>
      <c r="F207" s="127" t="n">
        <v>0</v>
      </c>
      <c r="G207" s="127" t="n">
        <v>0</v>
      </c>
      <c r="H207" s="127" t="n">
        <v>0</v>
      </c>
      <c r="I207" s="127" t="n">
        <v>0</v>
      </c>
      <c r="J207" s="127" t="n">
        <v>0</v>
      </c>
      <c r="K207" s="127" t="n">
        <v>0</v>
      </c>
      <c r="L207" s="127" t="n">
        <v>0</v>
      </c>
      <c r="M207" s="127" t="n">
        <v>0</v>
      </c>
      <c r="N207" s="127" t="n">
        <v>0</v>
      </c>
      <c r="O207" s="127" t="n">
        <v>0</v>
      </c>
      <c r="P207" s="127" t="n">
        <v>0</v>
      </c>
      <c r="Q207" s="127" t="n">
        <v>0</v>
      </c>
      <c r="R207" s="127" t="n">
        <v>0</v>
      </c>
      <c r="S207" s="127" t="n">
        <v>0</v>
      </c>
      <c r="T207" s="127" t="n">
        <v>0</v>
      </c>
      <c r="U207" s="127" t="n">
        <v>0</v>
      </c>
    </row>
    <row r="208" ht="15" customHeight="1" s="107">
      <c r="A208" s="125" t="n"/>
      <c r="B208" s="126">
        <f>HYPERLINK("#'PROD - Gustavo Mello Rodrigues'!A1",'PROD - Gustavo Mello Rodrigues'!B2)</f>
        <v/>
      </c>
      <c r="C208" s="127" t="n">
        <v>0</v>
      </c>
      <c r="D208" s="127" t="n">
        <v>0</v>
      </c>
      <c r="E208" s="127" t="n">
        <v>0</v>
      </c>
      <c r="F208" s="127" t="n">
        <v>0</v>
      </c>
      <c r="G208" s="127" t="n">
        <v>0</v>
      </c>
      <c r="H208" s="127" t="n">
        <v>0</v>
      </c>
      <c r="I208" s="127" t="n">
        <v>0</v>
      </c>
      <c r="J208" s="127" t="n">
        <v>0</v>
      </c>
      <c r="K208" s="127" t="n">
        <v>0</v>
      </c>
      <c r="L208" s="127" t="n">
        <v>0</v>
      </c>
      <c r="M208" s="127" t="n">
        <v>0</v>
      </c>
      <c r="N208" s="127" t="n">
        <v>0</v>
      </c>
      <c r="O208" s="127" t="n">
        <v>0</v>
      </c>
      <c r="P208" s="127" t="n">
        <v>0</v>
      </c>
      <c r="Q208" s="127" t="n">
        <v>0</v>
      </c>
      <c r="R208" s="127" t="n">
        <v>0</v>
      </c>
      <c r="S208" s="127" t="n">
        <v>0</v>
      </c>
      <c r="T208" s="127" t="n">
        <v>0</v>
      </c>
      <c r="U208" s="127" t="n">
        <v>0</v>
      </c>
    </row>
    <row r="209" ht="15" customHeight="1" s="107">
      <c r="A209" s="125" t="n"/>
      <c r="B209" s="126">
        <f>HYPERLINK("#'PROD - Joaquim Sergio Lage'!A1",'PROD - Joaquim Sergio Lage'!B2)</f>
        <v/>
      </c>
      <c r="C209" s="127" t="n">
        <v>0</v>
      </c>
      <c r="D209" s="127" t="n">
        <v>0</v>
      </c>
      <c r="E209" s="127" t="n">
        <v>0</v>
      </c>
      <c r="F209" s="127" t="n">
        <v>0</v>
      </c>
      <c r="G209" s="127" t="n">
        <v>0</v>
      </c>
      <c r="H209" s="127" t="n">
        <v>0</v>
      </c>
      <c r="I209" s="127" t="n">
        <v>0</v>
      </c>
      <c r="J209" s="127" t="n">
        <v>0</v>
      </c>
      <c r="K209" s="127" t="n">
        <v>0</v>
      </c>
      <c r="L209" s="127" t="n">
        <v>0</v>
      </c>
      <c r="M209" s="127" t="n">
        <v>0</v>
      </c>
      <c r="N209" s="127" t="n">
        <v>0</v>
      </c>
      <c r="O209" s="127" t="n">
        <v>0</v>
      </c>
      <c r="P209" s="127" t="n">
        <v>0</v>
      </c>
      <c r="Q209" s="127" t="n">
        <v>0</v>
      </c>
      <c r="R209" s="127" t="n">
        <v>0</v>
      </c>
      <c r="S209" s="127" t="n">
        <v>0</v>
      </c>
      <c r="T209" s="127" t="n">
        <v>0</v>
      </c>
      <c r="U209" s="127" t="n">
        <v>0</v>
      </c>
    </row>
    <row r="210" ht="15" customHeight="1" s="107">
      <c r="A210" s="125" t="n"/>
      <c r="B210" s="126">
        <f>HYPERLINK("#'PROD - Jorge G. P. Diniz'!A1",'PROD - Jorge G. P. Diniz'!B2)</f>
        <v/>
      </c>
      <c r="C210" s="127" t="n">
        <v>0</v>
      </c>
      <c r="D210" s="127" t="n">
        <v>0</v>
      </c>
      <c r="E210" s="127" t="n">
        <v>0</v>
      </c>
      <c r="F210" s="127" t="n">
        <v>0</v>
      </c>
      <c r="G210" s="127" t="n">
        <v>0</v>
      </c>
      <c r="H210" s="127" t="n">
        <v>0</v>
      </c>
      <c r="I210" s="127" t="n">
        <v>0</v>
      </c>
      <c r="J210" s="127" t="n">
        <v>0</v>
      </c>
      <c r="K210" s="127" t="n">
        <v>0</v>
      </c>
      <c r="L210" s="127" t="n">
        <v>0</v>
      </c>
      <c r="M210" s="127" t="n">
        <v>0</v>
      </c>
      <c r="N210" s="127" t="n">
        <v>0</v>
      </c>
      <c r="O210" s="127" t="n">
        <v>0</v>
      </c>
      <c r="P210" s="127" t="n">
        <v>0</v>
      </c>
      <c r="Q210" s="127" t="n">
        <v>0</v>
      </c>
      <c r="R210" s="127" t="n">
        <v>0</v>
      </c>
      <c r="S210" s="127" t="n">
        <v>0</v>
      </c>
      <c r="T210" s="127" t="n">
        <v>0</v>
      </c>
      <c r="U210" s="127" t="n">
        <v>0</v>
      </c>
    </row>
    <row r="211" ht="15" customHeight="1" s="107">
      <c r="A211" s="125" t="n"/>
      <c r="B211" s="126">
        <f>HYPERLINK("#'PROD - Jose G. S. Mello'!A1",'PROD - Jose G. S. Mello'!B2)</f>
        <v/>
      </c>
      <c r="C211" s="127" t="n">
        <v>0</v>
      </c>
      <c r="D211" s="127" t="n">
        <v>0</v>
      </c>
      <c r="E211" s="127" t="n">
        <v>0</v>
      </c>
      <c r="F211" s="127" t="n">
        <v>0</v>
      </c>
      <c r="G211" s="127" t="n">
        <v>0</v>
      </c>
      <c r="H211" s="127" t="n">
        <v>0</v>
      </c>
      <c r="I211" s="127" t="n">
        <v>0</v>
      </c>
      <c r="J211" s="127" t="n">
        <v>0</v>
      </c>
      <c r="K211" s="127" t="n">
        <v>0</v>
      </c>
      <c r="L211" s="127" t="n">
        <v>0</v>
      </c>
      <c r="M211" s="127" t="n">
        <v>0</v>
      </c>
      <c r="N211" s="127" t="n">
        <v>0</v>
      </c>
      <c r="O211" s="127" t="n">
        <v>0</v>
      </c>
      <c r="P211" s="127" t="n">
        <v>0</v>
      </c>
      <c r="Q211" s="127" t="n">
        <v>0</v>
      </c>
      <c r="R211" s="127" t="n">
        <v>0</v>
      </c>
      <c r="S211" s="127" t="n">
        <v>0</v>
      </c>
      <c r="T211" s="127" t="n">
        <v>0</v>
      </c>
      <c r="U211" s="127" t="n">
        <v>0</v>
      </c>
    </row>
    <row r="212" ht="15" customHeight="1" s="107">
      <c r="A212" s="125" t="n"/>
      <c r="B212" s="126">
        <f>HYPERLINK("#'PROD - Jose Rodrigues Melo'!A1",'PROD - Jose Rodrigues Melo'!B2)</f>
        <v/>
      </c>
      <c r="C212" s="127" t="n">
        <v>0</v>
      </c>
      <c r="D212" s="127" t="n">
        <v>0</v>
      </c>
      <c r="E212" s="127" t="n">
        <v>0</v>
      </c>
      <c r="F212" s="127" t="n">
        <v>0</v>
      </c>
      <c r="G212" s="127" t="n">
        <v>0</v>
      </c>
      <c r="H212" s="127" t="n">
        <v>0</v>
      </c>
      <c r="I212" s="127" t="n">
        <v>0</v>
      </c>
      <c r="J212" s="127" t="n">
        <v>0</v>
      </c>
      <c r="K212" s="127" t="n">
        <v>0</v>
      </c>
      <c r="L212" s="127" t="n">
        <v>0</v>
      </c>
      <c r="M212" s="127" t="n">
        <v>0</v>
      </c>
      <c r="N212" s="127" t="n">
        <v>0</v>
      </c>
      <c r="O212" s="127" t="n">
        <v>0</v>
      </c>
      <c r="P212" s="127" t="n">
        <v>0</v>
      </c>
      <c r="Q212" s="127" t="n">
        <v>0</v>
      </c>
      <c r="R212" s="127" t="n">
        <v>0</v>
      </c>
      <c r="S212" s="127" t="n">
        <v>0</v>
      </c>
      <c r="T212" s="127" t="n">
        <v>0</v>
      </c>
      <c r="U212" s="127" t="n">
        <v>0</v>
      </c>
    </row>
    <row r="213" ht="15" customHeight="1" s="107">
      <c r="A213" s="125" t="n"/>
      <c r="B213" s="126">
        <f>HYPERLINK("#'PROD - Lucio Mauro Felix Silva'!A1",'PROD - Lucio Mauro Felix Silva'!B2)</f>
        <v/>
      </c>
      <c r="C213" s="127" t="n">
        <v>0</v>
      </c>
      <c r="D213" s="127" t="n">
        <v>0</v>
      </c>
      <c r="E213" s="127" t="n">
        <v>0</v>
      </c>
      <c r="F213" s="127" t="n">
        <v>0</v>
      </c>
      <c r="G213" s="127" t="n">
        <v>0</v>
      </c>
      <c r="H213" s="127" t="n">
        <v>0</v>
      </c>
      <c r="I213" s="127" t="n">
        <v>0</v>
      </c>
      <c r="J213" s="127" t="n">
        <v>0</v>
      </c>
      <c r="K213" s="127" t="n">
        <v>0</v>
      </c>
      <c r="L213" s="127" t="n">
        <v>0</v>
      </c>
      <c r="M213" s="127" t="n">
        <v>0</v>
      </c>
      <c r="N213" s="127" t="n">
        <v>0</v>
      </c>
      <c r="O213" s="127" t="n">
        <v>0</v>
      </c>
      <c r="P213" s="127" t="n">
        <v>0</v>
      </c>
      <c r="Q213" s="127" t="n">
        <v>0</v>
      </c>
      <c r="R213" s="127" t="n">
        <v>0</v>
      </c>
      <c r="S213" s="127" t="n">
        <v>0</v>
      </c>
      <c r="T213" s="127" t="n">
        <v>0</v>
      </c>
      <c r="U213" s="127" t="n">
        <v>0</v>
      </c>
    </row>
    <row r="214" ht="15" customHeight="1" s="107">
      <c r="A214" s="125" t="n"/>
      <c r="B214" s="126">
        <f>HYPERLINK("#'PROD - Luiz A. O. Pinto'!A1",'PROD - Luiz A. O. Pinto'!B2)</f>
        <v/>
      </c>
      <c r="C214" s="127" t="n">
        <v>0</v>
      </c>
      <c r="D214" s="127" t="n">
        <v>0</v>
      </c>
      <c r="E214" s="127" t="n">
        <v>0</v>
      </c>
      <c r="F214" s="127" t="n">
        <v>0</v>
      </c>
      <c r="G214" s="127" t="n">
        <v>0</v>
      </c>
      <c r="H214" s="127" t="n">
        <v>0</v>
      </c>
      <c r="I214" s="127" t="n">
        <v>0</v>
      </c>
      <c r="J214" s="127" t="n">
        <v>0</v>
      </c>
      <c r="K214" s="127" t="n">
        <v>0</v>
      </c>
      <c r="L214" s="127" t="n">
        <v>0</v>
      </c>
      <c r="M214" s="127" t="n">
        <v>0</v>
      </c>
      <c r="N214" s="127" t="n">
        <v>0</v>
      </c>
      <c r="O214" s="127" t="n">
        <v>0</v>
      </c>
      <c r="P214" s="127" t="n">
        <v>0</v>
      </c>
      <c r="Q214" s="127" t="n">
        <v>0</v>
      </c>
      <c r="R214" s="127" t="n">
        <v>0</v>
      </c>
      <c r="S214" s="127" t="n">
        <v>0</v>
      </c>
      <c r="T214" s="127" t="n">
        <v>0</v>
      </c>
      <c r="U214" s="127" t="n">
        <v>0</v>
      </c>
    </row>
    <row r="215" ht="15" customHeight="1" s="107">
      <c r="A215" s="125" t="n"/>
      <c r="B215" s="126">
        <f>HYPERLINK("#'PROD - Marcelo Marcos Delgado'!A1",'PROD - Marcelo Marcos Delgado'!B2)</f>
        <v/>
      </c>
      <c r="C215" s="127" t="n">
        <v>0</v>
      </c>
      <c r="D215" s="127" t="n">
        <v>0</v>
      </c>
      <c r="E215" s="127" t="n">
        <v>0</v>
      </c>
      <c r="F215" s="127" t="n">
        <v>0</v>
      </c>
      <c r="G215" s="127" t="n">
        <v>0</v>
      </c>
      <c r="H215" s="127" t="n">
        <v>0</v>
      </c>
      <c r="I215" s="127" t="n">
        <v>0</v>
      </c>
      <c r="J215" s="127" t="n">
        <v>0</v>
      </c>
      <c r="K215" s="127" t="n">
        <v>0</v>
      </c>
      <c r="L215" s="127" t="n">
        <v>0</v>
      </c>
      <c r="M215" s="127" t="n">
        <v>0</v>
      </c>
      <c r="N215" s="127" t="n">
        <v>0</v>
      </c>
      <c r="O215" s="127" t="n">
        <v>0</v>
      </c>
      <c r="P215" s="127" t="n">
        <v>0</v>
      </c>
      <c r="Q215" s="127" t="n">
        <v>0</v>
      </c>
      <c r="R215" s="127" t="n">
        <v>0</v>
      </c>
      <c r="S215" s="127" t="n">
        <v>0</v>
      </c>
      <c r="T215" s="127" t="n">
        <v>0</v>
      </c>
      <c r="U215" s="127" t="n">
        <v>0</v>
      </c>
    </row>
    <row r="216" ht="15" customHeight="1" s="107">
      <c r="A216" s="125" t="n"/>
      <c r="B216" s="126">
        <f>HYPERLINK("#'PROD - Marcio Azevedo Souza'!A1",'PROD - Marcio Azevedo Souza'!B2)</f>
        <v/>
      </c>
      <c r="C216" s="127" t="n">
        <v>0</v>
      </c>
      <c r="D216" s="127" t="n">
        <v>0</v>
      </c>
      <c r="E216" s="127" t="n">
        <v>0</v>
      </c>
      <c r="F216" s="127" t="n">
        <v>0</v>
      </c>
      <c r="G216" s="127" t="n">
        <v>0</v>
      </c>
      <c r="H216" s="127" t="n">
        <v>0</v>
      </c>
      <c r="I216" s="127" t="n">
        <v>0</v>
      </c>
      <c r="J216" s="127" t="n">
        <v>0</v>
      </c>
      <c r="K216" s="127" t="n">
        <v>0</v>
      </c>
      <c r="L216" s="127" t="n">
        <v>0</v>
      </c>
      <c r="M216" s="127" t="n">
        <v>0</v>
      </c>
      <c r="N216" s="127" t="n">
        <v>0</v>
      </c>
      <c r="O216" s="127" t="n">
        <v>0</v>
      </c>
      <c r="P216" s="127" t="n">
        <v>0</v>
      </c>
      <c r="Q216" s="127" t="n">
        <v>0</v>
      </c>
      <c r="R216" s="127" t="n">
        <v>0</v>
      </c>
      <c r="S216" s="127" t="n">
        <v>0</v>
      </c>
      <c r="T216" s="127" t="n">
        <v>0</v>
      </c>
      <c r="U216" s="127" t="n">
        <v>0</v>
      </c>
    </row>
    <row r="217" ht="15" customHeight="1" s="107">
      <c r="A217" s="125" t="n"/>
      <c r="B217" s="126">
        <f>HYPERLINK("#'PROD - Marco Antonio Coelho'!A1",'PROD - Marco Antonio Coelho'!B2)</f>
        <v/>
      </c>
      <c r="C217" s="127" t="n">
        <v>0</v>
      </c>
      <c r="D217" s="127" t="n">
        <v>0</v>
      </c>
      <c r="E217" s="127" t="n">
        <v>0</v>
      </c>
      <c r="F217" s="127" t="n">
        <v>0</v>
      </c>
      <c r="G217" s="127" t="n">
        <v>0</v>
      </c>
      <c r="H217" s="127" t="n">
        <v>0</v>
      </c>
      <c r="I217" s="127" t="n">
        <v>0</v>
      </c>
      <c r="J217" s="127" t="n">
        <v>0</v>
      </c>
      <c r="K217" s="127" t="n">
        <v>0</v>
      </c>
      <c r="L217" s="127" t="n">
        <v>0</v>
      </c>
      <c r="M217" s="127" t="n">
        <v>0</v>
      </c>
      <c r="N217" s="127" t="n">
        <v>0</v>
      </c>
      <c r="O217" s="127" t="n">
        <v>0</v>
      </c>
      <c r="P217" s="127" t="n">
        <v>0</v>
      </c>
      <c r="Q217" s="127" t="n">
        <v>0</v>
      </c>
      <c r="R217" s="127" t="n">
        <v>0</v>
      </c>
      <c r="S217" s="127" t="n">
        <v>0</v>
      </c>
      <c r="T217" s="127" t="n">
        <v>0</v>
      </c>
      <c r="U217" s="127" t="n">
        <v>0</v>
      </c>
    </row>
    <row r="218" ht="15" customHeight="1" s="107">
      <c r="A218" s="125" t="n"/>
      <c r="B218" s="126">
        <f>HYPERLINK("#'PROD - Marcos Marcelo Delgado'!A1",'PROD - Marcos Marcelo Delgado'!B2)</f>
        <v/>
      </c>
      <c r="C218" s="127" t="n">
        <v>0</v>
      </c>
      <c r="D218" s="127" t="n">
        <v>0</v>
      </c>
      <c r="E218" s="127" t="n">
        <v>0</v>
      </c>
      <c r="F218" s="127" t="n">
        <v>0</v>
      </c>
      <c r="G218" s="127" t="n">
        <v>0</v>
      </c>
      <c r="H218" s="127" t="n">
        <v>0</v>
      </c>
      <c r="I218" s="127" t="n">
        <v>0</v>
      </c>
      <c r="J218" s="127" t="n">
        <v>0</v>
      </c>
      <c r="K218" s="127" t="n">
        <v>0</v>
      </c>
      <c r="L218" s="127" t="n">
        <v>0</v>
      </c>
      <c r="M218" s="127" t="n">
        <v>0</v>
      </c>
      <c r="N218" s="127" t="n">
        <v>0</v>
      </c>
      <c r="O218" s="127" t="n">
        <v>0</v>
      </c>
      <c r="P218" s="127" t="n">
        <v>0</v>
      </c>
      <c r="Q218" s="127" t="n">
        <v>0</v>
      </c>
      <c r="R218" s="127" t="n">
        <v>0</v>
      </c>
      <c r="S218" s="127" t="n">
        <v>0</v>
      </c>
      <c r="T218" s="127" t="n">
        <v>0</v>
      </c>
      <c r="U218" s="127" t="n">
        <v>0</v>
      </c>
    </row>
    <row r="219" ht="15" customHeight="1" s="107">
      <c r="A219" s="125" t="n"/>
      <c r="B219" s="126">
        <f>HYPERLINK("#'PROD - Miguel Fernando Almeida'!A1",'PROD - Miguel Fernando Almeida'!B2)</f>
        <v/>
      </c>
      <c r="C219" s="127" t="n">
        <v>0</v>
      </c>
      <c r="D219" s="127" t="n">
        <v>0</v>
      </c>
      <c r="E219" s="127" t="n">
        <v>0</v>
      </c>
      <c r="F219" s="127" t="n">
        <v>0</v>
      </c>
      <c r="G219" s="127" t="n">
        <v>0</v>
      </c>
      <c r="H219" s="127" t="n">
        <v>0</v>
      </c>
      <c r="I219" s="127" t="n">
        <v>0</v>
      </c>
      <c r="J219" s="127" t="n">
        <v>0</v>
      </c>
      <c r="K219" s="127" t="n">
        <v>0</v>
      </c>
      <c r="L219" s="127" t="n">
        <v>0</v>
      </c>
      <c r="M219" s="127" t="n">
        <v>0</v>
      </c>
      <c r="N219" s="127" t="n">
        <v>0</v>
      </c>
      <c r="O219" s="127" t="n">
        <v>0</v>
      </c>
      <c r="P219" s="127" t="n">
        <v>0</v>
      </c>
      <c r="Q219" s="127" t="n">
        <v>0</v>
      </c>
      <c r="R219" s="127" t="n">
        <v>0</v>
      </c>
      <c r="S219" s="127" t="n">
        <v>0</v>
      </c>
      <c r="T219" s="127" t="n">
        <v>0</v>
      </c>
      <c r="U219" s="127" t="n">
        <v>0</v>
      </c>
    </row>
    <row r="220" ht="15" customHeight="1" s="107">
      <c r="A220" s="125" t="n"/>
      <c r="B220" s="126">
        <f>HYPERLINK("#'PROD - Nilson Ferreira Silva'!A1",'PROD - Nilson Ferreira Silva'!B2)</f>
        <v/>
      </c>
      <c r="C220" s="127" t="n">
        <v>0</v>
      </c>
      <c r="D220" s="127" t="n">
        <v>0</v>
      </c>
      <c r="E220" s="127" t="n">
        <v>0</v>
      </c>
      <c r="F220" s="127" t="n">
        <v>0</v>
      </c>
      <c r="G220" s="127" t="n">
        <v>0</v>
      </c>
      <c r="H220" s="127" t="n">
        <v>0</v>
      </c>
      <c r="I220" s="127" t="n">
        <v>0</v>
      </c>
      <c r="J220" s="127" t="n">
        <v>0</v>
      </c>
      <c r="K220" s="127" t="n">
        <v>0</v>
      </c>
      <c r="L220" s="127" t="n">
        <v>0</v>
      </c>
      <c r="M220" s="127" t="n">
        <v>0</v>
      </c>
      <c r="N220" s="127" t="n">
        <v>0</v>
      </c>
      <c r="O220" s="127" t="n">
        <v>0</v>
      </c>
      <c r="P220" s="127" t="n">
        <v>0</v>
      </c>
      <c r="Q220" s="127" t="n">
        <v>0</v>
      </c>
      <c r="R220" s="127" t="n">
        <v>0</v>
      </c>
      <c r="S220" s="127" t="n">
        <v>0</v>
      </c>
      <c r="T220" s="127" t="n">
        <v>0</v>
      </c>
      <c r="U220" s="127" t="n">
        <v>0</v>
      </c>
    </row>
    <row r="221" ht="15" customHeight="1" s="107">
      <c r="A221" s="125" t="n"/>
      <c r="B221" s="126">
        <f>HYPERLINK("#'PROD - Renato Jose Silva'!A1",'PROD - Renato Jose Silva'!B2)</f>
        <v/>
      </c>
      <c r="C221" s="127" t="n">
        <v>0</v>
      </c>
      <c r="D221" s="127" t="n">
        <v>0</v>
      </c>
      <c r="E221" s="127" t="n">
        <v>0</v>
      </c>
      <c r="F221" s="127" t="n">
        <v>0</v>
      </c>
      <c r="G221" s="127" t="n">
        <v>0</v>
      </c>
      <c r="H221" s="127" t="n">
        <v>0</v>
      </c>
      <c r="I221" s="127" t="n">
        <v>0</v>
      </c>
      <c r="J221" s="127" t="n">
        <v>0</v>
      </c>
      <c r="K221" s="127" t="n">
        <v>0</v>
      </c>
      <c r="L221" s="127" t="n">
        <v>0</v>
      </c>
      <c r="M221" s="127" t="n">
        <v>0</v>
      </c>
      <c r="N221" s="127" t="n">
        <v>0</v>
      </c>
      <c r="O221" s="127" t="n">
        <v>0</v>
      </c>
      <c r="P221" s="127" t="n">
        <v>0</v>
      </c>
      <c r="Q221" s="127" t="n">
        <v>0</v>
      </c>
      <c r="R221" s="127" t="n">
        <v>0</v>
      </c>
      <c r="S221" s="127" t="n">
        <v>0</v>
      </c>
      <c r="T221" s="127" t="n">
        <v>0</v>
      </c>
      <c r="U221" s="127" t="n">
        <v>0</v>
      </c>
    </row>
    <row r="222" ht="15" customHeight="1" s="107">
      <c r="A222" s="125" t="n"/>
      <c r="B222" s="126">
        <f>HYPERLINK("#'PROD - Rodolfo Azevedo Andrade'!A1",'PROD - Rodolfo Azevedo Andrade'!B2)</f>
        <v/>
      </c>
      <c r="C222" s="127" t="n">
        <v>0</v>
      </c>
      <c r="D222" s="127" t="n">
        <v>0</v>
      </c>
      <c r="E222" s="127" t="n">
        <v>0</v>
      </c>
      <c r="F222" s="127" t="n">
        <v>0</v>
      </c>
      <c r="G222" s="127" t="n">
        <v>0</v>
      </c>
      <c r="H222" s="127" t="n">
        <v>0</v>
      </c>
      <c r="I222" s="127" t="n">
        <v>0</v>
      </c>
      <c r="J222" s="127" t="n">
        <v>0</v>
      </c>
      <c r="K222" s="127" t="n">
        <v>0</v>
      </c>
      <c r="L222" s="127" t="n">
        <v>0</v>
      </c>
      <c r="M222" s="127" t="n">
        <v>0</v>
      </c>
      <c r="N222" s="127" t="n">
        <v>0</v>
      </c>
      <c r="O222" s="127" t="n">
        <v>0</v>
      </c>
      <c r="P222" s="127" t="n">
        <v>0</v>
      </c>
      <c r="Q222" s="127" t="n">
        <v>0</v>
      </c>
      <c r="R222" s="127" t="n">
        <v>0</v>
      </c>
      <c r="S222" s="127" t="n">
        <v>0</v>
      </c>
      <c r="T222" s="127" t="n">
        <v>0</v>
      </c>
      <c r="U222" s="127" t="n">
        <v>0</v>
      </c>
    </row>
    <row r="223" ht="15" customHeight="1" s="107">
      <c r="A223" s="128" t="inlineStr">
        <is>
          <t>TOTAL</t>
        </is>
      </c>
      <c r="B223" s="129" t="inlineStr">
        <is>
          <t>PEDIDO AOS PRODUTORES</t>
        </is>
      </c>
      <c r="C223" s="130">
        <f>SUM(C201:C222)</f>
        <v/>
      </c>
      <c r="D223" s="130">
        <f>SUM(D201:D222)</f>
        <v/>
      </c>
      <c r="E223" s="130">
        <f>SUM(E201:E222)</f>
        <v/>
      </c>
      <c r="F223" s="130">
        <f>SUM(F201:F222)</f>
        <v/>
      </c>
      <c r="G223" s="130">
        <f>SUM(G201:G222)</f>
        <v/>
      </c>
      <c r="H223" s="130">
        <f>SUM(H201:H222)</f>
        <v/>
      </c>
      <c r="I223" s="130">
        <f>SUM(I201:I222)</f>
        <v/>
      </c>
      <c r="J223" s="130">
        <f>SUM(J201:J222)</f>
        <v/>
      </c>
      <c r="K223" s="130">
        <f>SUM(K201:K222)</f>
        <v/>
      </c>
      <c r="L223" s="130">
        <f>SUM(L201:L222)</f>
        <v/>
      </c>
      <c r="M223" s="130">
        <f>SUM(M201:M222)</f>
        <v/>
      </c>
      <c r="N223" s="130">
        <f>SUM(N201:N222)</f>
        <v/>
      </c>
      <c r="O223" s="130">
        <f>SUM(O201:O222)</f>
        <v/>
      </c>
      <c r="P223" s="130">
        <f>SUM(P201:P222)</f>
        <v/>
      </c>
      <c r="Q223" s="130">
        <f>SUM(Q201:Q222)</f>
        <v/>
      </c>
      <c r="R223" s="130">
        <f>SUM(R201:R222)</f>
        <v/>
      </c>
      <c r="S223" s="130">
        <f>SUM(S201:S222)</f>
        <v/>
      </c>
      <c r="T223" s="130">
        <f>SUM(T201:T222)</f>
        <v/>
      </c>
      <c r="U223" s="130">
        <f>SUM(U201:U222)</f>
        <v/>
      </c>
    </row>
    <row r="224" ht="15" customHeight="1" s="107">
      <c r="A224" s="132" t="n"/>
      <c r="B224" s="132" t="n"/>
      <c r="C224" s="133" t="n"/>
      <c r="D224" s="134" t="n"/>
      <c r="E224" s="134" t="n"/>
      <c r="F224" s="134" t="n"/>
      <c r="G224" s="134" t="n"/>
      <c r="H224" s="134" t="n"/>
      <c r="I224" s="134" t="n"/>
      <c r="J224" s="134" t="n"/>
      <c r="K224" s="134" t="n"/>
      <c r="L224" s="134" t="n"/>
      <c r="M224" s="134" t="n"/>
      <c r="N224" s="134" t="n"/>
      <c r="O224" s="134" t="n"/>
      <c r="P224" s="134" t="n"/>
      <c r="Q224" s="134" t="n"/>
      <c r="R224" s="134" t="n"/>
      <c r="S224" s="134" t="n"/>
      <c r="T224" s="134" t="n"/>
      <c r="U224" s="134" t="n"/>
    </row>
    <row r="225" ht="21.75" customHeight="1" s="107">
      <c r="A225" s="135" t="inlineStr">
        <is>
          <t>ENTREGA DOS PRODUTORES (kg) — o que realmente chegou no galpão</t>
        </is>
      </c>
      <c r="B225" s="136" t="n"/>
      <c r="C225" s="137" t="n"/>
      <c r="D225" s="137" t="n"/>
      <c r="E225" s="137" t="n"/>
      <c r="F225" s="137" t="n"/>
      <c r="G225" s="137" t="n"/>
      <c r="H225" s="137" t="n"/>
      <c r="I225" s="137" t="n"/>
      <c r="J225" s="137" t="n"/>
      <c r="K225" s="137" t="n"/>
      <c r="L225" s="137" t="n"/>
      <c r="M225" s="137" t="n"/>
      <c r="N225" s="137" t="n"/>
      <c r="O225" s="137" t="n"/>
      <c r="P225" s="137" t="n"/>
      <c r="Q225" s="137" t="n"/>
      <c r="R225" s="137" t="n"/>
      <c r="S225" s="137" t="n"/>
      <c r="T225" s="137" t="n"/>
      <c r="U225" s="137" t="n"/>
      <c r="V225" s="131" t="n"/>
    </row>
    <row r="226" ht="30" customHeight="1" s="107">
      <c r="A226" s="124" t="inlineStr">
        <is>
          <t>—</t>
        </is>
      </c>
      <c r="B226" s="124" t="inlineStr">
        <is>
          <t>PRODUTOR</t>
        </is>
      </c>
      <c r="C226" s="138" t="inlineStr">
        <is>
          <t>Abacate</t>
        </is>
      </c>
      <c r="D226" s="138" t="inlineStr">
        <is>
          <t>Abobrinha</t>
        </is>
      </c>
      <c r="E226" s="138" t="inlineStr">
        <is>
          <t>Agrião</t>
        </is>
      </c>
      <c r="F226" s="138" t="inlineStr">
        <is>
          <t>Alface lisa</t>
        </is>
      </c>
      <c r="G226" s="138" t="inlineStr">
        <is>
          <t>Banana prata</t>
        </is>
      </c>
      <c r="H226" s="138" t="inlineStr">
        <is>
          <t>Batata inglesa</t>
        </is>
      </c>
      <c r="I226" s="138" t="inlineStr">
        <is>
          <t>Beterraba</t>
        </is>
      </c>
      <c r="J226" s="138" t="inlineStr">
        <is>
          <t>Brócolis</t>
        </is>
      </c>
      <c r="K226" s="138" t="inlineStr">
        <is>
          <t>Cenoura</t>
        </is>
      </c>
      <c r="L226" s="138" t="inlineStr">
        <is>
          <t>Cheiro verde</t>
        </is>
      </c>
      <c r="M226" s="138" t="inlineStr">
        <is>
          <t>Chuchu</t>
        </is>
      </c>
      <c r="N226" s="138" t="inlineStr">
        <is>
          <t>Couve manteiga</t>
        </is>
      </c>
      <c r="O226" s="138" t="inlineStr">
        <is>
          <t>Couve-flor</t>
        </is>
      </c>
      <c r="P226" s="138" t="inlineStr">
        <is>
          <t>Espinafre</t>
        </is>
      </c>
      <c r="Q226" s="138" t="inlineStr">
        <is>
          <t>Maçã gala</t>
        </is>
      </c>
      <c r="R226" s="138" t="inlineStr">
        <is>
          <t>Mel</t>
        </is>
      </c>
      <c r="S226" s="138" t="inlineStr">
        <is>
          <t>Ovos</t>
        </is>
      </c>
      <c r="T226" s="138" t="inlineStr">
        <is>
          <t>Repolho</t>
        </is>
      </c>
      <c r="U226" s="138" t="inlineStr">
        <is>
          <t>Tangerina ponkan</t>
        </is>
      </c>
      <c r="V226" s="124" t="inlineStr">
        <is>
          <t>DEVOLUÇÃO</t>
        </is>
      </c>
    </row>
    <row r="227" ht="15" customHeight="1" s="107">
      <c r="A227" s="125" t="n"/>
      <c r="B227" s="132">
        <f>'PROD - Ana C. C. R. Souza'!B2</f>
        <v/>
      </c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39">
        <f>HYPERLINK("#'PROD - Ana C. C. R. Souza'!A1","Anotar devolução ►")</f>
        <v/>
      </c>
    </row>
    <row r="228" ht="15" customHeight="1" s="107">
      <c r="A228" s="125" t="n"/>
      <c r="B228" s="132">
        <f>'PROD - Anderson Mello Quimas'!B2</f>
        <v/>
      </c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39">
        <f>HYPERLINK("#'PROD - Anderson Mello Quimas'!A1","Anotar devolução ►")</f>
        <v/>
      </c>
    </row>
    <row r="229" ht="15" customHeight="1" s="107">
      <c r="A229" s="125" t="n"/>
      <c r="B229" s="132">
        <f>'PROD - Armando Jose Silva'!B2</f>
        <v/>
      </c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39">
        <f>HYPERLINK("#'PROD - Armando Jose Silva'!A1","Anotar devolução ►")</f>
        <v/>
      </c>
    </row>
    <row r="230" ht="15" customHeight="1" s="107">
      <c r="A230" s="125" t="n"/>
      <c r="B230" s="132">
        <f>'PROD - Arnaldo Silva'!B2</f>
        <v/>
      </c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39">
        <f>HYPERLINK("#'PROD - Arnaldo Silva'!A1","Anotar devolução ►")</f>
        <v/>
      </c>
    </row>
    <row r="231" ht="15" customHeight="1" s="107">
      <c r="A231" s="125" t="n"/>
      <c r="B231" s="132">
        <f>'PROD - Claudeni R. Xavier'!B2</f>
        <v/>
      </c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39">
        <f>HYPERLINK("#'PROD - Claudeni R. Xavier'!A1","Anotar devolução ►")</f>
        <v/>
      </c>
    </row>
    <row r="232" ht="15" customHeight="1" s="107">
      <c r="A232" s="125" t="n"/>
      <c r="B232" s="132">
        <f>'PROD - Edson Jose Silva'!B2</f>
        <v/>
      </c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39">
        <f>HYPERLINK("#'PROD - Edson Jose Silva'!A1","Anotar devolução ►")</f>
        <v/>
      </c>
    </row>
    <row r="233" ht="15" customHeight="1" s="107">
      <c r="A233" s="125" t="n"/>
      <c r="B233" s="132">
        <f>'PROD - Gabriel Adriano Souza'!B2</f>
        <v/>
      </c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39">
        <f>HYPERLINK("#'PROD - Gabriel Adriano Souza'!A1","Anotar devolução ►")</f>
        <v/>
      </c>
    </row>
    <row r="234" ht="15" customHeight="1" s="107">
      <c r="A234" s="125" t="n"/>
      <c r="B234" s="132">
        <f>'PROD - Gustavo Mello Rodrigues'!B2</f>
        <v/>
      </c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39">
        <f>HYPERLINK("#'PROD - Gustavo Mello Rodrigues'!A1","Anotar devolução ►")</f>
        <v/>
      </c>
    </row>
    <row r="235" ht="15" customHeight="1" s="107">
      <c r="A235" s="125" t="n"/>
      <c r="B235" s="132">
        <f>'PROD - Joaquim Sergio Lage'!B2</f>
        <v/>
      </c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39">
        <f>HYPERLINK("#'PROD - Joaquim Sergio Lage'!A1","Anotar devolução ►")</f>
        <v/>
      </c>
    </row>
    <row r="236" ht="15" customHeight="1" s="107">
      <c r="A236" s="125" t="n"/>
      <c r="B236" s="132">
        <f>'PROD - Jorge G. P. Diniz'!B2</f>
        <v/>
      </c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39">
        <f>HYPERLINK("#'PROD - Jorge G. P. Diniz'!A1","Anotar devolução ►")</f>
        <v/>
      </c>
    </row>
    <row r="237" ht="15" customHeight="1" s="107">
      <c r="A237" s="125" t="n"/>
      <c r="B237" s="132">
        <f>'PROD - Jose G. S. Mello'!B2</f>
        <v/>
      </c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39">
        <f>HYPERLINK("#'PROD - Jose G. S. Mello'!A1","Anotar devolução ►")</f>
        <v/>
      </c>
    </row>
    <row r="238" ht="15" customHeight="1" s="107">
      <c r="A238" s="125" t="n"/>
      <c r="B238" s="132">
        <f>'PROD - Jose Rodrigues Melo'!B2</f>
        <v/>
      </c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39">
        <f>HYPERLINK("#'PROD - Jose Rodrigues Melo'!A1","Anotar devolução ►")</f>
        <v/>
      </c>
    </row>
    <row r="239" ht="15" customHeight="1" s="107">
      <c r="A239" s="125" t="n"/>
      <c r="B239" s="132">
        <f>'PROD - Lucio Mauro Felix Silva'!B2</f>
        <v/>
      </c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39">
        <f>HYPERLINK("#'PROD - Lucio Mauro Felix Silva'!A1","Anotar devolução ►")</f>
        <v/>
      </c>
    </row>
    <row r="240" ht="15" customHeight="1" s="107">
      <c r="A240" s="125" t="n"/>
      <c r="B240" s="132">
        <f>'PROD - Luiz A. O. Pinto'!B2</f>
        <v/>
      </c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39">
        <f>HYPERLINK("#'PROD - Luiz A. O. Pinto'!A1","Anotar devolução ►")</f>
        <v/>
      </c>
    </row>
    <row r="241" ht="15" customHeight="1" s="107">
      <c r="A241" s="125" t="n"/>
      <c r="B241" s="132">
        <f>'PROD - Marcelo Marcos Delgado'!B2</f>
        <v/>
      </c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39">
        <f>HYPERLINK("#'PROD - Marcelo Marcos Delgado'!A1","Anotar devolução ►")</f>
        <v/>
      </c>
    </row>
    <row r="242" ht="15" customHeight="1" s="107">
      <c r="A242" s="125" t="n"/>
      <c r="B242" s="132">
        <f>'PROD - Marcio Azevedo Souza'!B2</f>
        <v/>
      </c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39">
        <f>HYPERLINK("#'PROD - Marcio Azevedo Souza'!A1","Anotar devolução ►")</f>
        <v/>
      </c>
    </row>
    <row r="243" ht="15" customHeight="1" s="107">
      <c r="A243" s="125" t="n"/>
      <c r="B243" s="132">
        <f>'PROD - Marco Antonio Coelho'!B2</f>
        <v/>
      </c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39">
        <f>HYPERLINK("#'PROD - Marco Antonio Coelho'!A1","Anotar devolução ►")</f>
        <v/>
      </c>
    </row>
    <row r="244" ht="15" customHeight="1" s="107">
      <c r="A244" s="125" t="n"/>
      <c r="B244" s="132">
        <f>'PROD - Marcos Marcelo Delgado'!B2</f>
        <v/>
      </c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39">
        <f>HYPERLINK("#'PROD - Marcos Marcelo Delgado'!A1","Anotar devolução ►")</f>
        <v/>
      </c>
    </row>
    <row r="245" ht="15" customHeight="1" s="107">
      <c r="A245" s="125" t="n"/>
      <c r="B245" s="132">
        <f>'PROD - Miguel Fernando Almeida'!B2</f>
        <v/>
      </c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39">
        <f>HYPERLINK("#'PROD - Miguel Fernando Almeida'!A1","Anotar devolução ►")</f>
        <v/>
      </c>
    </row>
    <row r="246" ht="15" customHeight="1" s="107">
      <c r="A246" s="125" t="n"/>
      <c r="B246" s="132">
        <f>'PROD - Nilson Ferreira Silva'!B2</f>
        <v/>
      </c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39">
        <f>HYPERLINK("#'PROD - Nilson Ferreira Silva'!A1","Anotar devolução ►")</f>
        <v/>
      </c>
    </row>
    <row r="247" ht="15" customHeight="1" s="107">
      <c r="A247" s="125" t="n"/>
      <c r="B247" s="132">
        <f>'PROD - Renato Jose Silva'!B2</f>
        <v/>
      </c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39">
        <f>HYPERLINK("#'PROD - Renato Jose Silva'!A1","Anotar devolução ►")</f>
        <v/>
      </c>
    </row>
    <row r="248" ht="15" customHeight="1" s="107">
      <c r="A248" s="125" t="n"/>
      <c r="B248" s="132">
        <f>'PROD - Rodolfo Azevedo Andrade'!B2</f>
        <v/>
      </c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39">
        <f>HYPERLINK("#'PROD - Rodolfo Azevedo Andrade'!A1","Anotar devolução ►")</f>
        <v/>
      </c>
    </row>
    <row r="249" ht="15" customHeight="1" s="107">
      <c r="A249" s="132" t="n"/>
      <c r="B249" s="132" t="n"/>
      <c r="C249" s="133" t="n"/>
    </row>
    <row r="250" ht="15" customHeight="1" s="107">
      <c r="A250" s="128" t="inlineStr">
        <is>
          <t>TOTAL</t>
        </is>
      </c>
      <c r="B250" s="129" t="inlineStr">
        <is>
          <t>ENTREGA BRUTA PRODUTORES</t>
        </is>
      </c>
      <c r="C250" s="130">
        <f>SUM(C227:C248)</f>
        <v/>
      </c>
      <c r="D250" s="130">
        <f>SUM(D227:D248)</f>
        <v/>
      </c>
      <c r="E250" s="130">
        <f>SUM(E227:E248)</f>
        <v/>
      </c>
      <c r="F250" s="130">
        <f>SUM(F227:F248)</f>
        <v/>
      </c>
      <c r="G250" s="130">
        <f>SUM(G227:G248)</f>
        <v/>
      </c>
      <c r="H250" s="130">
        <f>SUM(H227:H248)</f>
        <v/>
      </c>
      <c r="I250" s="130">
        <f>SUM(I227:I248)</f>
        <v/>
      </c>
      <c r="J250" s="130">
        <f>SUM(J227:J248)</f>
        <v/>
      </c>
      <c r="K250" s="130">
        <f>SUM(K227:K248)</f>
        <v/>
      </c>
      <c r="L250" s="130">
        <f>SUM(L227:L248)</f>
        <v/>
      </c>
      <c r="M250" s="130">
        <f>SUM(M227:M248)</f>
        <v/>
      </c>
      <c r="N250" s="130">
        <f>SUM(N227:N248)</f>
        <v/>
      </c>
      <c r="O250" s="130">
        <f>SUM(O227:O248)</f>
        <v/>
      </c>
      <c r="P250" s="130">
        <f>SUM(P227:P248)</f>
        <v/>
      </c>
      <c r="Q250" s="130">
        <f>SUM(Q227:Q248)</f>
        <v/>
      </c>
      <c r="R250" s="130">
        <f>SUM(R227:R248)</f>
        <v/>
      </c>
      <c r="S250" s="130">
        <f>SUM(S227:S248)</f>
        <v/>
      </c>
      <c r="T250" s="130">
        <f>SUM(T227:T248)</f>
        <v/>
      </c>
      <c r="U250" s="130">
        <f>SUM(U227:U248)</f>
        <v/>
      </c>
    </row>
    <row r="251" ht="15" customHeight="1" s="107">
      <c r="A251" s="128" t="inlineStr">
        <is>
          <t>TOTAL</t>
        </is>
      </c>
      <c r="B251" s="129" t="inlineStr">
        <is>
          <t>DEVOLVIDO PRODUTORES (GALPÃO)</t>
        </is>
      </c>
      <c r="C251" s="130">
        <f>'PROD - Ana C. C. R. Souza'!D6+'PROD - Anderson Mello Quimas'!D6+'PROD - Armando Jose Silva'!D6+'PROD - Arnaldo Silva'!D6+'PROD - Claudeni R. Xavier'!D6+'PROD - Edson Jose Silva'!D6+'PROD - Gabriel Adriano Souza'!D6+'PROD - Gustavo Mello Rodrigues'!D6+'PROD - Joaquim Sergio Lage'!D6+'PROD - Jorge G. P. Diniz'!D6+'PROD - Jose G. S. Mello'!D6+'PROD - Jose Rodrigues Melo'!D6+'PROD - Lucio Mauro Felix Silva'!D6+'PROD - Luiz A. O. Pinto'!D6+'PROD - Marcelo Marcos Delgado'!D6+'PROD - Marcio Azevedo Souza'!D6+'PROD - Marco Antonio Coelho'!D6+'PROD - Marcos Marcelo Delgado'!D6+'PROD - Miguel Fernando Almeida'!D6+'PROD - Nilson Ferreira Silva'!D6+'PROD - Renato Jose Silva'!D6+'PROD - Rodolfo Azevedo Andrade'!D6</f>
        <v/>
      </c>
      <c r="D251" s="130">
        <f>'PROD - Ana C. C. R. Souza'!D7+'PROD - Anderson Mello Quimas'!D7+'PROD - Armando Jose Silva'!D7+'PROD - Arnaldo Silva'!D7+'PROD - Claudeni R. Xavier'!D7+'PROD - Edson Jose Silva'!D7+'PROD - Gabriel Adriano Souza'!D7+'PROD - Gustavo Mello Rodrigues'!D7+'PROD - Joaquim Sergio Lage'!D7+'PROD - Jorge G. P. Diniz'!D7+'PROD - Jose G. S. Mello'!D7+'PROD - Jose Rodrigues Melo'!D7+'PROD - Lucio Mauro Felix Silva'!D7+'PROD - Luiz A. O. Pinto'!D7+'PROD - Marcelo Marcos Delgado'!D7+'PROD - Marcio Azevedo Souza'!D7+'PROD - Marco Antonio Coelho'!D7+'PROD - Marcos Marcelo Delgado'!D7+'PROD - Miguel Fernando Almeida'!D7+'PROD - Nilson Ferreira Silva'!D7+'PROD - Renato Jose Silva'!D7+'PROD - Rodolfo Azevedo Andrade'!D7</f>
        <v/>
      </c>
      <c r="E251" s="130">
        <f>'PROD - Ana C. C. R. Souza'!D8+'PROD - Anderson Mello Quimas'!D8+'PROD - Armando Jose Silva'!D8+'PROD - Arnaldo Silva'!D8+'PROD - Claudeni R. Xavier'!D8+'PROD - Edson Jose Silva'!D8+'PROD - Gabriel Adriano Souza'!D8+'PROD - Gustavo Mello Rodrigues'!D8+'PROD - Joaquim Sergio Lage'!D8+'PROD - Jorge G. P. Diniz'!D8+'PROD - Jose G. S. Mello'!D8+'PROD - Jose Rodrigues Melo'!D8+'PROD - Lucio Mauro Felix Silva'!D8+'PROD - Luiz A. O. Pinto'!D8+'PROD - Marcelo Marcos Delgado'!D8+'PROD - Marcio Azevedo Souza'!D8+'PROD - Marco Antonio Coelho'!D8+'PROD - Marcos Marcelo Delgado'!D8+'PROD - Miguel Fernando Almeida'!D8+'PROD - Nilson Ferreira Silva'!D8+'PROD - Renato Jose Silva'!D8+'PROD - Rodolfo Azevedo Andrade'!D8</f>
        <v/>
      </c>
      <c r="F251" s="130">
        <f>'PROD - Ana C. C. R. Souza'!D9+'PROD - Anderson Mello Quimas'!D9+'PROD - Armando Jose Silva'!D9+'PROD - Arnaldo Silva'!D9+'PROD - Claudeni R. Xavier'!D9+'PROD - Edson Jose Silva'!D9+'PROD - Gabriel Adriano Souza'!D9+'PROD - Gustavo Mello Rodrigues'!D9+'PROD - Joaquim Sergio Lage'!D9+'PROD - Jorge G. P. Diniz'!D9+'PROD - Jose G. S. Mello'!D9+'PROD - Jose Rodrigues Melo'!D9+'PROD - Lucio Mauro Felix Silva'!D9+'PROD - Luiz A. O. Pinto'!D9+'PROD - Marcelo Marcos Delgado'!D9+'PROD - Marcio Azevedo Souza'!D9+'PROD - Marco Antonio Coelho'!D9+'PROD - Marcos Marcelo Delgado'!D9+'PROD - Miguel Fernando Almeida'!D9+'PROD - Nilson Ferreira Silva'!D9+'PROD - Renato Jose Silva'!D9+'PROD - Rodolfo Azevedo Andrade'!D9</f>
        <v/>
      </c>
      <c r="G251" s="130">
        <f>'PROD - Ana C. C. R. Souza'!D10+'PROD - Anderson Mello Quimas'!D10+'PROD - Armando Jose Silva'!D10+'PROD - Arnaldo Silva'!D10+'PROD - Claudeni R. Xavier'!D10+'PROD - Edson Jose Silva'!D10+'PROD - Gabriel Adriano Souza'!D10+'PROD - Gustavo Mello Rodrigues'!D10+'PROD - Joaquim Sergio Lage'!D10+'PROD - Jorge G. P. Diniz'!D10+'PROD - Jose G. S. Mello'!D10+'PROD - Jose Rodrigues Melo'!D10+'PROD - Lucio Mauro Felix Silva'!D10+'PROD - Luiz A. O. Pinto'!D10+'PROD - Marcelo Marcos Delgado'!D10+'PROD - Marcio Azevedo Souza'!D10+'PROD - Marco Antonio Coelho'!D10+'PROD - Marcos Marcelo Delgado'!D10+'PROD - Miguel Fernando Almeida'!D10+'PROD - Nilson Ferreira Silva'!D10+'PROD - Renato Jose Silva'!D10+'PROD - Rodolfo Azevedo Andrade'!D10</f>
        <v/>
      </c>
      <c r="H251" s="130">
        <f>'PROD - Ana C. C. R. Souza'!D11+'PROD - Anderson Mello Quimas'!D11+'PROD - Armando Jose Silva'!D11+'PROD - Arnaldo Silva'!D11+'PROD - Claudeni R. Xavier'!D11+'PROD - Edson Jose Silva'!D11+'PROD - Gabriel Adriano Souza'!D11+'PROD - Gustavo Mello Rodrigues'!D11+'PROD - Joaquim Sergio Lage'!D11+'PROD - Jorge G. P. Diniz'!D11+'PROD - Jose G. S. Mello'!D11+'PROD - Jose Rodrigues Melo'!D11+'PROD - Lucio Mauro Felix Silva'!D11+'PROD - Luiz A. O. Pinto'!D11+'PROD - Marcelo Marcos Delgado'!D11+'PROD - Marcio Azevedo Souza'!D11+'PROD - Marco Antonio Coelho'!D11+'PROD - Marcos Marcelo Delgado'!D11+'PROD - Miguel Fernando Almeida'!D11+'PROD - Nilson Ferreira Silva'!D11+'PROD - Renato Jose Silva'!D11+'PROD - Rodolfo Azevedo Andrade'!D11</f>
        <v/>
      </c>
      <c r="I251" s="130">
        <f>'PROD - Ana C. C. R. Souza'!D12+'PROD - Anderson Mello Quimas'!D12+'PROD - Armando Jose Silva'!D12+'PROD - Arnaldo Silva'!D12+'PROD - Claudeni R. Xavier'!D12+'PROD - Edson Jose Silva'!D12+'PROD - Gabriel Adriano Souza'!D12+'PROD - Gustavo Mello Rodrigues'!D12+'PROD - Joaquim Sergio Lage'!D12+'PROD - Jorge G. P. Diniz'!D12+'PROD - Jose G. S. Mello'!D12+'PROD - Jose Rodrigues Melo'!D12+'PROD - Lucio Mauro Felix Silva'!D12+'PROD - Luiz A. O. Pinto'!D12+'PROD - Marcelo Marcos Delgado'!D12+'PROD - Marcio Azevedo Souza'!D12+'PROD - Marco Antonio Coelho'!D12+'PROD - Marcos Marcelo Delgado'!D12+'PROD - Miguel Fernando Almeida'!D12+'PROD - Nilson Ferreira Silva'!D12+'PROD - Renato Jose Silva'!D12+'PROD - Rodolfo Azevedo Andrade'!D12</f>
        <v/>
      </c>
      <c r="J251" s="130">
        <f>'PROD - Ana C. C. R. Souza'!D13+'PROD - Anderson Mello Quimas'!D13+'PROD - Armando Jose Silva'!D13+'PROD - Arnaldo Silva'!D13+'PROD - Claudeni R. Xavier'!D13+'PROD - Edson Jose Silva'!D13+'PROD - Gabriel Adriano Souza'!D13+'PROD - Gustavo Mello Rodrigues'!D13+'PROD - Joaquim Sergio Lage'!D13+'PROD - Jorge G. P. Diniz'!D13+'PROD - Jose G. S. Mello'!D13+'PROD - Jose Rodrigues Melo'!D13+'PROD - Lucio Mauro Felix Silva'!D13+'PROD - Luiz A. O. Pinto'!D13+'PROD - Marcelo Marcos Delgado'!D13+'PROD - Marcio Azevedo Souza'!D13+'PROD - Marco Antonio Coelho'!D13+'PROD - Marcos Marcelo Delgado'!D13+'PROD - Miguel Fernando Almeida'!D13+'PROD - Nilson Ferreira Silva'!D13+'PROD - Renato Jose Silva'!D13+'PROD - Rodolfo Azevedo Andrade'!D13</f>
        <v/>
      </c>
      <c r="K251" s="130">
        <f>'PROD - Ana C. C. R. Souza'!D14+'PROD - Anderson Mello Quimas'!D14+'PROD - Armando Jose Silva'!D14+'PROD - Arnaldo Silva'!D14+'PROD - Claudeni R. Xavier'!D14+'PROD - Edson Jose Silva'!D14+'PROD - Gabriel Adriano Souza'!D14+'PROD - Gustavo Mello Rodrigues'!D14+'PROD - Joaquim Sergio Lage'!D14+'PROD - Jorge G. P. Diniz'!D14+'PROD - Jose G. S. Mello'!D14+'PROD - Jose Rodrigues Melo'!D14+'PROD - Lucio Mauro Felix Silva'!D14+'PROD - Luiz A. O. Pinto'!D14+'PROD - Marcelo Marcos Delgado'!D14+'PROD - Marcio Azevedo Souza'!D14+'PROD - Marco Antonio Coelho'!D14+'PROD - Marcos Marcelo Delgado'!D14+'PROD - Miguel Fernando Almeida'!D14+'PROD - Nilson Ferreira Silva'!D14+'PROD - Renato Jose Silva'!D14+'PROD - Rodolfo Azevedo Andrade'!D14</f>
        <v/>
      </c>
      <c r="L251" s="130">
        <f>'PROD - Ana C. C. R. Souza'!D15+'PROD - Anderson Mello Quimas'!D15+'PROD - Armando Jose Silva'!D15+'PROD - Arnaldo Silva'!D15+'PROD - Claudeni R. Xavier'!D15+'PROD - Edson Jose Silva'!D15+'PROD - Gabriel Adriano Souza'!D15+'PROD - Gustavo Mello Rodrigues'!D15+'PROD - Joaquim Sergio Lage'!D15+'PROD - Jorge G. P. Diniz'!D15+'PROD - Jose G. S. Mello'!D15+'PROD - Jose Rodrigues Melo'!D15+'PROD - Lucio Mauro Felix Silva'!D15+'PROD - Luiz A. O. Pinto'!D15+'PROD - Marcelo Marcos Delgado'!D15+'PROD - Marcio Azevedo Souza'!D15+'PROD - Marco Antonio Coelho'!D15+'PROD - Marcos Marcelo Delgado'!D15+'PROD - Miguel Fernando Almeida'!D15+'PROD - Nilson Ferreira Silva'!D15+'PROD - Renato Jose Silva'!D15+'PROD - Rodolfo Azevedo Andrade'!D15</f>
        <v/>
      </c>
      <c r="M251" s="130">
        <f>'PROD - Ana C. C. R. Souza'!D16+'PROD - Anderson Mello Quimas'!D16+'PROD - Armando Jose Silva'!D16+'PROD - Arnaldo Silva'!D16+'PROD - Claudeni R. Xavier'!D16+'PROD - Edson Jose Silva'!D16+'PROD - Gabriel Adriano Souza'!D16+'PROD - Gustavo Mello Rodrigues'!D16+'PROD - Joaquim Sergio Lage'!D16+'PROD - Jorge G. P. Diniz'!D16+'PROD - Jose G. S. Mello'!D16+'PROD - Jose Rodrigues Melo'!D16+'PROD - Lucio Mauro Felix Silva'!D16+'PROD - Luiz A. O. Pinto'!D16+'PROD - Marcelo Marcos Delgado'!D16+'PROD - Marcio Azevedo Souza'!D16+'PROD - Marco Antonio Coelho'!D16+'PROD - Marcos Marcelo Delgado'!D16+'PROD - Miguel Fernando Almeida'!D16+'PROD - Nilson Ferreira Silva'!D16+'PROD - Renato Jose Silva'!D16+'PROD - Rodolfo Azevedo Andrade'!D16</f>
        <v/>
      </c>
      <c r="N251" s="130">
        <f>'PROD - Ana C. C. R. Souza'!D17+'PROD - Anderson Mello Quimas'!D17+'PROD - Armando Jose Silva'!D17+'PROD - Arnaldo Silva'!D17+'PROD - Claudeni R. Xavier'!D17+'PROD - Edson Jose Silva'!D17+'PROD - Gabriel Adriano Souza'!D17+'PROD - Gustavo Mello Rodrigues'!D17+'PROD - Joaquim Sergio Lage'!D17+'PROD - Jorge G. P. Diniz'!D17+'PROD - Jose G. S. Mello'!D17+'PROD - Jose Rodrigues Melo'!D17+'PROD - Lucio Mauro Felix Silva'!D17+'PROD - Luiz A. O. Pinto'!D17+'PROD - Marcelo Marcos Delgado'!D17+'PROD - Marcio Azevedo Souza'!D17+'PROD - Marco Antonio Coelho'!D17+'PROD - Marcos Marcelo Delgado'!D17+'PROD - Miguel Fernando Almeida'!D17+'PROD - Nilson Ferreira Silva'!D17+'PROD - Renato Jose Silva'!D17+'PROD - Rodolfo Azevedo Andrade'!D17</f>
        <v/>
      </c>
      <c r="O251" s="130">
        <f>'PROD - Ana C. C. R. Souza'!D18+'PROD - Anderson Mello Quimas'!D18+'PROD - Armando Jose Silva'!D18+'PROD - Arnaldo Silva'!D18+'PROD - Claudeni R. Xavier'!D18+'PROD - Edson Jose Silva'!D18+'PROD - Gabriel Adriano Souza'!D18+'PROD - Gustavo Mello Rodrigues'!D18+'PROD - Joaquim Sergio Lage'!D18+'PROD - Jorge G. P. Diniz'!D18+'PROD - Jose G. S. Mello'!D18+'PROD - Jose Rodrigues Melo'!D18+'PROD - Lucio Mauro Felix Silva'!D18+'PROD - Luiz A. O. Pinto'!D18+'PROD - Marcelo Marcos Delgado'!D18+'PROD - Marcio Azevedo Souza'!D18+'PROD - Marco Antonio Coelho'!D18+'PROD - Marcos Marcelo Delgado'!D18+'PROD - Miguel Fernando Almeida'!D18+'PROD - Nilson Ferreira Silva'!D18+'PROD - Renato Jose Silva'!D18+'PROD - Rodolfo Azevedo Andrade'!D18</f>
        <v/>
      </c>
      <c r="P251" s="130">
        <f>'PROD - Ana C. C. R. Souza'!D19+'PROD - Anderson Mello Quimas'!D19+'PROD - Armando Jose Silva'!D19+'PROD - Arnaldo Silva'!D19+'PROD - Claudeni R. Xavier'!D19+'PROD - Edson Jose Silva'!D19+'PROD - Gabriel Adriano Souza'!D19+'PROD - Gustavo Mello Rodrigues'!D19+'PROD - Joaquim Sergio Lage'!D19+'PROD - Jorge G. P. Diniz'!D19+'PROD - Jose G. S. Mello'!D19+'PROD - Jose Rodrigues Melo'!D19+'PROD - Lucio Mauro Felix Silva'!D19+'PROD - Luiz A. O. Pinto'!D19+'PROD - Marcelo Marcos Delgado'!D19+'PROD - Marcio Azevedo Souza'!D19+'PROD - Marco Antonio Coelho'!D19+'PROD - Marcos Marcelo Delgado'!D19+'PROD - Miguel Fernando Almeida'!D19+'PROD - Nilson Ferreira Silva'!D19+'PROD - Renato Jose Silva'!D19+'PROD - Rodolfo Azevedo Andrade'!D19</f>
        <v/>
      </c>
      <c r="Q251" s="130">
        <f>'PROD - Ana C. C. R. Souza'!D20+'PROD - Anderson Mello Quimas'!D20+'PROD - Armando Jose Silva'!D20+'PROD - Arnaldo Silva'!D20+'PROD - Claudeni R. Xavier'!D20+'PROD - Edson Jose Silva'!D20+'PROD - Gabriel Adriano Souza'!D20+'PROD - Gustavo Mello Rodrigues'!D20+'PROD - Joaquim Sergio Lage'!D20+'PROD - Jorge G. P. Diniz'!D20+'PROD - Jose G. S. Mello'!D20+'PROD - Jose Rodrigues Melo'!D20+'PROD - Lucio Mauro Felix Silva'!D20+'PROD - Luiz A. O. Pinto'!D20+'PROD - Marcelo Marcos Delgado'!D20+'PROD - Marcio Azevedo Souza'!D20+'PROD - Marco Antonio Coelho'!D20+'PROD - Marcos Marcelo Delgado'!D20+'PROD - Miguel Fernando Almeida'!D20+'PROD - Nilson Ferreira Silva'!D20+'PROD - Renato Jose Silva'!D20+'PROD - Rodolfo Azevedo Andrade'!D20</f>
        <v/>
      </c>
      <c r="R251" s="130">
        <f>'PROD - Ana C. C. R. Souza'!D21+'PROD - Anderson Mello Quimas'!D21+'PROD - Armando Jose Silva'!D21+'PROD - Arnaldo Silva'!D21+'PROD - Claudeni R. Xavier'!D21+'PROD - Edson Jose Silva'!D21+'PROD - Gabriel Adriano Souza'!D21+'PROD - Gustavo Mello Rodrigues'!D21+'PROD - Joaquim Sergio Lage'!D21+'PROD - Jorge G. P. Diniz'!D21+'PROD - Jose G. S. Mello'!D21+'PROD - Jose Rodrigues Melo'!D21+'PROD - Lucio Mauro Felix Silva'!D21+'PROD - Luiz A. O. Pinto'!D21+'PROD - Marcelo Marcos Delgado'!D21+'PROD - Marcio Azevedo Souza'!D21+'PROD - Marco Antonio Coelho'!D21+'PROD - Marcos Marcelo Delgado'!D21+'PROD - Miguel Fernando Almeida'!D21+'PROD - Nilson Ferreira Silva'!D21+'PROD - Renato Jose Silva'!D21+'PROD - Rodolfo Azevedo Andrade'!D21</f>
        <v/>
      </c>
      <c r="S251" s="130">
        <f>'PROD - Ana C. C. R. Souza'!D22+'PROD - Anderson Mello Quimas'!D22+'PROD - Armando Jose Silva'!D22+'PROD - Arnaldo Silva'!D22+'PROD - Claudeni R. Xavier'!D22+'PROD - Edson Jose Silva'!D22+'PROD - Gabriel Adriano Souza'!D22+'PROD - Gustavo Mello Rodrigues'!D22+'PROD - Joaquim Sergio Lage'!D22+'PROD - Jorge G. P. Diniz'!D22+'PROD - Jose G. S. Mello'!D22+'PROD - Jose Rodrigues Melo'!D22+'PROD - Lucio Mauro Felix Silva'!D22+'PROD - Luiz A. O. Pinto'!D22+'PROD - Marcelo Marcos Delgado'!D22+'PROD - Marcio Azevedo Souza'!D22+'PROD - Marco Antonio Coelho'!D22+'PROD - Marcos Marcelo Delgado'!D22+'PROD - Miguel Fernando Almeida'!D22+'PROD - Nilson Ferreira Silva'!D22+'PROD - Renato Jose Silva'!D22+'PROD - Rodolfo Azevedo Andrade'!D22</f>
        <v/>
      </c>
      <c r="T251" s="130">
        <f>'PROD - Ana C. C. R. Souza'!D23+'PROD - Anderson Mello Quimas'!D23+'PROD - Armando Jose Silva'!D23+'PROD - Arnaldo Silva'!D23+'PROD - Claudeni R. Xavier'!D23+'PROD - Edson Jose Silva'!D23+'PROD - Gabriel Adriano Souza'!D23+'PROD - Gustavo Mello Rodrigues'!D23+'PROD - Joaquim Sergio Lage'!D23+'PROD - Jorge G. P. Diniz'!D23+'PROD - Jose G. S. Mello'!D23+'PROD - Jose Rodrigues Melo'!D23+'PROD - Lucio Mauro Felix Silva'!D23+'PROD - Luiz A. O. Pinto'!D23+'PROD - Marcelo Marcos Delgado'!D23+'PROD - Marcio Azevedo Souza'!D23+'PROD - Marco Antonio Coelho'!D23+'PROD - Marcos Marcelo Delgado'!D23+'PROD - Miguel Fernando Almeida'!D23+'PROD - Nilson Ferreira Silva'!D23+'PROD - Renato Jose Silva'!D23+'PROD - Rodolfo Azevedo Andrade'!D23</f>
        <v/>
      </c>
      <c r="U251" s="130">
        <f>'PROD - Ana C. C. R. Souza'!D24+'PROD - Anderson Mello Quimas'!D24+'PROD - Armando Jose Silva'!D24+'PROD - Arnaldo Silva'!D24+'PROD - Claudeni R. Xavier'!D24+'PROD - Edson Jose Silva'!D24+'PROD - Gabriel Adriano Souza'!D24+'PROD - Gustavo Mello Rodrigues'!D24+'PROD - Joaquim Sergio Lage'!D24+'PROD - Jorge G. P. Diniz'!D24+'PROD - Jose G. S. Mello'!D24+'PROD - Jose Rodrigues Melo'!D24+'PROD - Lucio Mauro Felix Silva'!D24+'PROD - Luiz A. O. Pinto'!D24+'PROD - Marcelo Marcos Delgado'!D24+'PROD - Marcio Azevedo Souza'!D24+'PROD - Marco Antonio Coelho'!D24+'PROD - Marcos Marcelo Delgado'!D24+'PROD - Miguel Fernando Almeida'!D24+'PROD - Nilson Ferreira Silva'!D24+'PROD - Renato Jose Silva'!D24+'PROD - Rodolfo Azevedo Andrade'!D24</f>
        <v/>
      </c>
    </row>
    <row r="252" ht="15" customHeight="1" s="107">
      <c r="A252" s="128" t="inlineStr">
        <is>
          <t>TOTAL</t>
        </is>
      </c>
      <c r="B252" s="129" t="inlineStr">
        <is>
          <t>ENTREGUE LÍQUIDO PRODUTORES</t>
        </is>
      </c>
      <c r="C252" s="130">
        <f>C250-C251</f>
        <v/>
      </c>
      <c r="D252" s="130">
        <f>D250-D251</f>
        <v/>
      </c>
      <c r="E252" s="130">
        <f>E250-E251</f>
        <v/>
      </c>
      <c r="F252" s="130">
        <f>F250-F251</f>
        <v/>
      </c>
      <c r="G252" s="130">
        <f>G250-G251</f>
        <v/>
      </c>
      <c r="H252" s="130">
        <f>H250-H251</f>
        <v/>
      </c>
      <c r="I252" s="130">
        <f>I250-I251</f>
        <v/>
      </c>
      <c r="J252" s="130">
        <f>J250-J251</f>
        <v/>
      </c>
      <c r="K252" s="130">
        <f>K250-K251</f>
        <v/>
      </c>
      <c r="L252" s="130">
        <f>L250-L251</f>
        <v/>
      </c>
      <c r="M252" s="130">
        <f>M250-M251</f>
        <v/>
      </c>
      <c r="N252" s="130">
        <f>N250-N251</f>
        <v/>
      </c>
      <c r="O252" s="130">
        <f>O250-O251</f>
        <v/>
      </c>
      <c r="P252" s="130">
        <f>P250-P251</f>
        <v/>
      </c>
      <c r="Q252" s="130">
        <f>Q250-Q251</f>
        <v/>
      </c>
      <c r="R252" s="130">
        <f>R250-R251</f>
        <v/>
      </c>
      <c r="S252" s="130">
        <f>S250-S251</f>
        <v/>
      </c>
      <c r="T252" s="130">
        <f>T250-T251</f>
        <v/>
      </c>
      <c r="U252" s="130">
        <f>U250-U251</f>
        <v/>
      </c>
    </row>
    <row r="253" ht="15" customHeight="1" s="107">
      <c r="A253" s="128" t="inlineStr">
        <is>
          <t>TOTAL</t>
        </is>
      </c>
      <c r="B253" s="129" t="inlineStr">
        <is>
          <t>DIFERENÇA (LÍQUIDO - PEDIDO ESCOLAS)</t>
        </is>
      </c>
      <c r="C253" s="130">
        <f>C252-C197</f>
        <v/>
      </c>
      <c r="D253" s="130">
        <f>D252-D197</f>
        <v/>
      </c>
      <c r="E253" s="130">
        <f>E252-E197</f>
        <v/>
      </c>
      <c r="F253" s="130">
        <f>F252-F197</f>
        <v/>
      </c>
      <c r="G253" s="130">
        <f>G252-G197</f>
        <v/>
      </c>
      <c r="H253" s="130">
        <f>H252-H197</f>
        <v/>
      </c>
      <c r="I253" s="130">
        <f>I252-I197</f>
        <v/>
      </c>
      <c r="J253" s="130">
        <f>J252-J197</f>
        <v/>
      </c>
      <c r="K253" s="130">
        <f>K252-K197</f>
        <v/>
      </c>
      <c r="L253" s="130">
        <f>L252-L197</f>
        <v/>
      </c>
      <c r="M253" s="130">
        <f>M252-M197</f>
        <v/>
      </c>
      <c r="N253" s="130">
        <f>N252-N197</f>
        <v/>
      </c>
      <c r="O253" s="130">
        <f>O252-O197</f>
        <v/>
      </c>
      <c r="P253" s="130">
        <f>P252-P197</f>
        <v/>
      </c>
      <c r="Q253" s="130">
        <f>Q252-Q197</f>
        <v/>
      </c>
      <c r="R253" s="130">
        <f>R252-R197</f>
        <v/>
      </c>
      <c r="S253" s="130">
        <f>S252-S197</f>
        <v/>
      </c>
      <c r="T253" s="130">
        <f>T252-T197</f>
        <v/>
      </c>
      <c r="U253" s="130">
        <f>U252-U197</f>
        <v/>
      </c>
    </row>
    <row r="254" ht="15" customHeight="1" s="107">
      <c r="A254" s="132" t="n"/>
      <c r="B254" s="132" t="n"/>
      <c r="C254" s="133" t="n"/>
    </row>
    <row r="255" ht="15" customHeight="1" s="107">
      <c r="A255" s="132" t="n"/>
      <c r="B255" s="132" t="n"/>
      <c r="C255" s="133" t="n"/>
    </row>
    <row r="256" ht="15" customHeight="1" s="107">
      <c r="A256" s="132" t="n"/>
      <c r="B256" s="132" t="n"/>
      <c r="C256" s="133" t="n"/>
    </row>
    <row r="257" ht="15" customHeight="1" s="107">
      <c r="A257" s="132" t="n"/>
      <c r="B257" s="132" t="n"/>
      <c r="C257" s="133" t="n"/>
    </row>
    <row r="258" ht="15" customHeight="1" s="107">
      <c r="A258" s="132" t="n"/>
      <c r="B258" s="132" t="n"/>
      <c r="C258" s="133" t="n"/>
    </row>
    <row r="259" ht="15" customHeight="1" s="107">
      <c r="A259" s="132" t="n"/>
      <c r="B259" s="132" t="n"/>
      <c r="C259" s="133" t="n"/>
    </row>
    <row r="260" ht="15" customHeight="1" s="107">
      <c r="A260" s="132" t="n"/>
      <c r="B260" s="132" t="n"/>
      <c r="C260" s="133" t="n"/>
    </row>
    <row r="261" ht="15" customHeight="1" s="107">
      <c r="A261" s="132" t="n"/>
      <c r="B261" s="132" t="n"/>
      <c r="C261" s="133" t="n"/>
    </row>
    <row r="262" ht="15" customHeight="1" s="107">
      <c r="A262" s="132" t="n"/>
      <c r="B262" s="132" t="n"/>
      <c r="C262" s="133" t="n"/>
    </row>
    <row r="264" ht="15" customHeight="1" s="107">
      <c r="A264" s="128" t="n"/>
      <c r="B264" s="129" t="n"/>
      <c r="C264" s="130" t="n"/>
      <c r="D264" s="130" t="n"/>
      <c r="E264" s="130" t="n"/>
      <c r="F264" s="130" t="n"/>
      <c r="G264" s="130" t="n"/>
      <c r="H264" s="130" t="n"/>
      <c r="I264" s="130" t="n"/>
      <c r="J264" s="130" t="n"/>
      <c r="K264" s="130" t="n"/>
      <c r="L264" s="130" t="n"/>
      <c r="M264" s="130" t="n"/>
      <c r="N264" s="130" t="n"/>
      <c r="O264" s="130" t="n"/>
      <c r="P264" s="130" t="n"/>
      <c r="Q264" s="130" t="n"/>
      <c r="R264" s="130" t="n"/>
      <c r="S264" s="130" t="n"/>
      <c r="T264" s="130" t="n"/>
      <c r="U264" s="130" t="n"/>
    </row>
    <row r="265" ht="15" customHeight="1" s="107">
      <c r="A265" s="128" t="n"/>
      <c r="B265" s="129" t="n"/>
      <c r="C265" s="130" t="n"/>
      <c r="D265" s="130" t="n"/>
      <c r="E265" s="130" t="n"/>
      <c r="F265" s="130" t="n"/>
      <c r="G265" s="130" t="n"/>
      <c r="H265" s="130" t="n"/>
      <c r="I265" s="130" t="n"/>
      <c r="J265" s="130" t="n"/>
      <c r="K265" s="130" t="n"/>
      <c r="L265" s="130" t="n"/>
      <c r="M265" s="130" t="n"/>
      <c r="N265" s="130" t="n"/>
      <c r="O265" s="130" t="n"/>
      <c r="P265" s="130" t="n"/>
      <c r="Q265" s="130" t="n"/>
      <c r="R265" s="130" t="n"/>
      <c r="S265" s="130" t="n"/>
      <c r="T265" s="130" t="n"/>
      <c r="U265" s="130" t="n"/>
    </row>
    <row r="266" ht="15" customHeight="1" s="107">
      <c r="A266" s="128" t="n"/>
      <c r="B266" s="129" t="n"/>
      <c r="C266" s="130" t="n"/>
      <c r="D266" s="130" t="n"/>
      <c r="E266" s="130" t="n"/>
      <c r="F266" s="130" t="n"/>
      <c r="G266" s="130" t="n"/>
      <c r="H266" s="130" t="n"/>
      <c r="I266" s="130" t="n"/>
      <c r="J266" s="130" t="n"/>
      <c r="K266" s="130" t="n"/>
      <c r="L266" s="130" t="n"/>
      <c r="M266" s="130" t="n"/>
      <c r="N266" s="130" t="n"/>
      <c r="O266" s="130" t="n"/>
      <c r="P266" s="130" t="n"/>
      <c r="Q266" s="130" t="n"/>
      <c r="R266" s="130" t="n"/>
      <c r="S266" s="130" t="n"/>
      <c r="T266" s="130" t="n"/>
      <c r="U266" s="130" t="n"/>
    </row>
    <row r="267" ht="15" customHeight="1" s="107">
      <c r="A267" s="128" t="n"/>
      <c r="B267" s="129" t="n"/>
      <c r="C267" s="130" t="n"/>
      <c r="D267" s="130" t="n"/>
      <c r="E267" s="130" t="n"/>
      <c r="F267" s="130" t="n"/>
      <c r="G267" s="130" t="n"/>
      <c r="H267" s="130" t="n"/>
      <c r="I267" s="130" t="n"/>
      <c r="J267" s="130" t="n"/>
      <c r="K267" s="130" t="n"/>
      <c r="L267" s="130" t="n"/>
      <c r="M267" s="130" t="n"/>
      <c r="N267" s="130" t="n"/>
      <c r="O267" s="130" t="n"/>
      <c r="P267" s="130" t="n"/>
      <c r="Q267" s="130" t="n"/>
      <c r="R267" s="130" t="n"/>
      <c r="S267" s="130" t="n"/>
      <c r="T267" s="130" t="n"/>
      <c r="U267" s="13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0"/>
  <mergeCells count="3">
    <mergeCell ref="A199:B199"/>
    <mergeCell ref="A4:U4"/>
    <mergeCell ref="A225:B225"/>
  </mergeCells>
  <conditionalFormatting sqref="C227:U248">
    <cfRule type="expression" rank="0" priority="2" equalAverage="0" aboveAverage="0" dxfId="0" text="" percent="0" bottom="0">
      <formula>AND(C201&gt;0,C227="")</formula>
    </cfRule>
  </conditionalFormatting>
  <conditionalFormatting sqref="B227:B248">
    <cfRule type="expression" rank="0" priority="3" equalAverage="0" aboveAverage="0" dxfId="1" text="" percent="0" bottom="0">
      <formula>SUMPRODUCT((C201:U201&gt;0)*(C227:U227=""))&gt;0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00"/>
  <sheetViews>
    <sheetView showFormulas="0" showGridLines="0" showRowColHeaders="1" showZeros="1" rightToLeft="0" tabSelected="0" showOutlineSymbols="1" defaultGridColor="1" view="normal" topLeftCell="A22" colorId="64" zoomScale="100" zoomScaleNormal="100" zoomScalePageLayoutView="100" workbookViewId="0">
      <selection pane="topLeft" activeCell="J32" activeCellId="0" sqref="J32"/>
    </sheetView>
  </sheetViews>
  <sheetFormatPr baseColWidth="8" defaultColWidth="8.6796875" defaultRowHeight="15" zeroHeight="0" outlineLevelRow="0"/>
  <cols>
    <col width="32" customWidth="1" style="106" min="1" max="1"/>
    <col width="18" customWidth="1" style="106" min="2" max="2"/>
    <col width="16" customWidth="1" style="106" min="3" max="4"/>
    <col width="20" customWidth="1" style="106" min="5" max="6"/>
  </cols>
  <sheetData>
    <row r="1" ht="30" customHeight="1" s="107">
      <c r="A1" s="140" t="inlineStr">
        <is>
          <t>RESUMO GERAL</t>
        </is>
      </c>
      <c r="H1" s="141">
        <f>HYPERLINK("#'ÍNDICE'!A1","◄ Voltar ao Índice")</f>
        <v/>
      </c>
    </row>
    <row r="3" ht="24" customHeight="1" s="107">
      <c r="A3" s="142" t="inlineStr">
        <is>
          <t>🏫  ESCOLAS  —  PEDIDO  ×  DEVOLUÇÃO  ×  VALOR A COBRAR DA PREFEITURA</t>
        </is>
      </c>
    </row>
    <row r="4" ht="18" customHeight="1" s="107">
      <c r="A4" s="124" t="inlineStr">
        <is>
          <t>PRODUTO</t>
        </is>
      </c>
      <c r="B4" s="124" t="inlineStr">
        <is>
          <t>PEDIDO (kg)</t>
        </is>
      </c>
      <c r="C4" s="124" t="inlineStr">
        <is>
          <t>DEVOLUÇÃO (kg)</t>
        </is>
      </c>
      <c r="D4" s="124" t="inlineStr">
        <is>
          <t>LÍQUIDO (kg)</t>
        </is>
      </c>
      <c r="E4" s="124" t="inlineStr">
        <is>
          <t>VALOR (R$/kg)</t>
        </is>
      </c>
      <c r="F4" s="124" t="inlineStr">
        <is>
          <t>VALOR A COBRAR (R$)</t>
        </is>
      </c>
    </row>
    <row r="5" ht="15" customHeight="1" s="107">
      <c r="A5" s="132">
        <f>'Entrada de Dados'!C5</f>
        <v/>
      </c>
      <c r="B5" s="143">
        <f>'Entrada de Dados'!C197</f>
        <v/>
      </c>
      <c r="C5" s="143">
        <f>'E M ROTARY'!C9+'E M DE EDUCAÇÃO ESPECIAL SANTOS'!C9+'LICEU MUN PREFEITO CORDOLINO AM'!C9+'E M PREFEITO JAMIL SABRÁ'!C9+'LICEU MUNICIPAL CARLOS CHAGAS F'!C9+'E M PAULO FREIRE'!C9+'E M PROFª MARIA CAMPOS DA SILVA'!C9+'CASA DA EDUCAÇÃO VISCONDE DE MA'!C9+'CENTRO DE REFERÊNCIA EM EDUCAÇÃ'!C9+'ESCOLA SANTA LUIZA DE MARILLAC'!C9+'ESCOLA DOMÉSTICA NOSSA SENHORA '!C9+'ESCOLA MONSENHOR GENTIL'!C9+'ESCOLA PAROQUIAL NOSSA SENHORA '!C9+'ESCOLA PAROQUIAL SÃO PEDRO DE A'!C9+'CEI TERRA SANTA'!C9+'CEI PRIMEIRA INFÂNCIA'!C9+'CEI PROFª PATRÍCIA FERREIRA E S'!C9+'CEI DRA ZILDA ARNS NEUMANN'!C9+'CENTRO DE EDUCAÇÃO INFANTIL PRO'!C9+'CEI MONSENHOR PAULO ELIAS DAHER'!C9+'COLÉGIO GUNNAR VINGREN DE PETRÓ'!C9+'EDUCANDÁRIO TERRA SANTA'!C9+'CEI LIONS CLUBE DE PETRÓPOLIS'!C9+'ESCOLA PAROQUIAL NOSSA SENHO 2'!C9+'CENTRO DE EDUCAÇÃO INFANTIL IRM'!C9+'E M LUIZ CARLOS SOARES'!C9+'ESCOLA GERMANO VALENTE'!C9+'ESCOLA PAROQUIAL NOSSA SENHO 3'!C9+'CEI JORGE ROLANDO DA SILVA'!C9+'E M CLEMENTE FERNANDES'!C9+'E M GERALDO VENTURA DIAS'!C9+'ESCOLA DAS COMUNIDADES SANTO AN'!C9+'CEI PROFª ROSANGELA DA SILVA LE'!C9+'CEI DEISE ELOY GOMES'!C9+'CEI PROFª SONIA REGINA SCUDESE '!C9+'CEI TIA ALICE'!C9+'E M BATAILLARD'!C9+'E M SOROPTIMISTA'!C9+'E M SALVADOR KLING'!C9+'ESCOLA MUNICIPALIZADA FREI ANIC'!C9+'ESCOLA SÃO JUDAS TADEU'!C9+'CEI PEDRAS BRANCAS'!C9+'CEI MARIA THEREZA KLING DO VALL'!C9+'CEI DONA ESPERANZA DE BOURBON D'!C9+'CEI GIUSEPPE-NEVA VOLONTERIO'!C9+'CENTRO DE EDUCAÇÃO INFANTIL SÃO'!C9+'E M LEONARDO BOFF'!C9+'ESCOLA MUNICIPAL GENERAL HEITOR'!C9+'E M JOHANN NOEL'!C9+'ESCOLA SANTA MARIA GORETTI'!C9+'ESCOLA SANTA RITA DE CASSIA'!C9+'ESCOLA SÃO JOÃO BATISTA'!C9+'CEI CASA DA SOLIDARIEDADE DE NO'!C9+'CEI A SEMENTEIRA'!C9+'CEI VILA SAO JOSE'!C9+'E M DR RUBENS DE CASTRO BOMTEMP'!C9+'CEI FREI LEÃO'!C9+'CEI SÃO JOÃO BATISTA'!C9+'CEI JURACI PINTO DO AMARAL DE C'!C9+'E M PEDRO AMADO'!C9+'E M ABELARDO DE LAMARE'!C9+'ESCOLA MUNICIPAL SENADOR MARIO '!C9+'ESCOLA PAROQUIAL SÃO PIO X'!C9+'CEI SÃO CHARBEL'!C9+'E M ROSALINA NICOLAY'!C9+'CEI INÊS BELARMINO DE SOUZA'!C9+'E M PROFª MARIA DA GLÓRIA QUEIR'!C9+'CENTRO EDUCACIONAL COMUNIDADE S'!C9+'CEI ROMANO CANAVESE'!C9+'CEI CÉLIA LÔBO PAULO'!C9+'CEI PROFª DORA KILLER'!C9+'CEI ALTO INDEPENDÊNCIA'!C9+'ESCOLA MUNICIPAL ALTO INDEPENDÊ'!C9+'E M PAPA JOÃO PAULO II'!C9+'CEI ANDRÉ REBOUÇAS'!C9+'CEI PROFª HERMÍNIA MATHEUS'!C9+'ESCOLA MUNICIPAL MAJOR JÚLIO FR'!C9+'E M ALMIRANTE TAMANDARÉ'!C9+'ESCOLA PAROQUIAL CARLOS DEMIÁ'!C9+'CENTRO PAROQUIAL DE EDUCAÇÃO IN'!C9+'CEI IRMÃ SILVANA'!C9+'CEI OLÍVIA MACHADO DA COSTA NOG'!C9+'E M GOVERNADOR MARCELLO ALENCAR'!C9+'E M PROFESSOR FLÁVIO MACIEL'!C9+'E M PROFª JANDIRA PEIXOTO BORDI'!C9+'E M STEFAN ZWEIG'!C9+'ESCOLA PAROQUIAL BOM JESUS'!C9+'CEI MARLI SOARES FERREIRA NETTO'!C9+'CENTRO DE EDUCAÇÃO INFANTIL CHI'!C9+'CEI VILA IPANEMA'!C9+'E M ROBERT KENNEDY'!C9+'ESCOLA MUNICIPAL ANA MOHAMMAD'!C9+'ESCOLA SÃO CRISTÓVÃO'!C9+'CEI DÉA LÚCIA CORDEIRO'!C9+'CEI SAGRADA FAMÍLIA'!C9+'CEI SÃO JOSÉ DAS OBLATAS DE NAZ'!C9+'ESCOLA MUNICIPAL JORGE AMADO'!C9+'E M FÁBRICA DO SABER'!C9+'CIEP BRIZOLÃO 474 MAESTRO GUERR'!C9+'CENTRO DE ENSINO PROF DARCY RIB'!C9+'CEI ANDRÉ VANZAN'!C9+'CENTRO DE EDUCAÇÃO INFANTIL CAR'!C9+'CEI BOA VISTA'!C9+'ASSOCIAÇÃO DA CRECHE SÃO FRANCI'!C9+'ESCOLA MUNICIPAL PAULO SALDANHA'!C9+'ESCOLA MUNICIPAL LÚCIA DE ALMEI'!C9+'E M DOM MANOEL PEDRO DA CUNHA C'!C9+'ESCOLA SÃO GERALDO'!C9+'CEI LULU MONTEIRO DE CASTRO'!C9+'CEI CARANGOLA'!C9+'ASSOCIAÇÃO RECREAR'!C9+'CENTRO DE EDUCAÇÃO INFANTIL CAS'!C9+'E M ROSEMIRA DE OLIVEIRA CAVALC'!C9+'E MZDA CARMEM NUNES MARTINS'!C9+'CEI SÃO JOSÉ DO ITAMARATI'!C9+'E M DUQUE DE CAXIAS'!C9+'CENTRO DE EDUCAÇÃO INFANTIL  2'!C9+'E M ANTÔNIO LEITE GARCIA'!C9+'ESCOLA PAROQUIAL DA ALCOBAÇA'!C9+'CENTRO DE EDUCAÇÃO INFANTIL LOT'!C9+'ESCOLA PAROQUIAL DO LOTEAMENTO '!C9+'E M PROF JOAQUIM DEISTER'!C9+'E M MARIETA GONÇALVES'!C9+'ESCOLA MUNICIPAL ODETTE YOUNG M'!C9+'ESCOLA MUNICIPAL PROFESSOR JOSE'!C9+'E M HERCÍLIA HENRIQUES MORET'!C9+'COLEGIO VICENTINO PADRE CORRÊA'!C9+'CEI PROFª MARLUCE DE SOUZA PEST'!C9+'CEI IRINEU MARINHO'!C9+'CEI DAGMAR ROLANDO DE OLIVEIRA'!C9+'CEI NOSSA SENHORA DA GLÓRIA'!C9+'E M PROF NILTON COSTA PEREIRA D'!C9+'CENTRO DE EDUCAÇÃO INFANTIL SÉR'!C9+'CEI SANTO ANTÔNIO AGOSTINHO'!C9+'CEI OSWALDO CRUZ'!C9+'E M MAGDALENA TAGLIAFERRO'!C9+'ESCOLA SÃO JOSÉ DO CAETITU'!C9+'CRECHE-ESCOLA CASTELO SÃO MANOE'!C9+'CEI THEREZINHA DE JESUS LIMA'!C9+'ESCOLA MUNICIPAL PROFESSOR PAUL'!C9+'COLÉGIO ANGLICANO DE ARARAS'!C9+'ESCOLA PAROQUIAL SANTA BERNADET'!C9+'CEI VISTA ALEGRE'!C9+'CEI DENISE BESSA DE OLIVA MAYA'!C9+'CEI VIDEIRINHA'!C9+'E M AMÉRICO FERNANDES RIBEIRO'!C9+'ESCOLA MUNICIPAL AUGUSTO PUGNAL'!C9+'ESCOLA MUNICIPAL CELINA SCHECHN'!C9+'E M DARCY CORREA DA VEIGA'!C9+'E M DR PAULA BUARQUE'!C9+'LICEU SÃO JOSÉ DE ITAIPAVA'!C9+'CEI LUIZ MARCHIORI'!C9+'CENTRO DE EDUCAÇÃO INFANTIL AUG'!C9+'CEI PROFª ADRIANA CONSTÂNCIO TR'!C9+'E M AMÉLIA ANTUNES RABELLO'!C9+'CEI PREFEITO SÉRGIO FADEL'!C9+'E M DR THEODORO MACHADO'!C9+'ESCOLA SANTO ANTÔNIO'!C9+'E M TAQUARIL'!C9+'E M MONSENHOR JOÃO DE DEUS RODR'!C9+'CENTRO DE REFERÊNCIA EM EDUC 2'!C9+'CEI PROFª GRAÇA COSTA'!C9+'CEI VILA LEOPOLDINA'!C9+'CEI NILO PEÇANHA'!C9+'E MZDA SANTA TEREZINHA'!C9+'CEI CRIANÇA SANTA EDWIGES'!C9+'E M ARNALDO DYCKERHOFF'!C9+'E M CARLOS CANEDO'!C9+'E M BEATRIZ ZALESKI'!C9+'E M ANTÔNIO JOSÉ DE LIMA'!C9+'E M FELIX WAN ERVEN DE BARROS'!C9+'ESCOLA MUNICIPAL HILDEBRANDO DE'!C9+'E M OSWALDO DA COSTA FRIAS'!C9+'E MZDA AVELINO DE CARVALHO'!C9+'ESCOLA MUNICIPALIZADA MOYSÉS FU'!C9+'CEI ANGELA MARIA DA CONCEIÇÃO S'!C9+'CEI JOSÉ GONÇALVES DA MOTTA'!C9+'E M DR BARROS FRANCO'!C9+'E M MAJOR THEÓFILO DE CARVALHO'!C9+'E M JOÃO KOPKE'!C9+'CEI ASSOCIAÇÃO BENEFICENTE FAZE'!C9+'ESCOLA SAO FRANCISCO DE ASSIS'!C9+'CEI SÃO FRANCISCO ASSIS'!C9+'CEI ALDEIA DA CRIANCA'!C9+'ESCOLA MUNICIPAL ODETTE FONSECA'!C9+'CEI ANA CAROLINA TELLES'!C9+'E M SEBASTIÃO LACERDA'!C9+'E M DOM PEDRO DE ALCÂNTARA'!C9+'ESCOLA NOSSA SENHORA DE FÁTIMA'!C9+'ESCOLA PAROQUIAL SÃO FRANCISCO '!C9+'E M MONSENHOR CIRILLO CALAON'!C9</f>
        <v/>
      </c>
      <c r="D5" s="143">
        <f>B5-C5</f>
        <v/>
      </c>
      <c r="E5" s="144">
        <f>'Entrada de Dados'!C2</f>
        <v/>
      </c>
      <c r="F5" s="144">
        <f>D5*E5</f>
        <v/>
      </c>
    </row>
    <row r="6" ht="15" customHeight="1" s="107">
      <c r="A6" s="132">
        <f>'Entrada de Dados'!D5</f>
        <v/>
      </c>
      <c r="B6" s="143">
        <f>'Entrada de Dados'!D197</f>
        <v/>
      </c>
      <c r="C6" s="143">
        <f>'E M ROTARY'!C10+'E M DE EDUCAÇÃO ESPECIAL SANTOS'!C10+'LICEU MUN PREFEITO CORDOLINO AM'!C10+'E M PREFEITO JAMIL SABRÁ'!C10+'LICEU MUNICIPAL CARLOS CHAGAS F'!C10+'E M PAULO FREIRE'!C10+'E M PROFª MARIA CAMPOS DA SILVA'!C10+'CASA DA EDUCAÇÃO VISCONDE DE MA'!C10+'CENTRO DE REFERÊNCIA EM EDUCAÇÃ'!C10+'ESCOLA SANTA LUIZA DE MARILLAC'!C10+'ESCOLA DOMÉSTICA NOSSA SENHORA '!C10+'ESCOLA MONSENHOR GENTIL'!C10+'ESCOLA PAROQUIAL NOSSA SENHORA '!C10+'ESCOLA PAROQUIAL SÃO PEDRO DE A'!C10+'CEI TERRA SANTA'!C10+'CEI PRIMEIRA INFÂNCIA'!C10+'CEI PROFª PATRÍCIA FERREIRA E S'!C10+'CEI DRA ZILDA ARNS NEUMANN'!C10+'CENTRO DE EDUCAÇÃO INFANTIL PRO'!C10+'CEI MONSENHOR PAULO ELIAS DAHER'!C10+'COLÉGIO GUNNAR VINGREN DE PETRÓ'!C10+'EDUCANDÁRIO TERRA SANTA'!C10+'CEI LIONS CLUBE DE PETRÓPOLIS'!C10+'ESCOLA PAROQUIAL NOSSA SENHO 2'!C10+'CENTRO DE EDUCAÇÃO INFANTIL IRM'!C10+'E M LUIZ CARLOS SOARES'!C10+'ESCOLA GERMANO VALENTE'!C10+'ESCOLA PAROQUIAL NOSSA SENHO 3'!C10+'CEI JORGE ROLANDO DA SILVA'!C10+'E M CLEMENTE FERNANDES'!C10+'E M GERALDO VENTURA DIAS'!C10+'ESCOLA DAS COMUNIDADES SANTO AN'!C10+'CEI PROFª ROSANGELA DA SILVA LE'!C10+'CEI DEISE ELOY GOMES'!C10+'CEI PROFª SONIA REGINA SCUDESE '!C10+'CEI TIA ALICE'!C10+'E M BATAILLARD'!C10+'E M SOROPTIMISTA'!C10+'E M SALVADOR KLING'!C10+'ESCOLA MUNICIPALIZADA FREI ANIC'!C10+'ESCOLA SÃO JUDAS TADEU'!C10+'CEI PEDRAS BRANCAS'!C10+'CEI MARIA THEREZA KLING DO VALL'!C10+'CEI DONA ESPERANZA DE BOURBON D'!C10+'CEI GIUSEPPE-NEVA VOLONTERIO'!C10+'CENTRO DE EDUCAÇÃO INFANTIL SÃO'!C10+'E M LEONARDO BOFF'!C10+'ESCOLA MUNICIPAL GENERAL HEITOR'!C10+'E M JOHANN NOEL'!C10+'ESCOLA SANTA MARIA GORETTI'!C10+'ESCOLA SANTA RITA DE CASSIA'!C10+'ESCOLA SÃO JOÃO BATISTA'!C10+'CEI CASA DA SOLIDARIEDADE DE NO'!C10+'CEI A SEMENTEIRA'!C10+'CEI VILA SAO JOSE'!C10+'E M DR RUBENS DE CASTRO BOMTEMP'!C10+'CEI FREI LEÃO'!C10+'CEI SÃO JOÃO BATISTA'!C10+'CEI JURACI PINTO DO AMARAL DE C'!C10+'E M PEDRO AMADO'!C10+'E M ABELARDO DE LAMARE'!C10+'ESCOLA MUNICIPAL SENADOR MARIO '!C10+'ESCOLA PAROQUIAL SÃO PIO X'!C10+'CEI SÃO CHARBEL'!C10+'E M ROSALINA NICOLAY'!C10+'CEI INÊS BELARMINO DE SOUZA'!C10+'E M PROFª MARIA DA GLÓRIA QUEIR'!C10+'CENTRO EDUCACIONAL COMUNIDADE S'!C10+'CEI ROMANO CANAVESE'!C10+'CEI CÉLIA LÔBO PAULO'!C10+'CEI PROFª DORA KILLER'!C10+'CEI ALTO INDEPENDÊNCIA'!C10+'ESCOLA MUNICIPAL ALTO INDEPENDÊ'!C10+'E M PAPA JOÃO PAULO II'!C10+'CEI ANDRÉ REBOUÇAS'!C10+'CEI PROFª HERMÍNIA MATHEUS'!C10+'ESCOLA MUNICIPAL MAJOR JÚLIO FR'!C10+'E M ALMIRANTE TAMANDARÉ'!C10+'ESCOLA PAROQUIAL CARLOS DEMIÁ'!C10+'CENTRO PAROQUIAL DE EDUCAÇÃO IN'!C10+'CEI IRMÃ SILVANA'!C10+'CEI OLÍVIA MACHADO DA COSTA NOG'!C10+'E M GOVERNADOR MARCELLO ALENCAR'!C10+'E M PROFESSOR FLÁVIO MACIEL'!C10+'E M PROFª JANDIRA PEIXOTO BORDI'!C10+'E M STEFAN ZWEIG'!C10+'ESCOLA PAROQUIAL BOM JESUS'!C10+'CEI MARLI SOARES FERREIRA NETTO'!C10+'CENTRO DE EDUCAÇÃO INFANTIL CHI'!C10+'CEI VILA IPANEMA'!C10+'E M ROBERT KENNEDY'!C10+'ESCOLA MUNICIPAL ANA MOHAMMAD'!C10+'ESCOLA SÃO CRISTÓVÃO'!C10+'CEI DÉA LÚCIA CORDEIRO'!C10+'CEI SAGRADA FAMÍLIA'!C10+'CEI SÃO JOSÉ DAS OBLATAS DE NAZ'!C10+'ESCOLA MUNICIPAL JORGE AMADO'!C10+'E M FÁBRICA DO SABER'!C10+'CIEP BRIZOLÃO 474 MAESTRO GUERR'!C10+'CENTRO DE ENSINO PROF DARCY RIB'!C10+'CEI ANDRÉ VANZAN'!C10+'CENTRO DE EDUCAÇÃO INFANTIL CAR'!C10+'CEI BOA VISTA'!C10+'ASSOCIAÇÃO DA CRECHE SÃO FRANCI'!C10+'ESCOLA MUNICIPAL PAULO SALDANHA'!C10+'ESCOLA MUNICIPAL LÚCIA DE ALMEI'!C10+'E M DOM MANOEL PEDRO DA CUNHA C'!C10+'ESCOLA SÃO GERALDO'!C10+'CEI LULU MONTEIRO DE CASTRO'!C10+'CEI CARANGOLA'!C10+'ASSOCIAÇÃO RECREAR'!C10+'CENTRO DE EDUCAÇÃO INFANTIL CAS'!C10+'E M ROSEMIRA DE OLIVEIRA CAVALC'!C10+'E MZDA CARMEM NUNES MARTINS'!C10+'CEI SÃO JOSÉ DO ITAMARATI'!C10+'E M DUQUE DE CAXIAS'!C10+'CENTRO DE EDUCAÇÃO INFANTIL  2'!C10+'E M ANTÔNIO LEITE GARCIA'!C10+'ESCOLA PAROQUIAL DA ALCOBAÇA'!C10+'CENTRO DE EDUCAÇÃO INFANTIL LOT'!C10+'ESCOLA PAROQUIAL DO LOTEAMENTO '!C10+'E M PROF JOAQUIM DEISTER'!C10+'E M MARIETA GONÇALVES'!C10+'ESCOLA MUNICIPAL ODETTE YOUNG M'!C10+'ESCOLA MUNICIPAL PROFESSOR JOSE'!C10+'E M HERCÍLIA HENRIQUES MORET'!C10+'COLEGIO VICENTINO PADRE CORRÊA'!C10+'CEI PROFª MARLUCE DE SOUZA PEST'!C10+'CEI IRINEU MARINHO'!C10+'CEI DAGMAR ROLANDO DE OLIVEIRA'!C10+'CEI NOSSA SENHORA DA GLÓRIA'!C10+'E M PROF NILTON COSTA PEREIRA D'!C10+'CENTRO DE EDUCAÇÃO INFANTIL SÉR'!C10+'CEI SANTO ANTÔNIO AGOSTINHO'!C10+'CEI OSWALDO CRUZ'!C10+'E M MAGDALENA TAGLIAFERRO'!C10+'ESCOLA SÃO JOSÉ DO CAETITU'!C10+'CRECHE-ESCOLA CASTELO SÃO MANOE'!C10+'CEI THEREZINHA DE JESUS LIMA'!C10+'ESCOLA MUNICIPAL PROFESSOR PAUL'!C10+'COLÉGIO ANGLICANO DE ARARAS'!C10+'ESCOLA PAROQUIAL SANTA BERNADET'!C10+'CEI VISTA ALEGRE'!C10+'CEI DENISE BESSA DE OLIVA MAYA'!C10+'CEI VIDEIRINHA'!C10+'E M AMÉRICO FERNANDES RIBEIRO'!C10+'ESCOLA MUNICIPAL AUGUSTO PUGNAL'!C10+'ESCOLA MUNICIPAL CELINA SCHECHN'!C10+'E M DARCY CORREA DA VEIGA'!C10+'E M DR PAULA BUARQUE'!C10+'LICEU SÃO JOSÉ DE ITAIPAVA'!C10+'CEI LUIZ MARCHIORI'!C10+'CENTRO DE EDUCAÇÃO INFANTIL AUG'!C10+'CEI PROFª ADRIANA CONSTÂNCIO TR'!C10+'E M AMÉLIA ANTUNES RABELLO'!C10+'CEI PREFEITO SÉRGIO FADEL'!C10+'E M DR THEODORO MACHADO'!C10+'ESCOLA SANTO ANTÔNIO'!C10+'E M TAQUARIL'!C10+'E M MONSENHOR JOÃO DE DEUS RODR'!C10+'CENTRO DE REFERÊNCIA EM EDUC 2'!C10+'CEI PROFª GRAÇA COSTA'!C10+'CEI VILA LEOPOLDINA'!C10+'CEI NILO PEÇANHA'!C10+'E MZDA SANTA TEREZINHA'!C10+'CEI CRIANÇA SANTA EDWIGES'!C10+'E M ARNALDO DYCKERHOFF'!C10+'E M CARLOS CANEDO'!C10+'E M BEATRIZ ZALESKI'!C10+'E M ANTÔNIO JOSÉ DE LIMA'!C10+'E M FELIX WAN ERVEN DE BARROS'!C10+'ESCOLA MUNICIPAL HILDEBRANDO DE'!C10+'E M OSWALDO DA COSTA FRIAS'!C10+'E MZDA AVELINO DE CARVALHO'!C10+'ESCOLA MUNICIPALIZADA MOYSÉS FU'!C10+'CEI ANGELA MARIA DA CONCEIÇÃO S'!C10+'CEI JOSÉ GONÇALVES DA MOTTA'!C10+'E M DR BARROS FRANCO'!C10+'E M MAJOR THEÓFILO DE CARVALHO'!C10+'E M JOÃO KOPKE'!C10+'CEI ASSOCIAÇÃO BENEFICENTE FAZE'!C10+'ESCOLA SAO FRANCISCO DE ASSIS'!C10+'CEI SÃO FRANCISCO ASSIS'!C10+'CEI ALDEIA DA CRIANCA'!C10+'ESCOLA MUNICIPAL ODETTE FONSECA'!C10+'CEI ANA CAROLINA TELLES'!C10+'E M SEBASTIÃO LACERDA'!C10+'E M DOM PEDRO DE ALCÂNTARA'!C10+'ESCOLA NOSSA SENHORA DE FÁTIMA'!C10+'ESCOLA PAROQUIAL SÃO FRANCISCO '!C10+'E M MONSENHOR CIRILLO CALAON'!C10</f>
        <v/>
      </c>
      <c r="D6" s="143">
        <f>B6-C6</f>
        <v/>
      </c>
      <c r="E6" s="144">
        <f>'Entrada de Dados'!D2</f>
        <v/>
      </c>
      <c r="F6" s="144">
        <f>D6*E6</f>
        <v/>
      </c>
    </row>
    <row r="7" ht="15" customHeight="1" s="107">
      <c r="A7" s="132">
        <f>'Entrada de Dados'!E5</f>
        <v/>
      </c>
      <c r="B7" s="143">
        <f>'Entrada de Dados'!E197</f>
        <v/>
      </c>
      <c r="C7" s="143">
        <f>'E M ROTARY'!C11+'E M DE EDUCAÇÃO ESPECIAL SANTOS'!C11+'LICEU MUN PREFEITO CORDOLINO AM'!C11+'E M PREFEITO JAMIL SABRÁ'!C11+'LICEU MUNICIPAL CARLOS CHAGAS F'!C11+'E M PAULO FREIRE'!C11+'E M PROFª MARIA CAMPOS DA SILVA'!C11+'CASA DA EDUCAÇÃO VISCONDE DE MA'!C11+'CENTRO DE REFERÊNCIA EM EDUCAÇÃ'!C11+'ESCOLA SANTA LUIZA DE MARILLAC'!C11+'ESCOLA DOMÉSTICA NOSSA SENHORA '!C11+'ESCOLA MONSENHOR GENTIL'!C11+'ESCOLA PAROQUIAL NOSSA SENHORA '!C11+'ESCOLA PAROQUIAL SÃO PEDRO DE A'!C11+'CEI TERRA SANTA'!C11+'CEI PRIMEIRA INFÂNCIA'!C11+'CEI PROFª PATRÍCIA FERREIRA E S'!C11+'CEI DRA ZILDA ARNS NEUMANN'!C11+'CENTRO DE EDUCAÇÃO INFANTIL PRO'!C11+'CEI MONSENHOR PAULO ELIAS DAHER'!C11+'COLÉGIO GUNNAR VINGREN DE PETRÓ'!C11+'EDUCANDÁRIO TERRA SANTA'!C11+'CEI LIONS CLUBE DE PETRÓPOLIS'!C11+'ESCOLA PAROQUIAL NOSSA SENHO 2'!C11+'CENTRO DE EDUCAÇÃO INFANTIL IRM'!C11+'E M LUIZ CARLOS SOARES'!C11+'ESCOLA GERMANO VALENTE'!C11+'ESCOLA PAROQUIAL NOSSA SENHO 3'!C11+'CEI JORGE ROLANDO DA SILVA'!C11+'E M CLEMENTE FERNANDES'!C11+'E M GERALDO VENTURA DIAS'!C11+'ESCOLA DAS COMUNIDADES SANTO AN'!C11+'CEI PROFª ROSANGELA DA SILVA LE'!C11+'CEI DEISE ELOY GOMES'!C11+'CEI PROFª SONIA REGINA SCUDESE '!C11+'CEI TIA ALICE'!C11+'E M BATAILLARD'!C11+'E M SOROPTIMISTA'!C11+'E M SALVADOR KLING'!C11+'ESCOLA MUNICIPALIZADA FREI ANIC'!C11+'ESCOLA SÃO JUDAS TADEU'!C11+'CEI PEDRAS BRANCAS'!C11+'CEI MARIA THEREZA KLING DO VALL'!C11+'CEI DONA ESPERANZA DE BOURBON D'!C11+'CEI GIUSEPPE-NEVA VOLONTERIO'!C11+'CENTRO DE EDUCAÇÃO INFANTIL SÃO'!C11+'E M LEONARDO BOFF'!C11+'ESCOLA MUNICIPAL GENERAL HEITOR'!C11+'E M JOHANN NOEL'!C11+'ESCOLA SANTA MARIA GORETTI'!C11+'ESCOLA SANTA RITA DE CASSIA'!C11+'ESCOLA SÃO JOÃO BATISTA'!C11+'CEI CASA DA SOLIDARIEDADE DE NO'!C11+'CEI A SEMENTEIRA'!C11+'CEI VILA SAO JOSE'!C11+'E M DR RUBENS DE CASTRO BOMTEMP'!C11+'CEI FREI LEÃO'!C11+'CEI SÃO JOÃO BATISTA'!C11+'CEI JURACI PINTO DO AMARAL DE C'!C11+'E M PEDRO AMADO'!C11+'E M ABELARDO DE LAMARE'!C11+'ESCOLA MUNICIPAL SENADOR MARIO '!C11+'ESCOLA PAROQUIAL SÃO PIO X'!C11+'CEI SÃO CHARBEL'!C11+'E M ROSALINA NICOLAY'!C11+'CEI INÊS BELARMINO DE SOUZA'!C11+'E M PROFª MARIA DA GLÓRIA QUEIR'!C11+'CENTRO EDUCACIONAL COMUNIDADE S'!C11+'CEI ROMANO CANAVESE'!C11+'CEI CÉLIA LÔBO PAULO'!C11+'CEI PROFª DORA KILLER'!C11+'CEI ALTO INDEPENDÊNCIA'!C11+'ESCOLA MUNICIPAL ALTO INDEPENDÊ'!C11+'E M PAPA JOÃO PAULO II'!C11+'CEI ANDRÉ REBOUÇAS'!C11+'CEI PROFª HERMÍNIA MATHEUS'!C11+'ESCOLA MUNICIPAL MAJOR JÚLIO FR'!C11+'E M ALMIRANTE TAMANDARÉ'!C11+'ESCOLA PAROQUIAL CARLOS DEMIÁ'!C11+'CENTRO PAROQUIAL DE EDUCAÇÃO IN'!C11+'CEI IRMÃ SILVANA'!C11+'CEI OLÍVIA MACHADO DA COSTA NOG'!C11+'E M GOVERNADOR MARCELLO ALENCAR'!C11+'E M PROFESSOR FLÁVIO MACIEL'!C11+'E M PROFª JANDIRA PEIXOTO BORDI'!C11+'E M STEFAN ZWEIG'!C11+'ESCOLA PAROQUIAL BOM JESUS'!C11+'CEI MARLI SOARES FERREIRA NETTO'!C11+'CENTRO DE EDUCAÇÃO INFANTIL CHI'!C11+'CEI VILA IPANEMA'!C11+'E M ROBERT KENNEDY'!C11+'ESCOLA MUNICIPAL ANA MOHAMMAD'!C11+'ESCOLA SÃO CRISTÓVÃO'!C11+'CEI DÉA LÚCIA CORDEIRO'!C11+'CEI SAGRADA FAMÍLIA'!C11+'CEI SÃO JOSÉ DAS OBLATAS DE NAZ'!C11+'ESCOLA MUNICIPAL JORGE AMADO'!C11+'E M FÁBRICA DO SABER'!C11+'CIEP BRIZOLÃO 474 MAESTRO GUERR'!C11+'CENTRO DE ENSINO PROF DARCY RIB'!C11+'CEI ANDRÉ VANZAN'!C11+'CENTRO DE EDUCAÇÃO INFANTIL CAR'!C11+'CEI BOA VISTA'!C11+'ASSOCIAÇÃO DA CRECHE SÃO FRANCI'!C11+'ESCOLA MUNICIPAL PAULO SALDANHA'!C11+'ESCOLA MUNICIPAL LÚCIA DE ALMEI'!C11+'E M DOM MANOEL PEDRO DA CUNHA C'!C11+'ESCOLA SÃO GERALDO'!C11+'CEI LULU MONTEIRO DE CASTRO'!C11+'CEI CARANGOLA'!C11+'ASSOCIAÇÃO RECREAR'!C11+'CENTRO DE EDUCAÇÃO INFANTIL CAS'!C11+'E M ROSEMIRA DE OLIVEIRA CAVALC'!C11+'E MZDA CARMEM NUNES MARTINS'!C11+'CEI SÃO JOSÉ DO ITAMARATI'!C11+'E M DUQUE DE CAXIAS'!C11+'CENTRO DE EDUCAÇÃO INFANTIL  2'!C11+'E M ANTÔNIO LEITE GARCIA'!C11+'ESCOLA PAROQUIAL DA ALCOBAÇA'!C11+'CENTRO DE EDUCAÇÃO INFANTIL LOT'!C11+'ESCOLA PAROQUIAL DO LOTEAMENTO '!C11+'E M PROF JOAQUIM DEISTER'!C11+'E M MARIETA GONÇALVES'!C11+'ESCOLA MUNICIPAL ODETTE YOUNG M'!C11+'ESCOLA MUNICIPAL PROFESSOR JOSE'!C11+'E M HERCÍLIA HENRIQUES MORET'!C11+'COLEGIO VICENTINO PADRE CORRÊA'!C11+'CEI PROFª MARLUCE DE SOUZA PEST'!C11+'CEI IRINEU MARINHO'!C11+'CEI DAGMAR ROLANDO DE OLIVEIRA'!C11+'CEI NOSSA SENHORA DA GLÓRIA'!C11+'E M PROF NILTON COSTA PEREIRA D'!C11+'CENTRO DE EDUCAÇÃO INFANTIL SÉR'!C11+'CEI SANTO ANTÔNIO AGOSTINHO'!C11+'CEI OSWALDO CRUZ'!C11+'E M MAGDALENA TAGLIAFERRO'!C11+'ESCOLA SÃO JOSÉ DO CAETITU'!C11+'CRECHE-ESCOLA CASTELO SÃO MANOE'!C11+'CEI THEREZINHA DE JESUS LIMA'!C11+'ESCOLA MUNICIPAL PROFESSOR PAUL'!C11+'COLÉGIO ANGLICANO DE ARARAS'!C11+'ESCOLA PAROQUIAL SANTA BERNADET'!C11+'CEI VISTA ALEGRE'!C11+'CEI DENISE BESSA DE OLIVA MAYA'!C11+'CEI VIDEIRINHA'!C11+'E M AMÉRICO FERNANDES RIBEIRO'!C11+'ESCOLA MUNICIPAL AUGUSTO PUGNAL'!C11+'ESCOLA MUNICIPAL CELINA SCHECHN'!C11+'E M DARCY CORREA DA VEIGA'!C11+'E M DR PAULA BUARQUE'!C11+'LICEU SÃO JOSÉ DE ITAIPAVA'!C11+'CEI LUIZ MARCHIORI'!C11+'CENTRO DE EDUCAÇÃO INFANTIL AUG'!C11+'CEI PROFª ADRIANA CONSTÂNCIO TR'!C11+'E M AMÉLIA ANTUNES RABELLO'!C11+'CEI PREFEITO SÉRGIO FADEL'!C11+'E M DR THEODORO MACHADO'!C11+'ESCOLA SANTO ANTÔNIO'!C11+'E M TAQUARIL'!C11+'E M MONSENHOR JOÃO DE DEUS RODR'!C11+'CENTRO DE REFERÊNCIA EM EDUC 2'!C11+'CEI PROFª GRAÇA COSTA'!C11+'CEI VILA LEOPOLDINA'!C11+'CEI NILO PEÇANHA'!C11+'E MZDA SANTA TEREZINHA'!C11+'CEI CRIANÇA SANTA EDWIGES'!C11+'E M ARNALDO DYCKERHOFF'!C11+'E M CARLOS CANEDO'!C11+'E M BEATRIZ ZALESKI'!C11+'E M ANTÔNIO JOSÉ DE LIMA'!C11+'E M FELIX WAN ERVEN DE BARROS'!C11+'ESCOLA MUNICIPAL HILDEBRANDO DE'!C11+'E M OSWALDO DA COSTA FRIAS'!C11+'E MZDA AVELINO DE CARVALHO'!C11+'ESCOLA MUNICIPALIZADA MOYSÉS FU'!C11+'CEI ANGELA MARIA DA CONCEIÇÃO S'!C11+'CEI JOSÉ GONÇALVES DA MOTTA'!C11+'E M DR BARROS FRANCO'!C11+'E M MAJOR THEÓFILO DE CARVALHO'!C11+'E M JOÃO KOPKE'!C11+'CEI ASSOCIAÇÃO BENEFICENTE FAZE'!C11+'ESCOLA SAO FRANCISCO DE ASSIS'!C11+'CEI SÃO FRANCISCO ASSIS'!C11+'CEI ALDEIA DA CRIANCA'!C11+'ESCOLA MUNICIPAL ODETTE FONSECA'!C11+'CEI ANA CAROLINA TELLES'!C11+'E M SEBASTIÃO LACERDA'!C11+'E M DOM PEDRO DE ALCÂNTARA'!C11+'ESCOLA NOSSA SENHORA DE FÁTIMA'!C11+'ESCOLA PAROQUIAL SÃO FRANCISCO '!C11+'E M MONSENHOR CIRILLO CALAON'!C11</f>
        <v/>
      </c>
      <c r="D7" s="143">
        <f>B7-C7</f>
        <v/>
      </c>
      <c r="E7" s="144">
        <f>'Entrada de Dados'!E2</f>
        <v/>
      </c>
      <c r="F7" s="144">
        <f>D7*E7</f>
        <v/>
      </c>
    </row>
    <row r="8" ht="15" customHeight="1" s="107">
      <c r="A8" s="132">
        <f>'Entrada de Dados'!F5</f>
        <v/>
      </c>
      <c r="B8" s="143">
        <f>'Entrada de Dados'!F197</f>
        <v/>
      </c>
      <c r="C8" s="143">
        <f>'E M ROTARY'!C12+'E M DE EDUCAÇÃO ESPECIAL SANTOS'!C12+'LICEU MUN PREFEITO CORDOLINO AM'!C12+'E M PREFEITO JAMIL SABRÁ'!C12+'LICEU MUNICIPAL CARLOS CHAGAS F'!C12+'E M PAULO FREIRE'!C12+'E M PROFª MARIA CAMPOS DA SILVA'!C12+'CASA DA EDUCAÇÃO VISCONDE DE MA'!C12+'CENTRO DE REFERÊNCIA EM EDUCAÇÃ'!C12+'ESCOLA SANTA LUIZA DE MARILLAC'!C12+'ESCOLA DOMÉSTICA NOSSA SENHORA '!C12+'ESCOLA MONSENHOR GENTIL'!C12+'ESCOLA PAROQUIAL NOSSA SENHORA '!C12+'ESCOLA PAROQUIAL SÃO PEDRO DE A'!C12+'CEI TERRA SANTA'!C12+'CEI PRIMEIRA INFÂNCIA'!C12+'CEI PROFª PATRÍCIA FERREIRA E S'!C12+'CEI DRA ZILDA ARNS NEUMANN'!C12+'CENTRO DE EDUCAÇÃO INFANTIL PRO'!C12+'CEI MONSENHOR PAULO ELIAS DAHER'!C12+'COLÉGIO GUNNAR VINGREN DE PETRÓ'!C12+'EDUCANDÁRIO TERRA SANTA'!C12+'CEI LIONS CLUBE DE PETRÓPOLIS'!C12+'ESCOLA PAROQUIAL NOSSA SENHO 2'!C12+'CENTRO DE EDUCAÇÃO INFANTIL IRM'!C12+'E M LUIZ CARLOS SOARES'!C12+'ESCOLA GERMANO VALENTE'!C12+'ESCOLA PAROQUIAL NOSSA SENHO 3'!C12+'CEI JORGE ROLANDO DA SILVA'!C12+'E M CLEMENTE FERNANDES'!C12+'E M GERALDO VENTURA DIAS'!C12+'ESCOLA DAS COMUNIDADES SANTO AN'!C12+'CEI PROFª ROSANGELA DA SILVA LE'!C12+'CEI DEISE ELOY GOMES'!C12+'CEI PROFª SONIA REGINA SCUDESE '!C12+'CEI TIA ALICE'!C12+'E M BATAILLARD'!C12+'E M SOROPTIMISTA'!C12+'E M SALVADOR KLING'!C12+'ESCOLA MUNICIPALIZADA FREI ANIC'!C12+'ESCOLA SÃO JUDAS TADEU'!C12+'CEI PEDRAS BRANCAS'!C12+'CEI MARIA THEREZA KLING DO VALL'!C12+'CEI DONA ESPERANZA DE BOURBON D'!C12+'CEI GIUSEPPE-NEVA VOLONTERIO'!C12+'CENTRO DE EDUCAÇÃO INFANTIL SÃO'!C12+'E M LEONARDO BOFF'!C12+'ESCOLA MUNICIPAL GENERAL HEITOR'!C12+'E M JOHANN NOEL'!C12+'ESCOLA SANTA MARIA GORETTI'!C12+'ESCOLA SANTA RITA DE CASSIA'!C12+'ESCOLA SÃO JOÃO BATISTA'!C12+'CEI CASA DA SOLIDARIEDADE DE NO'!C12+'CEI A SEMENTEIRA'!C12+'CEI VILA SAO JOSE'!C12+'E M DR RUBENS DE CASTRO BOMTEMP'!C12+'CEI FREI LEÃO'!C12+'CEI SÃO JOÃO BATISTA'!C12+'CEI JURACI PINTO DO AMARAL DE C'!C12+'E M PEDRO AMADO'!C12+'E M ABELARDO DE LAMARE'!C12+'ESCOLA MUNICIPAL SENADOR MARIO '!C12+'ESCOLA PAROQUIAL SÃO PIO X'!C12+'CEI SÃO CHARBEL'!C12+'E M ROSALINA NICOLAY'!C12+'CEI INÊS BELARMINO DE SOUZA'!C12+'E M PROFª MARIA DA GLÓRIA QUEIR'!C12+'CENTRO EDUCACIONAL COMUNIDADE S'!C12+'CEI ROMANO CANAVESE'!C12+'CEI CÉLIA LÔBO PAULO'!C12+'CEI PROFª DORA KILLER'!C12+'CEI ALTO INDEPENDÊNCIA'!C12+'ESCOLA MUNICIPAL ALTO INDEPENDÊ'!C12+'E M PAPA JOÃO PAULO II'!C12+'CEI ANDRÉ REBOUÇAS'!C12+'CEI PROFª HERMÍNIA MATHEUS'!C12+'ESCOLA MUNICIPAL MAJOR JÚLIO FR'!C12+'E M ALMIRANTE TAMANDARÉ'!C12+'ESCOLA PAROQUIAL CARLOS DEMIÁ'!C12+'CENTRO PAROQUIAL DE EDUCAÇÃO IN'!C12+'CEI IRMÃ SILVANA'!C12+'CEI OLÍVIA MACHADO DA COSTA NOG'!C12+'E M GOVERNADOR MARCELLO ALENCAR'!C12+'E M PROFESSOR FLÁVIO MACIEL'!C12+'E M PROFª JANDIRA PEIXOTO BORDI'!C12+'E M STEFAN ZWEIG'!C12+'ESCOLA PAROQUIAL BOM JESUS'!C12+'CEI MARLI SOARES FERREIRA NETTO'!C12+'CENTRO DE EDUCAÇÃO INFANTIL CHI'!C12+'CEI VILA IPANEMA'!C12+'E M ROBERT KENNEDY'!C12+'ESCOLA MUNICIPAL ANA MOHAMMAD'!C12+'ESCOLA SÃO CRISTÓVÃO'!C12+'CEI DÉA LÚCIA CORDEIRO'!C12+'CEI SAGRADA FAMÍLIA'!C12+'CEI SÃO JOSÉ DAS OBLATAS DE NAZ'!C12+'ESCOLA MUNICIPAL JORGE AMADO'!C12+'E M FÁBRICA DO SABER'!C12+'CIEP BRIZOLÃO 474 MAESTRO GUERR'!C12+'CENTRO DE ENSINO PROF DARCY RIB'!C12+'CEI ANDRÉ VANZAN'!C12+'CENTRO DE EDUCAÇÃO INFANTIL CAR'!C12+'CEI BOA VISTA'!C12+'ASSOCIAÇÃO DA CRECHE SÃO FRANCI'!C12+'ESCOLA MUNICIPAL PAULO SALDANHA'!C12+'ESCOLA MUNICIPAL LÚCIA DE ALMEI'!C12+'E M DOM MANOEL PEDRO DA CUNHA C'!C12+'ESCOLA SÃO GERALDO'!C12+'CEI LULU MONTEIRO DE CASTRO'!C12+'CEI CARANGOLA'!C12+'ASSOCIAÇÃO RECREAR'!C12+'CENTRO DE EDUCAÇÃO INFANTIL CAS'!C12+'E M ROSEMIRA DE OLIVEIRA CAVALC'!C12+'E MZDA CARMEM NUNES MARTINS'!C12+'CEI SÃO JOSÉ DO ITAMARATI'!C12+'E M DUQUE DE CAXIAS'!C12+'CENTRO DE EDUCAÇÃO INFANTIL  2'!C12+'E M ANTÔNIO LEITE GARCIA'!C12+'ESCOLA PAROQUIAL DA ALCOBAÇA'!C12+'CENTRO DE EDUCAÇÃO INFANTIL LOT'!C12+'ESCOLA PAROQUIAL DO LOTEAMENTO '!C12+'E M PROF JOAQUIM DEISTER'!C12+'E M MARIETA GONÇALVES'!C12+'ESCOLA MUNICIPAL ODETTE YOUNG M'!C12+'ESCOLA MUNICIPAL PROFESSOR JOSE'!C12+'E M HERCÍLIA HENRIQUES MORET'!C12+'COLEGIO VICENTINO PADRE CORRÊA'!C12+'CEI PROFª MARLUCE DE SOUZA PEST'!C12+'CEI IRINEU MARINHO'!C12+'CEI DAGMAR ROLANDO DE OLIVEIRA'!C12+'CEI NOSSA SENHORA DA GLÓRIA'!C12+'E M PROF NILTON COSTA PEREIRA D'!C12+'CENTRO DE EDUCAÇÃO INFANTIL SÉR'!C12+'CEI SANTO ANTÔNIO AGOSTINHO'!C12+'CEI OSWALDO CRUZ'!C12+'E M MAGDALENA TAGLIAFERRO'!C12+'ESCOLA SÃO JOSÉ DO CAETITU'!C12+'CRECHE-ESCOLA CASTELO SÃO MANOE'!C12+'CEI THEREZINHA DE JESUS LIMA'!C12+'ESCOLA MUNICIPAL PROFESSOR PAUL'!C12+'COLÉGIO ANGLICANO DE ARARAS'!C12+'ESCOLA PAROQUIAL SANTA BERNADET'!C12+'CEI VISTA ALEGRE'!C12+'CEI DENISE BESSA DE OLIVA MAYA'!C12+'CEI VIDEIRINHA'!C12+'E M AMÉRICO FERNANDES RIBEIRO'!C12+'ESCOLA MUNICIPAL AUGUSTO PUGNAL'!C12+'ESCOLA MUNICIPAL CELINA SCHECHN'!C12+'E M DARCY CORREA DA VEIGA'!C12+'E M DR PAULA BUARQUE'!C12+'LICEU SÃO JOSÉ DE ITAIPAVA'!C12+'CEI LUIZ MARCHIORI'!C12+'CENTRO DE EDUCAÇÃO INFANTIL AUG'!C12+'CEI PROFª ADRIANA CONSTÂNCIO TR'!C12+'E M AMÉLIA ANTUNES RABELLO'!C12+'CEI PREFEITO SÉRGIO FADEL'!C12+'E M DR THEODORO MACHADO'!C12+'ESCOLA SANTO ANTÔNIO'!C12+'E M TAQUARIL'!C12+'E M MONSENHOR JOÃO DE DEUS RODR'!C12+'CENTRO DE REFERÊNCIA EM EDUC 2'!C12+'CEI PROFª GRAÇA COSTA'!C12+'CEI VILA LEOPOLDINA'!C12+'CEI NILO PEÇANHA'!C12+'E MZDA SANTA TEREZINHA'!C12+'CEI CRIANÇA SANTA EDWIGES'!C12+'E M ARNALDO DYCKERHOFF'!C12+'E M CARLOS CANEDO'!C12+'E M BEATRIZ ZALESKI'!C12+'E M ANTÔNIO JOSÉ DE LIMA'!C12+'E M FELIX WAN ERVEN DE BARROS'!C12+'ESCOLA MUNICIPAL HILDEBRANDO DE'!C12+'E M OSWALDO DA COSTA FRIAS'!C12+'E MZDA AVELINO DE CARVALHO'!C12+'ESCOLA MUNICIPALIZADA MOYSÉS FU'!C12+'CEI ANGELA MARIA DA CONCEIÇÃO S'!C12+'CEI JOSÉ GONÇALVES DA MOTTA'!C12+'E M DR BARROS FRANCO'!C12+'E M MAJOR THEÓFILO DE CARVALHO'!C12+'E M JOÃO KOPKE'!C12+'CEI ASSOCIAÇÃO BENEFICENTE FAZE'!C12+'ESCOLA SAO FRANCISCO DE ASSIS'!C12+'CEI SÃO FRANCISCO ASSIS'!C12+'CEI ALDEIA DA CRIANCA'!C12+'ESCOLA MUNICIPAL ODETTE FONSECA'!C12+'CEI ANA CAROLINA TELLES'!C12+'E M SEBASTIÃO LACERDA'!C12+'E M DOM PEDRO DE ALCÂNTARA'!C12+'ESCOLA NOSSA SENHORA DE FÁTIMA'!C12+'ESCOLA PAROQUIAL SÃO FRANCISCO '!C12+'E M MONSENHOR CIRILLO CALAON'!C12</f>
        <v/>
      </c>
      <c r="D8" s="143">
        <f>B8-C8</f>
        <v/>
      </c>
      <c r="E8" s="144">
        <f>'Entrada de Dados'!F2</f>
        <v/>
      </c>
      <c r="F8" s="144">
        <f>D8*E8</f>
        <v/>
      </c>
    </row>
    <row r="9" ht="15" customHeight="1" s="107">
      <c r="A9" s="132">
        <f>'Entrada de Dados'!G5</f>
        <v/>
      </c>
      <c r="B9" s="143">
        <f>'Entrada de Dados'!G197</f>
        <v/>
      </c>
      <c r="C9" s="143">
        <f>'E M ROTARY'!C13+'E M DE EDUCAÇÃO ESPECIAL SANTOS'!C13+'LICEU MUN PREFEITO CORDOLINO AM'!C13+'E M PREFEITO JAMIL SABRÁ'!C13+'LICEU MUNICIPAL CARLOS CHAGAS F'!C13+'E M PAULO FREIRE'!C13+'E M PROFª MARIA CAMPOS DA SILVA'!C13+'CASA DA EDUCAÇÃO VISCONDE DE MA'!C13+'CENTRO DE REFERÊNCIA EM EDUCAÇÃ'!C13+'ESCOLA SANTA LUIZA DE MARILLAC'!C13+'ESCOLA DOMÉSTICA NOSSA SENHORA '!C13+'ESCOLA MONSENHOR GENTIL'!C13+'ESCOLA PAROQUIAL NOSSA SENHORA '!C13+'ESCOLA PAROQUIAL SÃO PEDRO DE A'!C13+'CEI TERRA SANTA'!C13+'CEI PRIMEIRA INFÂNCIA'!C13+'CEI PROFª PATRÍCIA FERREIRA E S'!C13+'CEI DRA ZILDA ARNS NEUMANN'!C13+'CENTRO DE EDUCAÇÃO INFANTIL PRO'!C13+'CEI MONSENHOR PAULO ELIAS DAHER'!C13+'COLÉGIO GUNNAR VINGREN DE PETRÓ'!C13+'EDUCANDÁRIO TERRA SANTA'!C13+'CEI LIONS CLUBE DE PETRÓPOLIS'!C13+'ESCOLA PAROQUIAL NOSSA SENHO 2'!C13+'CENTRO DE EDUCAÇÃO INFANTIL IRM'!C13+'E M LUIZ CARLOS SOARES'!C13+'ESCOLA GERMANO VALENTE'!C13+'ESCOLA PAROQUIAL NOSSA SENHO 3'!C13+'CEI JORGE ROLANDO DA SILVA'!C13+'E M CLEMENTE FERNANDES'!C13+'E M GERALDO VENTURA DIAS'!C13+'ESCOLA DAS COMUNIDADES SANTO AN'!C13+'CEI PROFª ROSANGELA DA SILVA LE'!C13+'CEI DEISE ELOY GOMES'!C13+'CEI PROFª SONIA REGINA SCUDESE '!C13+'CEI TIA ALICE'!C13+'E M BATAILLARD'!C13+'E M SOROPTIMISTA'!C13+'E M SALVADOR KLING'!C13+'ESCOLA MUNICIPALIZADA FREI ANIC'!C13+'ESCOLA SÃO JUDAS TADEU'!C13+'CEI PEDRAS BRANCAS'!C13+'CEI MARIA THEREZA KLING DO VALL'!C13+'CEI DONA ESPERANZA DE BOURBON D'!C13+'CEI GIUSEPPE-NEVA VOLONTERIO'!C13+'CENTRO DE EDUCAÇÃO INFANTIL SÃO'!C13+'E M LEONARDO BOFF'!C13+'ESCOLA MUNICIPAL GENERAL HEITOR'!C13+'E M JOHANN NOEL'!C13+'ESCOLA SANTA MARIA GORETTI'!C13+'ESCOLA SANTA RITA DE CASSIA'!C13+'ESCOLA SÃO JOÃO BATISTA'!C13+'CEI CASA DA SOLIDARIEDADE DE NO'!C13+'CEI A SEMENTEIRA'!C13+'CEI VILA SAO JOSE'!C13+'E M DR RUBENS DE CASTRO BOMTEMP'!C13+'CEI FREI LEÃO'!C13+'CEI SÃO JOÃO BATISTA'!C13+'CEI JURACI PINTO DO AMARAL DE C'!C13+'E M PEDRO AMADO'!C13+'E M ABELARDO DE LAMARE'!C13+'ESCOLA MUNICIPAL SENADOR MARIO '!C13+'ESCOLA PAROQUIAL SÃO PIO X'!C13+'CEI SÃO CHARBEL'!C13+'E M ROSALINA NICOLAY'!C13+'CEI INÊS BELARMINO DE SOUZA'!C13+'E M PROFª MARIA DA GLÓRIA QUEIR'!C13+'CENTRO EDUCACIONAL COMUNIDADE S'!C13+'CEI ROMANO CANAVESE'!C13+'CEI CÉLIA LÔBO PAULO'!C13+'CEI PROFª DORA KILLER'!C13+'CEI ALTO INDEPENDÊNCIA'!C13+'ESCOLA MUNICIPAL ALTO INDEPENDÊ'!C13+'E M PAPA JOÃO PAULO II'!C13+'CEI ANDRÉ REBOUÇAS'!C13+'CEI PROFª HERMÍNIA MATHEUS'!C13+'ESCOLA MUNICIPAL MAJOR JÚLIO FR'!C13+'E M ALMIRANTE TAMANDARÉ'!C13+'ESCOLA PAROQUIAL CARLOS DEMIÁ'!C13+'CENTRO PAROQUIAL DE EDUCAÇÃO IN'!C13+'CEI IRMÃ SILVANA'!C13+'CEI OLÍVIA MACHADO DA COSTA NOG'!C13+'E M GOVERNADOR MARCELLO ALENCAR'!C13+'E M PROFESSOR FLÁVIO MACIEL'!C13+'E M PROFª JANDIRA PEIXOTO BORDI'!C13+'E M STEFAN ZWEIG'!C13+'ESCOLA PAROQUIAL BOM JESUS'!C13+'CEI MARLI SOARES FERREIRA NETTO'!C13+'CENTRO DE EDUCAÇÃO INFANTIL CHI'!C13+'CEI VILA IPANEMA'!C13+'E M ROBERT KENNEDY'!C13+'ESCOLA MUNICIPAL ANA MOHAMMAD'!C13+'ESCOLA SÃO CRISTÓVÃO'!C13+'CEI DÉA LÚCIA CORDEIRO'!C13+'CEI SAGRADA FAMÍLIA'!C13+'CEI SÃO JOSÉ DAS OBLATAS DE NAZ'!C13+'ESCOLA MUNICIPAL JORGE AMADO'!C13+'E M FÁBRICA DO SABER'!C13+'CIEP BRIZOLÃO 474 MAESTRO GUERR'!C13+'CENTRO DE ENSINO PROF DARCY RIB'!C13+'CEI ANDRÉ VANZAN'!C13+'CENTRO DE EDUCAÇÃO INFANTIL CAR'!C13+'CEI BOA VISTA'!C13+'ASSOCIAÇÃO DA CRECHE SÃO FRANCI'!C13+'ESCOLA MUNICIPAL PAULO SALDANHA'!C13+'ESCOLA MUNICIPAL LÚCIA DE ALMEI'!C13+'E M DOM MANOEL PEDRO DA CUNHA C'!C13+'ESCOLA SÃO GERALDO'!C13+'CEI LULU MONTEIRO DE CASTRO'!C13+'CEI CARANGOLA'!C13+'ASSOCIAÇÃO RECREAR'!C13+'CENTRO DE EDUCAÇÃO INFANTIL CAS'!C13+'E M ROSEMIRA DE OLIVEIRA CAVALC'!C13+'E MZDA CARMEM NUNES MARTINS'!C13+'CEI SÃO JOSÉ DO ITAMARATI'!C13+'E M DUQUE DE CAXIAS'!C13+'CENTRO DE EDUCAÇÃO INFANTIL  2'!C13+'E M ANTÔNIO LEITE GARCIA'!C13+'ESCOLA PAROQUIAL DA ALCOBAÇA'!C13+'CENTRO DE EDUCAÇÃO INFANTIL LOT'!C13+'ESCOLA PAROQUIAL DO LOTEAMENTO '!C13+'E M PROF JOAQUIM DEISTER'!C13+'E M MARIETA GONÇALVES'!C13+'ESCOLA MUNICIPAL ODETTE YOUNG M'!C13+'ESCOLA MUNICIPAL PROFESSOR JOSE'!C13+'E M HERCÍLIA HENRIQUES MORET'!C13+'COLEGIO VICENTINO PADRE CORRÊA'!C13+'CEI PROFª MARLUCE DE SOUZA PEST'!C13+'CEI IRINEU MARINHO'!C13+'CEI DAGMAR ROLANDO DE OLIVEIRA'!C13+'CEI NOSSA SENHORA DA GLÓRIA'!C13+'E M PROF NILTON COSTA PEREIRA D'!C13+'CENTRO DE EDUCAÇÃO INFANTIL SÉR'!C13+'CEI SANTO ANTÔNIO AGOSTINHO'!C13+'CEI OSWALDO CRUZ'!C13+'E M MAGDALENA TAGLIAFERRO'!C13+'ESCOLA SÃO JOSÉ DO CAETITU'!C13+'CRECHE-ESCOLA CASTELO SÃO MANOE'!C13+'CEI THEREZINHA DE JESUS LIMA'!C13+'ESCOLA MUNICIPAL PROFESSOR PAUL'!C13+'COLÉGIO ANGLICANO DE ARARAS'!C13+'ESCOLA PAROQUIAL SANTA BERNADET'!C13+'CEI VISTA ALEGRE'!C13+'CEI DENISE BESSA DE OLIVA MAYA'!C13+'CEI VIDEIRINHA'!C13+'E M AMÉRICO FERNANDES RIBEIRO'!C13+'ESCOLA MUNICIPAL AUGUSTO PUGNAL'!C13+'ESCOLA MUNICIPAL CELINA SCHECHN'!C13+'E M DARCY CORREA DA VEIGA'!C13+'E M DR PAULA BUARQUE'!C13+'LICEU SÃO JOSÉ DE ITAIPAVA'!C13+'CEI LUIZ MARCHIORI'!C13+'CENTRO DE EDUCAÇÃO INFANTIL AUG'!C13+'CEI PROFª ADRIANA CONSTÂNCIO TR'!C13+'E M AMÉLIA ANTUNES RABELLO'!C13+'CEI PREFEITO SÉRGIO FADEL'!C13+'E M DR THEODORO MACHADO'!C13+'ESCOLA SANTO ANTÔNIO'!C13+'E M TAQUARIL'!C13+'E M MONSENHOR JOÃO DE DEUS RODR'!C13+'CENTRO DE REFERÊNCIA EM EDUC 2'!C13+'CEI PROFª GRAÇA COSTA'!C13+'CEI VILA LEOPOLDINA'!C13+'CEI NILO PEÇANHA'!C13+'E MZDA SANTA TEREZINHA'!C13+'CEI CRIANÇA SANTA EDWIGES'!C13+'E M ARNALDO DYCKERHOFF'!C13+'E M CARLOS CANEDO'!C13+'E M BEATRIZ ZALESKI'!C13+'E M ANTÔNIO JOSÉ DE LIMA'!C13+'E M FELIX WAN ERVEN DE BARROS'!C13+'ESCOLA MUNICIPAL HILDEBRANDO DE'!C13+'E M OSWALDO DA COSTA FRIAS'!C13+'E MZDA AVELINO DE CARVALHO'!C13+'ESCOLA MUNICIPALIZADA MOYSÉS FU'!C13+'CEI ANGELA MARIA DA CONCEIÇÃO S'!C13+'CEI JOSÉ GONÇALVES DA MOTTA'!C13+'E M DR BARROS FRANCO'!C13+'E M MAJOR THEÓFILO DE CARVALHO'!C13+'E M JOÃO KOPKE'!C13+'CEI ASSOCIAÇÃO BENEFICENTE FAZE'!C13+'ESCOLA SAO FRANCISCO DE ASSIS'!C13+'CEI SÃO FRANCISCO ASSIS'!C13+'CEI ALDEIA DA CRIANCA'!C13+'ESCOLA MUNICIPAL ODETTE FONSECA'!C13+'CEI ANA CAROLINA TELLES'!C13+'E M SEBASTIÃO LACERDA'!C13+'E M DOM PEDRO DE ALCÂNTARA'!C13+'ESCOLA NOSSA SENHORA DE FÁTIMA'!C13+'ESCOLA PAROQUIAL SÃO FRANCISCO '!C13+'E M MONSENHOR CIRILLO CALAON'!C13</f>
        <v/>
      </c>
      <c r="D9" s="143">
        <f>B9-C9</f>
        <v/>
      </c>
      <c r="E9" s="144">
        <f>'Entrada de Dados'!G2</f>
        <v/>
      </c>
      <c r="F9" s="144">
        <f>D9*E9</f>
        <v/>
      </c>
    </row>
    <row r="10" ht="15" customHeight="1" s="107">
      <c r="A10" s="132">
        <f>'Entrada de Dados'!H5</f>
        <v/>
      </c>
      <c r="B10" s="143">
        <f>'Entrada de Dados'!H197</f>
        <v/>
      </c>
      <c r="C10" s="143">
        <f>'E M ROTARY'!C14+'E M DE EDUCAÇÃO ESPECIAL SANTOS'!C14+'LICEU MUN PREFEITO CORDOLINO AM'!C14+'E M PREFEITO JAMIL SABRÁ'!C14+'LICEU MUNICIPAL CARLOS CHAGAS F'!C14+'E M PAULO FREIRE'!C14+'E M PROFª MARIA CAMPOS DA SILVA'!C14+'CASA DA EDUCAÇÃO VISCONDE DE MA'!C14+'CENTRO DE REFERÊNCIA EM EDUCAÇÃ'!C14+'ESCOLA SANTA LUIZA DE MARILLAC'!C14+'ESCOLA DOMÉSTICA NOSSA SENHORA '!C14+'ESCOLA MONSENHOR GENTIL'!C14+'ESCOLA PAROQUIAL NOSSA SENHORA '!C14+'ESCOLA PAROQUIAL SÃO PEDRO DE A'!C14+'CEI TERRA SANTA'!C14+'CEI PRIMEIRA INFÂNCIA'!C14+'CEI PROFª PATRÍCIA FERREIRA E S'!C14+'CEI DRA ZILDA ARNS NEUMANN'!C14+'CENTRO DE EDUCAÇÃO INFANTIL PRO'!C14+'CEI MONSENHOR PAULO ELIAS DAHER'!C14+'COLÉGIO GUNNAR VINGREN DE PETRÓ'!C14+'EDUCANDÁRIO TERRA SANTA'!C14+'CEI LIONS CLUBE DE PETRÓPOLIS'!C14+'ESCOLA PAROQUIAL NOSSA SENHO 2'!C14+'CENTRO DE EDUCAÇÃO INFANTIL IRM'!C14+'E M LUIZ CARLOS SOARES'!C14+'ESCOLA GERMANO VALENTE'!C14+'ESCOLA PAROQUIAL NOSSA SENHO 3'!C14+'CEI JORGE ROLANDO DA SILVA'!C14+'E M CLEMENTE FERNANDES'!C14+'E M GERALDO VENTURA DIAS'!C14+'ESCOLA DAS COMUNIDADES SANTO AN'!C14+'CEI PROFª ROSANGELA DA SILVA LE'!C14+'CEI DEISE ELOY GOMES'!C14+'CEI PROFª SONIA REGINA SCUDESE '!C14+'CEI TIA ALICE'!C14+'E M BATAILLARD'!C14+'E M SOROPTIMISTA'!C14+'E M SALVADOR KLING'!C14+'ESCOLA MUNICIPALIZADA FREI ANIC'!C14+'ESCOLA SÃO JUDAS TADEU'!C14+'CEI PEDRAS BRANCAS'!C14+'CEI MARIA THEREZA KLING DO VALL'!C14+'CEI DONA ESPERANZA DE BOURBON D'!C14+'CEI GIUSEPPE-NEVA VOLONTERIO'!C14+'CENTRO DE EDUCAÇÃO INFANTIL SÃO'!C14+'E M LEONARDO BOFF'!C14+'ESCOLA MUNICIPAL GENERAL HEITOR'!C14+'E M JOHANN NOEL'!C14+'ESCOLA SANTA MARIA GORETTI'!C14+'ESCOLA SANTA RITA DE CASSIA'!C14+'ESCOLA SÃO JOÃO BATISTA'!C14+'CEI CASA DA SOLIDARIEDADE DE NO'!C14+'CEI A SEMENTEIRA'!C14+'CEI VILA SAO JOSE'!C14+'E M DR RUBENS DE CASTRO BOMTEMP'!C14+'CEI FREI LEÃO'!C14+'CEI SÃO JOÃO BATISTA'!C14+'CEI JURACI PINTO DO AMARAL DE C'!C14+'E M PEDRO AMADO'!C14+'E M ABELARDO DE LAMARE'!C14+'ESCOLA MUNICIPAL SENADOR MARIO '!C14+'ESCOLA PAROQUIAL SÃO PIO X'!C14+'CEI SÃO CHARBEL'!C14+'E M ROSALINA NICOLAY'!C14+'CEI INÊS BELARMINO DE SOUZA'!C14+'E M PROFª MARIA DA GLÓRIA QUEIR'!C14+'CENTRO EDUCACIONAL COMUNIDADE S'!C14+'CEI ROMANO CANAVESE'!C14+'CEI CÉLIA LÔBO PAULO'!C14+'CEI PROFª DORA KILLER'!C14+'CEI ALTO INDEPENDÊNCIA'!C14+'ESCOLA MUNICIPAL ALTO INDEPENDÊ'!C14+'E M PAPA JOÃO PAULO II'!C14+'CEI ANDRÉ REBOUÇAS'!C14+'CEI PROFª HERMÍNIA MATHEUS'!C14+'ESCOLA MUNICIPAL MAJOR JÚLIO FR'!C14+'E M ALMIRANTE TAMANDARÉ'!C14+'ESCOLA PAROQUIAL CARLOS DEMIÁ'!C14+'CENTRO PAROQUIAL DE EDUCAÇÃO IN'!C14+'CEI IRMÃ SILVANA'!C14+'CEI OLÍVIA MACHADO DA COSTA NOG'!C14+'E M GOVERNADOR MARCELLO ALENCAR'!C14+'E M PROFESSOR FLÁVIO MACIEL'!C14+'E M PROFª JANDIRA PEIXOTO BORDI'!C14+'E M STEFAN ZWEIG'!C14+'ESCOLA PAROQUIAL BOM JESUS'!C14+'CEI MARLI SOARES FERREIRA NETTO'!C14+'CENTRO DE EDUCAÇÃO INFANTIL CHI'!C14+'CEI VILA IPANEMA'!C14+'E M ROBERT KENNEDY'!C14+'ESCOLA MUNICIPAL ANA MOHAMMAD'!C14+'ESCOLA SÃO CRISTÓVÃO'!C14+'CEI DÉA LÚCIA CORDEIRO'!C14+'CEI SAGRADA FAMÍLIA'!C14+'CEI SÃO JOSÉ DAS OBLATAS DE NAZ'!C14+'ESCOLA MUNICIPAL JORGE AMADO'!C14+'E M FÁBRICA DO SABER'!C14+'CIEP BRIZOLÃO 474 MAESTRO GUERR'!C14+'CENTRO DE ENSINO PROF DARCY RIB'!C14+'CEI ANDRÉ VANZAN'!C14+'CENTRO DE EDUCAÇÃO INFANTIL CAR'!C14+'CEI BOA VISTA'!C14+'ASSOCIAÇÃO DA CRECHE SÃO FRANCI'!C14+'ESCOLA MUNICIPAL PAULO SALDANHA'!C14+'ESCOLA MUNICIPAL LÚCIA DE ALMEI'!C14+'E M DOM MANOEL PEDRO DA CUNHA C'!C14+'ESCOLA SÃO GERALDO'!C14+'CEI LULU MONTEIRO DE CASTRO'!C14+'CEI CARANGOLA'!C14+'ASSOCIAÇÃO RECREAR'!C14+'CENTRO DE EDUCAÇÃO INFANTIL CAS'!C14+'E M ROSEMIRA DE OLIVEIRA CAVALC'!C14+'E MZDA CARMEM NUNES MARTINS'!C14+'CEI SÃO JOSÉ DO ITAMARATI'!C14+'E M DUQUE DE CAXIAS'!C14+'CENTRO DE EDUCAÇÃO INFANTIL  2'!C14+'E M ANTÔNIO LEITE GARCIA'!C14+'ESCOLA PAROQUIAL DA ALCOBAÇA'!C14+'CENTRO DE EDUCAÇÃO INFANTIL LOT'!C14+'ESCOLA PAROQUIAL DO LOTEAMENTO '!C14+'E M PROF JOAQUIM DEISTER'!C14+'E M MARIETA GONÇALVES'!C14+'ESCOLA MUNICIPAL ODETTE YOUNG M'!C14+'ESCOLA MUNICIPAL PROFESSOR JOSE'!C14+'E M HERCÍLIA HENRIQUES MORET'!C14+'COLEGIO VICENTINO PADRE CORRÊA'!C14+'CEI PROFª MARLUCE DE SOUZA PEST'!C14+'CEI IRINEU MARINHO'!C14+'CEI DAGMAR ROLANDO DE OLIVEIRA'!C14+'CEI NOSSA SENHORA DA GLÓRIA'!C14+'E M PROF NILTON COSTA PEREIRA D'!C14+'CENTRO DE EDUCAÇÃO INFANTIL SÉR'!C14+'CEI SANTO ANTÔNIO AGOSTINHO'!C14+'CEI OSWALDO CRUZ'!C14+'E M MAGDALENA TAGLIAFERRO'!C14+'ESCOLA SÃO JOSÉ DO CAETITU'!C14+'CRECHE-ESCOLA CASTELO SÃO MANOE'!C14+'CEI THEREZINHA DE JESUS LIMA'!C14+'ESCOLA MUNICIPAL PROFESSOR PAUL'!C14+'COLÉGIO ANGLICANO DE ARARAS'!C14+'ESCOLA PAROQUIAL SANTA BERNADET'!C14+'CEI VISTA ALEGRE'!C14+'CEI DENISE BESSA DE OLIVA MAYA'!C14+'CEI VIDEIRINHA'!C14+'E M AMÉRICO FERNANDES RIBEIRO'!C14+'ESCOLA MUNICIPAL AUGUSTO PUGNAL'!C14+'ESCOLA MUNICIPAL CELINA SCHECHN'!C14+'E M DARCY CORREA DA VEIGA'!C14+'E M DR PAULA BUARQUE'!C14+'LICEU SÃO JOSÉ DE ITAIPAVA'!C14+'CEI LUIZ MARCHIORI'!C14+'CENTRO DE EDUCAÇÃO INFANTIL AUG'!C14+'CEI PROFª ADRIANA CONSTÂNCIO TR'!C14+'E M AMÉLIA ANTUNES RABELLO'!C14+'CEI PREFEITO SÉRGIO FADEL'!C14+'E M DR THEODORO MACHADO'!C14+'ESCOLA SANTO ANTÔNIO'!C14+'E M TAQUARIL'!C14+'E M MONSENHOR JOÃO DE DEUS RODR'!C14+'CENTRO DE REFERÊNCIA EM EDUC 2'!C14+'CEI PROFª GRAÇA COSTA'!C14+'CEI VILA LEOPOLDINA'!C14+'CEI NILO PEÇANHA'!C14+'E MZDA SANTA TEREZINHA'!C14+'CEI CRIANÇA SANTA EDWIGES'!C14+'E M ARNALDO DYCKERHOFF'!C14+'E M CARLOS CANEDO'!C14+'E M BEATRIZ ZALESKI'!C14+'E M ANTÔNIO JOSÉ DE LIMA'!C14+'E M FELIX WAN ERVEN DE BARROS'!C14+'ESCOLA MUNICIPAL HILDEBRANDO DE'!C14+'E M OSWALDO DA COSTA FRIAS'!C14+'E MZDA AVELINO DE CARVALHO'!C14+'ESCOLA MUNICIPALIZADA MOYSÉS FU'!C14+'CEI ANGELA MARIA DA CONCEIÇÃO S'!C14+'CEI JOSÉ GONÇALVES DA MOTTA'!C14+'E M DR BARROS FRANCO'!C14+'E M MAJOR THEÓFILO DE CARVALHO'!C14+'E M JOÃO KOPKE'!C14+'CEI ASSOCIAÇÃO BENEFICENTE FAZE'!C14+'ESCOLA SAO FRANCISCO DE ASSIS'!C14+'CEI SÃO FRANCISCO ASSIS'!C14+'CEI ALDEIA DA CRIANCA'!C14+'ESCOLA MUNICIPAL ODETTE FONSECA'!C14+'CEI ANA CAROLINA TELLES'!C14+'E M SEBASTIÃO LACERDA'!C14+'E M DOM PEDRO DE ALCÂNTARA'!C14+'ESCOLA NOSSA SENHORA DE FÁTIMA'!C14+'ESCOLA PAROQUIAL SÃO FRANCISCO '!C14+'E M MONSENHOR CIRILLO CALAON'!C14</f>
        <v/>
      </c>
      <c r="D10" s="143">
        <f>B10-C10</f>
        <v/>
      </c>
      <c r="E10" s="144">
        <f>'Entrada de Dados'!H2</f>
        <v/>
      </c>
      <c r="F10" s="144">
        <f>D10*E10</f>
        <v/>
      </c>
    </row>
    <row r="11" ht="15" customHeight="1" s="107">
      <c r="A11" s="132">
        <f>'Entrada de Dados'!I5</f>
        <v/>
      </c>
      <c r="B11" s="143">
        <f>'Entrada de Dados'!I197</f>
        <v/>
      </c>
      <c r="C11" s="143">
        <f>'E M ROTARY'!C15+'E M DE EDUCAÇÃO ESPECIAL SANTOS'!C15+'LICEU MUN PREFEITO CORDOLINO AM'!C15+'E M PREFEITO JAMIL SABRÁ'!C15+'LICEU MUNICIPAL CARLOS CHAGAS F'!C15+'E M PAULO FREIRE'!C15+'E M PROFª MARIA CAMPOS DA SILVA'!C15+'CASA DA EDUCAÇÃO VISCONDE DE MA'!C15+'CENTRO DE REFERÊNCIA EM EDUCAÇÃ'!C15+'ESCOLA SANTA LUIZA DE MARILLAC'!C15+'ESCOLA DOMÉSTICA NOSSA SENHORA '!C15+'ESCOLA MONSENHOR GENTIL'!C15+'ESCOLA PAROQUIAL NOSSA SENHORA '!C15+'ESCOLA PAROQUIAL SÃO PEDRO DE A'!C15+'CEI TERRA SANTA'!C15+'CEI PRIMEIRA INFÂNCIA'!C15+'CEI PROFª PATRÍCIA FERREIRA E S'!C15+'CEI DRA ZILDA ARNS NEUMANN'!C15+'CENTRO DE EDUCAÇÃO INFANTIL PRO'!C15+'CEI MONSENHOR PAULO ELIAS DAHER'!C15+'COLÉGIO GUNNAR VINGREN DE PETRÓ'!C15+'EDUCANDÁRIO TERRA SANTA'!C15+'CEI LIONS CLUBE DE PETRÓPOLIS'!C15+'ESCOLA PAROQUIAL NOSSA SENHO 2'!C15+'CENTRO DE EDUCAÇÃO INFANTIL IRM'!C15+'E M LUIZ CARLOS SOARES'!C15+'ESCOLA GERMANO VALENTE'!C15+'ESCOLA PAROQUIAL NOSSA SENHO 3'!C15+'CEI JORGE ROLANDO DA SILVA'!C15+'E M CLEMENTE FERNANDES'!C15+'E M GERALDO VENTURA DIAS'!C15+'ESCOLA DAS COMUNIDADES SANTO AN'!C15+'CEI PROFª ROSANGELA DA SILVA LE'!C15+'CEI DEISE ELOY GOMES'!C15+'CEI PROFª SONIA REGINA SCUDESE '!C15+'CEI TIA ALICE'!C15+'E M BATAILLARD'!C15+'E M SOROPTIMISTA'!C15+'E M SALVADOR KLING'!C15+'ESCOLA MUNICIPALIZADA FREI ANIC'!C15+'ESCOLA SÃO JUDAS TADEU'!C15+'CEI PEDRAS BRANCAS'!C15+'CEI MARIA THEREZA KLING DO VALL'!C15+'CEI DONA ESPERANZA DE BOURBON D'!C15+'CEI GIUSEPPE-NEVA VOLONTERIO'!C15+'CENTRO DE EDUCAÇÃO INFANTIL SÃO'!C15+'E M LEONARDO BOFF'!C15+'ESCOLA MUNICIPAL GENERAL HEITOR'!C15+'E M JOHANN NOEL'!C15+'ESCOLA SANTA MARIA GORETTI'!C15+'ESCOLA SANTA RITA DE CASSIA'!C15+'ESCOLA SÃO JOÃO BATISTA'!C15+'CEI CASA DA SOLIDARIEDADE DE NO'!C15+'CEI A SEMENTEIRA'!C15+'CEI VILA SAO JOSE'!C15+'E M DR RUBENS DE CASTRO BOMTEMP'!C15+'CEI FREI LEÃO'!C15+'CEI SÃO JOÃO BATISTA'!C15+'CEI JURACI PINTO DO AMARAL DE C'!C15+'E M PEDRO AMADO'!C15+'E M ABELARDO DE LAMARE'!C15+'ESCOLA MUNICIPAL SENADOR MARIO '!C15+'ESCOLA PAROQUIAL SÃO PIO X'!C15+'CEI SÃO CHARBEL'!C15+'E M ROSALINA NICOLAY'!C15+'CEI INÊS BELARMINO DE SOUZA'!C15+'E M PROFª MARIA DA GLÓRIA QUEIR'!C15+'CENTRO EDUCACIONAL COMUNIDADE S'!C15+'CEI ROMANO CANAVESE'!C15+'CEI CÉLIA LÔBO PAULO'!C15+'CEI PROFª DORA KILLER'!C15+'CEI ALTO INDEPENDÊNCIA'!C15+'ESCOLA MUNICIPAL ALTO INDEPENDÊ'!C15+'E M PAPA JOÃO PAULO II'!C15+'CEI ANDRÉ REBOUÇAS'!C15+'CEI PROFª HERMÍNIA MATHEUS'!C15+'ESCOLA MUNICIPAL MAJOR JÚLIO FR'!C15+'E M ALMIRANTE TAMANDARÉ'!C15+'ESCOLA PAROQUIAL CARLOS DEMIÁ'!C15+'CENTRO PAROQUIAL DE EDUCAÇÃO IN'!C15+'CEI IRMÃ SILVANA'!C15+'CEI OLÍVIA MACHADO DA COSTA NOG'!C15+'E M GOVERNADOR MARCELLO ALENCAR'!C15+'E M PROFESSOR FLÁVIO MACIEL'!C15+'E M PROFª JANDIRA PEIXOTO BORDI'!C15+'E M STEFAN ZWEIG'!C15+'ESCOLA PAROQUIAL BOM JESUS'!C15+'CEI MARLI SOARES FERREIRA NETTO'!C15+'CENTRO DE EDUCAÇÃO INFANTIL CHI'!C15+'CEI VILA IPANEMA'!C15+'E M ROBERT KENNEDY'!C15+'ESCOLA MUNICIPAL ANA MOHAMMAD'!C15+'ESCOLA SÃO CRISTÓVÃO'!C15+'CEI DÉA LÚCIA CORDEIRO'!C15+'CEI SAGRADA FAMÍLIA'!C15+'CEI SÃO JOSÉ DAS OBLATAS DE NAZ'!C15+'ESCOLA MUNICIPAL JORGE AMADO'!C15+'E M FÁBRICA DO SABER'!C15+'CIEP BRIZOLÃO 474 MAESTRO GUERR'!C15+'CENTRO DE ENSINO PROF DARCY RIB'!C15+'CEI ANDRÉ VANZAN'!C15+'CENTRO DE EDUCAÇÃO INFANTIL CAR'!C15+'CEI BOA VISTA'!C15+'ASSOCIAÇÃO DA CRECHE SÃO FRANCI'!C15+'ESCOLA MUNICIPAL PAULO SALDANHA'!C15+'ESCOLA MUNICIPAL LÚCIA DE ALMEI'!C15+'E M DOM MANOEL PEDRO DA CUNHA C'!C15+'ESCOLA SÃO GERALDO'!C15+'CEI LULU MONTEIRO DE CASTRO'!C15+'CEI CARANGOLA'!C15+'ASSOCIAÇÃO RECREAR'!C15+'CENTRO DE EDUCAÇÃO INFANTIL CAS'!C15+'E M ROSEMIRA DE OLIVEIRA CAVALC'!C15+'E MZDA CARMEM NUNES MARTINS'!C15+'CEI SÃO JOSÉ DO ITAMARATI'!C15+'E M DUQUE DE CAXIAS'!C15+'CENTRO DE EDUCAÇÃO INFANTIL  2'!C15+'E M ANTÔNIO LEITE GARCIA'!C15+'ESCOLA PAROQUIAL DA ALCOBAÇA'!C15+'CENTRO DE EDUCAÇÃO INFANTIL LOT'!C15+'ESCOLA PAROQUIAL DO LOTEAMENTO '!C15+'E M PROF JOAQUIM DEISTER'!C15+'E M MARIETA GONÇALVES'!C15+'ESCOLA MUNICIPAL ODETTE YOUNG M'!C15+'ESCOLA MUNICIPAL PROFESSOR JOSE'!C15+'E M HERCÍLIA HENRIQUES MORET'!C15+'COLEGIO VICENTINO PADRE CORRÊA'!C15+'CEI PROFª MARLUCE DE SOUZA PEST'!C15+'CEI IRINEU MARINHO'!C15+'CEI DAGMAR ROLANDO DE OLIVEIRA'!C15+'CEI NOSSA SENHORA DA GLÓRIA'!C15+'E M PROF NILTON COSTA PEREIRA D'!C15+'CENTRO DE EDUCAÇÃO INFANTIL SÉR'!C15+'CEI SANTO ANTÔNIO AGOSTINHO'!C15+'CEI OSWALDO CRUZ'!C15+'E M MAGDALENA TAGLIAFERRO'!C15+'ESCOLA SÃO JOSÉ DO CAETITU'!C15+'CRECHE-ESCOLA CASTELO SÃO MANOE'!C15+'CEI THEREZINHA DE JESUS LIMA'!C15+'ESCOLA MUNICIPAL PROFESSOR PAUL'!C15+'COLÉGIO ANGLICANO DE ARARAS'!C15+'ESCOLA PAROQUIAL SANTA BERNADET'!C15+'CEI VISTA ALEGRE'!C15+'CEI DENISE BESSA DE OLIVA MAYA'!C15+'CEI VIDEIRINHA'!C15+'E M AMÉRICO FERNANDES RIBEIRO'!C15+'ESCOLA MUNICIPAL AUGUSTO PUGNAL'!C15+'ESCOLA MUNICIPAL CELINA SCHECHN'!C15+'E M DARCY CORREA DA VEIGA'!C15+'E M DR PAULA BUARQUE'!C15+'LICEU SÃO JOSÉ DE ITAIPAVA'!C15+'CEI LUIZ MARCHIORI'!C15+'CENTRO DE EDUCAÇÃO INFANTIL AUG'!C15+'CEI PROFª ADRIANA CONSTÂNCIO TR'!C15+'E M AMÉLIA ANTUNES RABELLO'!C15+'CEI PREFEITO SÉRGIO FADEL'!C15+'E M DR THEODORO MACHADO'!C15+'ESCOLA SANTO ANTÔNIO'!C15+'E M TAQUARIL'!C15+'E M MONSENHOR JOÃO DE DEUS RODR'!C15+'CENTRO DE REFERÊNCIA EM EDUC 2'!C15+'CEI PROFª GRAÇA COSTA'!C15+'CEI VILA LEOPOLDINA'!C15+'CEI NILO PEÇANHA'!C15+'E MZDA SANTA TEREZINHA'!C15+'CEI CRIANÇA SANTA EDWIGES'!C15+'E M ARNALDO DYCKERHOFF'!C15+'E M CARLOS CANEDO'!C15+'E M BEATRIZ ZALESKI'!C15+'E M ANTÔNIO JOSÉ DE LIMA'!C15+'E M FELIX WAN ERVEN DE BARROS'!C15+'ESCOLA MUNICIPAL HILDEBRANDO DE'!C15+'E M OSWALDO DA COSTA FRIAS'!C15+'E MZDA AVELINO DE CARVALHO'!C15+'ESCOLA MUNICIPALIZADA MOYSÉS FU'!C15+'CEI ANGELA MARIA DA CONCEIÇÃO S'!C15+'CEI JOSÉ GONÇALVES DA MOTTA'!C15+'E M DR BARROS FRANCO'!C15+'E M MAJOR THEÓFILO DE CARVALHO'!C15+'E M JOÃO KOPKE'!C15+'CEI ASSOCIAÇÃO BENEFICENTE FAZE'!C15+'ESCOLA SAO FRANCISCO DE ASSIS'!C15+'CEI SÃO FRANCISCO ASSIS'!C15+'CEI ALDEIA DA CRIANCA'!C15+'ESCOLA MUNICIPAL ODETTE FONSECA'!C15+'CEI ANA CAROLINA TELLES'!C15+'E M SEBASTIÃO LACERDA'!C15+'E M DOM PEDRO DE ALCÂNTARA'!C15+'ESCOLA NOSSA SENHORA DE FÁTIMA'!C15+'ESCOLA PAROQUIAL SÃO FRANCISCO '!C15+'E M MONSENHOR CIRILLO CALAON'!C15</f>
        <v/>
      </c>
      <c r="D11" s="143">
        <f>B11-C11</f>
        <v/>
      </c>
      <c r="E11" s="144">
        <f>'Entrada de Dados'!I2</f>
        <v/>
      </c>
      <c r="F11" s="144">
        <f>D11*E11</f>
        <v/>
      </c>
    </row>
    <row r="12" ht="15" customHeight="1" s="107">
      <c r="A12" s="132">
        <f>'Entrada de Dados'!J5</f>
        <v/>
      </c>
      <c r="B12" s="143">
        <f>'Entrada de Dados'!J197</f>
        <v/>
      </c>
      <c r="C12" s="143">
        <f>'E M ROTARY'!C16+'E M DE EDUCAÇÃO ESPECIAL SANTOS'!C16+'LICEU MUN PREFEITO CORDOLINO AM'!C16+'E M PREFEITO JAMIL SABRÁ'!C16+'LICEU MUNICIPAL CARLOS CHAGAS F'!C16+'E M PAULO FREIRE'!C16+'E M PROFª MARIA CAMPOS DA SILVA'!C16+'CASA DA EDUCAÇÃO VISCONDE DE MA'!C16+'CENTRO DE REFERÊNCIA EM EDUCAÇÃ'!C16+'ESCOLA SANTA LUIZA DE MARILLAC'!C16+'ESCOLA DOMÉSTICA NOSSA SENHORA '!C16+'ESCOLA MONSENHOR GENTIL'!C16+'ESCOLA PAROQUIAL NOSSA SENHORA '!C16+'ESCOLA PAROQUIAL SÃO PEDRO DE A'!C16+'CEI TERRA SANTA'!C16+'CEI PRIMEIRA INFÂNCIA'!C16+'CEI PROFª PATRÍCIA FERREIRA E S'!C16+'CEI DRA ZILDA ARNS NEUMANN'!C16+'CENTRO DE EDUCAÇÃO INFANTIL PRO'!C16+'CEI MONSENHOR PAULO ELIAS DAHER'!C16+'COLÉGIO GUNNAR VINGREN DE PETRÓ'!C16+'EDUCANDÁRIO TERRA SANTA'!C16+'CEI LIONS CLUBE DE PETRÓPOLIS'!C16+'ESCOLA PAROQUIAL NOSSA SENHO 2'!C16+'CENTRO DE EDUCAÇÃO INFANTIL IRM'!C16+'E M LUIZ CARLOS SOARES'!C16+'ESCOLA GERMANO VALENTE'!C16+'ESCOLA PAROQUIAL NOSSA SENHO 3'!C16+'CEI JORGE ROLANDO DA SILVA'!C16+'E M CLEMENTE FERNANDES'!C16+'E M GERALDO VENTURA DIAS'!C16+'ESCOLA DAS COMUNIDADES SANTO AN'!C16+'CEI PROFª ROSANGELA DA SILVA LE'!C16+'CEI DEISE ELOY GOMES'!C16+'CEI PROFª SONIA REGINA SCUDESE '!C16+'CEI TIA ALICE'!C16+'E M BATAILLARD'!C16+'E M SOROPTIMISTA'!C16+'E M SALVADOR KLING'!C16+'ESCOLA MUNICIPALIZADA FREI ANIC'!C16+'ESCOLA SÃO JUDAS TADEU'!C16+'CEI PEDRAS BRANCAS'!C16+'CEI MARIA THEREZA KLING DO VALL'!C16+'CEI DONA ESPERANZA DE BOURBON D'!C16+'CEI GIUSEPPE-NEVA VOLONTERIO'!C16+'CENTRO DE EDUCAÇÃO INFANTIL SÃO'!C16+'E M LEONARDO BOFF'!C16+'ESCOLA MUNICIPAL GENERAL HEITOR'!C16+'E M JOHANN NOEL'!C16+'ESCOLA SANTA MARIA GORETTI'!C16+'ESCOLA SANTA RITA DE CASSIA'!C16+'ESCOLA SÃO JOÃO BATISTA'!C16+'CEI CASA DA SOLIDARIEDADE DE NO'!C16+'CEI A SEMENTEIRA'!C16+'CEI VILA SAO JOSE'!C16+'E M DR RUBENS DE CASTRO BOMTEMP'!C16+'CEI FREI LEÃO'!C16+'CEI SÃO JOÃO BATISTA'!C16+'CEI JURACI PINTO DO AMARAL DE C'!C16+'E M PEDRO AMADO'!C16+'E M ABELARDO DE LAMARE'!C16+'ESCOLA MUNICIPAL SENADOR MARIO '!C16+'ESCOLA PAROQUIAL SÃO PIO X'!C16+'CEI SÃO CHARBEL'!C16+'E M ROSALINA NICOLAY'!C16+'CEI INÊS BELARMINO DE SOUZA'!C16+'E M PROFª MARIA DA GLÓRIA QUEIR'!C16+'CENTRO EDUCACIONAL COMUNIDADE S'!C16+'CEI ROMANO CANAVESE'!C16+'CEI CÉLIA LÔBO PAULO'!C16+'CEI PROFª DORA KILLER'!C16+'CEI ALTO INDEPENDÊNCIA'!C16+'ESCOLA MUNICIPAL ALTO INDEPENDÊ'!C16+'E M PAPA JOÃO PAULO II'!C16+'CEI ANDRÉ REBOUÇAS'!C16+'CEI PROFª HERMÍNIA MATHEUS'!C16+'ESCOLA MUNICIPAL MAJOR JÚLIO FR'!C16+'E M ALMIRANTE TAMANDARÉ'!C16+'ESCOLA PAROQUIAL CARLOS DEMIÁ'!C16+'CENTRO PAROQUIAL DE EDUCAÇÃO IN'!C16+'CEI IRMÃ SILVANA'!C16+'CEI OLÍVIA MACHADO DA COSTA NOG'!C16+'E M GOVERNADOR MARCELLO ALENCAR'!C16+'E M PROFESSOR FLÁVIO MACIEL'!C16+'E M PROFª JANDIRA PEIXOTO BORDI'!C16+'E M STEFAN ZWEIG'!C16+'ESCOLA PAROQUIAL BOM JESUS'!C16+'CEI MARLI SOARES FERREIRA NETTO'!C16+'CENTRO DE EDUCAÇÃO INFANTIL CHI'!C16+'CEI VILA IPANEMA'!C16+'E M ROBERT KENNEDY'!C16+'ESCOLA MUNICIPAL ANA MOHAMMAD'!C16+'ESCOLA SÃO CRISTÓVÃO'!C16+'CEI DÉA LÚCIA CORDEIRO'!C16+'CEI SAGRADA FAMÍLIA'!C16+'CEI SÃO JOSÉ DAS OBLATAS DE NAZ'!C16+'ESCOLA MUNICIPAL JORGE AMADO'!C16+'E M FÁBRICA DO SABER'!C16+'CIEP BRIZOLÃO 474 MAESTRO GUERR'!C16+'CENTRO DE ENSINO PROF DARCY RIB'!C16+'CEI ANDRÉ VANZAN'!C16+'CENTRO DE EDUCAÇÃO INFANTIL CAR'!C16+'CEI BOA VISTA'!C16+'ASSOCIAÇÃO DA CRECHE SÃO FRANCI'!C16+'ESCOLA MUNICIPAL PAULO SALDANHA'!C16+'ESCOLA MUNICIPAL LÚCIA DE ALMEI'!C16+'E M DOM MANOEL PEDRO DA CUNHA C'!C16+'ESCOLA SÃO GERALDO'!C16+'CEI LULU MONTEIRO DE CASTRO'!C16+'CEI CARANGOLA'!C16+'ASSOCIAÇÃO RECREAR'!C16+'CENTRO DE EDUCAÇÃO INFANTIL CAS'!C16+'E M ROSEMIRA DE OLIVEIRA CAVALC'!C16+'E MZDA CARMEM NUNES MARTINS'!C16+'CEI SÃO JOSÉ DO ITAMARATI'!C16+'E M DUQUE DE CAXIAS'!C16+'CENTRO DE EDUCAÇÃO INFANTIL  2'!C16+'E M ANTÔNIO LEITE GARCIA'!C16+'ESCOLA PAROQUIAL DA ALCOBAÇA'!C16+'CENTRO DE EDUCAÇÃO INFANTIL LOT'!C16+'ESCOLA PAROQUIAL DO LOTEAMENTO '!C16+'E M PROF JOAQUIM DEISTER'!C16+'E M MARIETA GONÇALVES'!C16+'ESCOLA MUNICIPAL ODETTE YOUNG M'!C16+'ESCOLA MUNICIPAL PROFESSOR JOSE'!C16+'E M HERCÍLIA HENRIQUES MORET'!C16+'COLEGIO VICENTINO PADRE CORRÊA'!C16+'CEI PROFª MARLUCE DE SOUZA PEST'!C16+'CEI IRINEU MARINHO'!C16+'CEI DAGMAR ROLANDO DE OLIVEIRA'!C16+'CEI NOSSA SENHORA DA GLÓRIA'!C16+'E M PROF NILTON COSTA PEREIRA D'!C16+'CENTRO DE EDUCAÇÃO INFANTIL SÉR'!C16+'CEI SANTO ANTÔNIO AGOSTINHO'!C16+'CEI OSWALDO CRUZ'!C16+'E M MAGDALENA TAGLIAFERRO'!C16+'ESCOLA SÃO JOSÉ DO CAETITU'!C16+'CRECHE-ESCOLA CASTELO SÃO MANOE'!C16+'CEI THEREZINHA DE JESUS LIMA'!C16+'ESCOLA MUNICIPAL PROFESSOR PAUL'!C16+'COLÉGIO ANGLICANO DE ARARAS'!C16+'ESCOLA PAROQUIAL SANTA BERNADET'!C16+'CEI VISTA ALEGRE'!C16+'CEI DENISE BESSA DE OLIVA MAYA'!C16+'CEI VIDEIRINHA'!C16+'E M AMÉRICO FERNANDES RIBEIRO'!C16+'ESCOLA MUNICIPAL AUGUSTO PUGNAL'!C16+'ESCOLA MUNICIPAL CELINA SCHECHN'!C16+'E M DARCY CORREA DA VEIGA'!C16+'E M DR PAULA BUARQUE'!C16+'LICEU SÃO JOSÉ DE ITAIPAVA'!C16+'CEI LUIZ MARCHIORI'!C16+'CENTRO DE EDUCAÇÃO INFANTIL AUG'!C16+'CEI PROFª ADRIANA CONSTÂNCIO TR'!C16+'E M AMÉLIA ANTUNES RABELLO'!C16+'CEI PREFEITO SÉRGIO FADEL'!C16+'E M DR THEODORO MACHADO'!C16+'ESCOLA SANTO ANTÔNIO'!C16+'E M TAQUARIL'!C16+'E M MONSENHOR JOÃO DE DEUS RODR'!C16+'CENTRO DE REFERÊNCIA EM EDUC 2'!C16+'CEI PROFª GRAÇA COSTA'!C16+'CEI VILA LEOPOLDINA'!C16+'CEI NILO PEÇANHA'!C16+'E MZDA SANTA TEREZINHA'!C16+'CEI CRIANÇA SANTA EDWIGES'!C16+'E M ARNALDO DYCKERHOFF'!C16+'E M CARLOS CANEDO'!C16+'E M BEATRIZ ZALESKI'!C16+'E M ANTÔNIO JOSÉ DE LIMA'!C16+'E M FELIX WAN ERVEN DE BARROS'!C16+'ESCOLA MUNICIPAL HILDEBRANDO DE'!C16+'E M OSWALDO DA COSTA FRIAS'!C16+'E MZDA AVELINO DE CARVALHO'!C16+'ESCOLA MUNICIPALIZADA MOYSÉS FU'!C16+'CEI ANGELA MARIA DA CONCEIÇÃO S'!C16+'CEI JOSÉ GONÇALVES DA MOTTA'!C16+'E M DR BARROS FRANCO'!C16+'E M MAJOR THEÓFILO DE CARVALHO'!C16+'E M JOÃO KOPKE'!C16+'CEI ASSOCIAÇÃO BENEFICENTE FAZE'!C16+'ESCOLA SAO FRANCISCO DE ASSIS'!C16+'CEI SÃO FRANCISCO ASSIS'!C16+'CEI ALDEIA DA CRIANCA'!C16+'ESCOLA MUNICIPAL ODETTE FONSECA'!C16+'CEI ANA CAROLINA TELLES'!C16+'E M SEBASTIÃO LACERDA'!C16+'E M DOM PEDRO DE ALCÂNTARA'!C16+'ESCOLA NOSSA SENHORA DE FÁTIMA'!C16+'ESCOLA PAROQUIAL SÃO FRANCISCO '!C16+'E M MONSENHOR CIRILLO CALAON'!C16</f>
        <v/>
      </c>
      <c r="D12" s="143">
        <f>B12-C12</f>
        <v/>
      </c>
      <c r="E12" s="144">
        <f>'Entrada de Dados'!J2</f>
        <v/>
      </c>
      <c r="F12" s="144">
        <f>D12*E12</f>
        <v/>
      </c>
    </row>
    <row r="13" ht="15" customHeight="1" s="107">
      <c r="A13" s="132">
        <f>'Entrada de Dados'!K5</f>
        <v/>
      </c>
      <c r="B13" s="143">
        <f>'Entrada de Dados'!K197</f>
        <v/>
      </c>
      <c r="C13" s="143">
        <f>'E M ROTARY'!C17+'E M DE EDUCAÇÃO ESPECIAL SANTOS'!C17+'LICEU MUN PREFEITO CORDOLINO AM'!C17+'E M PREFEITO JAMIL SABRÁ'!C17+'LICEU MUNICIPAL CARLOS CHAGAS F'!C17+'E M PAULO FREIRE'!C17+'E M PROFª MARIA CAMPOS DA SILVA'!C17+'CASA DA EDUCAÇÃO VISCONDE DE MA'!C17+'CENTRO DE REFERÊNCIA EM EDUCAÇÃ'!C17+'ESCOLA SANTA LUIZA DE MARILLAC'!C17+'ESCOLA DOMÉSTICA NOSSA SENHORA '!C17+'ESCOLA MONSENHOR GENTIL'!C17+'ESCOLA PAROQUIAL NOSSA SENHORA '!C17+'ESCOLA PAROQUIAL SÃO PEDRO DE A'!C17+'CEI TERRA SANTA'!C17+'CEI PRIMEIRA INFÂNCIA'!C17+'CEI PROFª PATRÍCIA FERREIRA E S'!C17+'CEI DRA ZILDA ARNS NEUMANN'!C17+'CENTRO DE EDUCAÇÃO INFANTIL PRO'!C17+'CEI MONSENHOR PAULO ELIAS DAHER'!C17+'COLÉGIO GUNNAR VINGREN DE PETRÓ'!C17+'EDUCANDÁRIO TERRA SANTA'!C17+'CEI LIONS CLUBE DE PETRÓPOLIS'!C17+'ESCOLA PAROQUIAL NOSSA SENHO 2'!C17+'CENTRO DE EDUCAÇÃO INFANTIL IRM'!C17+'E M LUIZ CARLOS SOARES'!C17+'ESCOLA GERMANO VALENTE'!C17+'ESCOLA PAROQUIAL NOSSA SENHO 3'!C17+'CEI JORGE ROLANDO DA SILVA'!C17+'E M CLEMENTE FERNANDES'!C17+'E M GERALDO VENTURA DIAS'!C17+'ESCOLA DAS COMUNIDADES SANTO AN'!C17+'CEI PROFª ROSANGELA DA SILVA LE'!C17+'CEI DEISE ELOY GOMES'!C17+'CEI PROFª SONIA REGINA SCUDESE '!C17+'CEI TIA ALICE'!C17+'E M BATAILLARD'!C17+'E M SOROPTIMISTA'!C17+'E M SALVADOR KLING'!C17+'ESCOLA MUNICIPALIZADA FREI ANIC'!C17+'ESCOLA SÃO JUDAS TADEU'!C17+'CEI PEDRAS BRANCAS'!C17+'CEI MARIA THEREZA KLING DO VALL'!C17+'CEI DONA ESPERANZA DE BOURBON D'!C17+'CEI GIUSEPPE-NEVA VOLONTERIO'!C17+'CENTRO DE EDUCAÇÃO INFANTIL SÃO'!C17+'E M LEONARDO BOFF'!C17+'ESCOLA MUNICIPAL GENERAL HEITOR'!C17+'E M JOHANN NOEL'!C17+'ESCOLA SANTA MARIA GORETTI'!C17+'ESCOLA SANTA RITA DE CASSIA'!C17+'ESCOLA SÃO JOÃO BATISTA'!C17+'CEI CASA DA SOLIDARIEDADE DE NO'!C17+'CEI A SEMENTEIRA'!C17+'CEI VILA SAO JOSE'!C17+'E M DR RUBENS DE CASTRO BOMTEMP'!C17+'CEI FREI LEÃO'!C17+'CEI SÃO JOÃO BATISTA'!C17+'CEI JURACI PINTO DO AMARAL DE C'!C17+'E M PEDRO AMADO'!C17+'E M ABELARDO DE LAMARE'!C17+'ESCOLA MUNICIPAL SENADOR MARIO '!C17+'ESCOLA PAROQUIAL SÃO PIO X'!C17+'CEI SÃO CHARBEL'!C17+'E M ROSALINA NICOLAY'!C17+'CEI INÊS BELARMINO DE SOUZA'!C17+'E M PROFª MARIA DA GLÓRIA QUEIR'!C17+'CENTRO EDUCACIONAL COMUNIDADE S'!C17+'CEI ROMANO CANAVESE'!C17+'CEI CÉLIA LÔBO PAULO'!C17+'CEI PROFª DORA KILLER'!C17+'CEI ALTO INDEPENDÊNCIA'!C17+'ESCOLA MUNICIPAL ALTO INDEPENDÊ'!C17+'E M PAPA JOÃO PAULO II'!C17+'CEI ANDRÉ REBOUÇAS'!C17+'CEI PROFª HERMÍNIA MATHEUS'!C17+'ESCOLA MUNICIPAL MAJOR JÚLIO FR'!C17+'E M ALMIRANTE TAMANDARÉ'!C17+'ESCOLA PAROQUIAL CARLOS DEMIÁ'!C17+'CENTRO PAROQUIAL DE EDUCAÇÃO IN'!C17+'CEI IRMÃ SILVANA'!C17+'CEI OLÍVIA MACHADO DA COSTA NOG'!C17+'E M GOVERNADOR MARCELLO ALENCAR'!C17+'E M PROFESSOR FLÁVIO MACIEL'!C17+'E M PROFª JANDIRA PEIXOTO BORDI'!C17+'E M STEFAN ZWEIG'!C17+'ESCOLA PAROQUIAL BOM JESUS'!C17+'CEI MARLI SOARES FERREIRA NETTO'!C17+'CENTRO DE EDUCAÇÃO INFANTIL CHI'!C17+'CEI VILA IPANEMA'!C17+'E M ROBERT KENNEDY'!C17+'ESCOLA MUNICIPAL ANA MOHAMMAD'!C17+'ESCOLA SÃO CRISTÓVÃO'!C17+'CEI DÉA LÚCIA CORDEIRO'!C17+'CEI SAGRADA FAMÍLIA'!C17+'CEI SÃO JOSÉ DAS OBLATAS DE NAZ'!C17+'ESCOLA MUNICIPAL JORGE AMADO'!C17+'E M FÁBRICA DO SABER'!C17+'CIEP BRIZOLÃO 474 MAESTRO GUERR'!C17+'CENTRO DE ENSINO PROF DARCY RIB'!C17+'CEI ANDRÉ VANZAN'!C17+'CENTRO DE EDUCAÇÃO INFANTIL CAR'!C17+'CEI BOA VISTA'!C17+'ASSOCIAÇÃO DA CRECHE SÃO FRANCI'!C17+'ESCOLA MUNICIPAL PAULO SALDANHA'!C17+'ESCOLA MUNICIPAL LÚCIA DE ALMEI'!C17+'E M DOM MANOEL PEDRO DA CUNHA C'!C17+'ESCOLA SÃO GERALDO'!C17+'CEI LULU MONTEIRO DE CASTRO'!C17+'CEI CARANGOLA'!C17+'ASSOCIAÇÃO RECREAR'!C17+'CENTRO DE EDUCAÇÃO INFANTIL CAS'!C17+'E M ROSEMIRA DE OLIVEIRA CAVALC'!C17+'E MZDA CARMEM NUNES MARTINS'!C17+'CEI SÃO JOSÉ DO ITAMARATI'!C17+'E M DUQUE DE CAXIAS'!C17+'CENTRO DE EDUCAÇÃO INFANTIL  2'!C17+'E M ANTÔNIO LEITE GARCIA'!C17+'ESCOLA PAROQUIAL DA ALCOBAÇA'!C17+'CENTRO DE EDUCAÇÃO INFANTIL LOT'!C17+'ESCOLA PAROQUIAL DO LOTEAMENTO '!C17+'E M PROF JOAQUIM DEISTER'!C17+'E M MARIETA GONÇALVES'!C17+'ESCOLA MUNICIPAL ODETTE YOUNG M'!C17+'ESCOLA MUNICIPAL PROFESSOR JOSE'!C17+'E M HERCÍLIA HENRIQUES MORET'!C17+'COLEGIO VICENTINO PADRE CORRÊA'!C17+'CEI PROFª MARLUCE DE SOUZA PEST'!C17+'CEI IRINEU MARINHO'!C17+'CEI DAGMAR ROLANDO DE OLIVEIRA'!C17+'CEI NOSSA SENHORA DA GLÓRIA'!C17+'E M PROF NILTON COSTA PEREIRA D'!C17+'CENTRO DE EDUCAÇÃO INFANTIL SÉR'!C17+'CEI SANTO ANTÔNIO AGOSTINHO'!C17+'CEI OSWALDO CRUZ'!C17+'E M MAGDALENA TAGLIAFERRO'!C17+'ESCOLA SÃO JOSÉ DO CAETITU'!C17+'CRECHE-ESCOLA CASTELO SÃO MANOE'!C17+'CEI THEREZINHA DE JESUS LIMA'!C17+'ESCOLA MUNICIPAL PROFESSOR PAUL'!C17+'COLÉGIO ANGLICANO DE ARARAS'!C17+'ESCOLA PAROQUIAL SANTA BERNADET'!C17+'CEI VISTA ALEGRE'!C17+'CEI DENISE BESSA DE OLIVA MAYA'!C17+'CEI VIDEIRINHA'!C17+'E M AMÉRICO FERNANDES RIBEIRO'!C17+'ESCOLA MUNICIPAL AUGUSTO PUGNAL'!C17+'ESCOLA MUNICIPAL CELINA SCHECHN'!C17+'E M DARCY CORREA DA VEIGA'!C17+'E M DR PAULA BUARQUE'!C17+'LICEU SÃO JOSÉ DE ITAIPAVA'!C17+'CEI LUIZ MARCHIORI'!C17+'CENTRO DE EDUCAÇÃO INFANTIL AUG'!C17+'CEI PROFª ADRIANA CONSTÂNCIO TR'!C17+'E M AMÉLIA ANTUNES RABELLO'!C17+'CEI PREFEITO SÉRGIO FADEL'!C17+'E M DR THEODORO MACHADO'!C17+'ESCOLA SANTO ANTÔNIO'!C17+'E M TAQUARIL'!C17+'E M MONSENHOR JOÃO DE DEUS RODR'!C17+'CENTRO DE REFERÊNCIA EM EDUC 2'!C17+'CEI PROFª GRAÇA COSTA'!C17+'CEI VILA LEOPOLDINA'!C17+'CEI NILO PEÇANHA'!C17+'E MZDA SANTA TEREZINHA'!C17+'CEI CRIANÇA SANTA EDWIGES'!C17+'E M ARNALDO DYCKERHOFF'!C17+'E M CARLOS CANEDO'!C17+'E M BEATRIZ ZALESKI'!C17+'E M ANTÔNIO JOSÉ DE LIMA'!C17+'E M FELIX WAN ERVEN DE BARROS'!C17+'ESCOLA MUNICIPAL HILDEBRANDO DE'!C17+'E M OSWALDO DA COSTA FRIAS'!C17+'E MZDA AVELINO DE CARVALHO'!C17+'ESCOLA MUNICIPALIZADA MOYSÉS FU'!C17+'CEI ANGELA MARIA DA CONCEIÇÃO S'!C17+'CEI JOSÉ GONÇALVES DA MOTTA'!C17+'E M DR BARROS FRANCO'!C17+'E M MAJOR THEÓFILO DE CARVALHO'!C17+'E M JOÃO KOPKE'!C17+'CEI ASSOCIAÇÃO BENEFICENTE FAZE'!C17+'ESCOLA SAO FRANCISCO DE ASSIS'!C17+'CEI SÃO FRANCISCO ASSIS'!C17+'CEI ALDEIA DA CRIANCA'!C17+'ESCOLA MUNICIPAL ODETTE FONSECA'!C17+'CEI ANA CAROLINA TELLES'!C17+'E M SEBASTIÃO LACERDA'!C17+'E M DOM PEDRO DE ALCÂNTARA'!C17+'ESCOLA NOSSA SENHORA DE FÁTIMA'!C17+'ESCOLA PAROQUIAL SÃO FRANCISCO '!C17+'E M MONSENHOR CIRILLO CALAON'!C17</f>
        <v/>
      </c>
      <c r="D13" s="143">
        <f>B13-C13</f>
        <v/>
      </c>
      <c r="E13" s="144">
        <f>'Entrada de Dados'!K2</f>
        <v/>
      </c>
      <c r="F13" s="144">
        <f>D13*E13</f>
        <v/>
      </c>
    </row>
    <row r="14" ht="15" customHeight="1" s="107">
      <c r="A14" s="132">
        <f>'Entrada de Dados'!L5</f>
        <v/>
      </c>
      <c r="B14" s="143">
        <f>'Entrada de Dados'!L197</f>
        <v/>
      </c>
      <c r="C14" s="143">
        <f>'E M ROTARY'!C18+'E M DE EDUCAÇÃO ESPECIAL SANTOS'!C18+'LICEU MUN PREFEITO CORDOLINO AM'!C18+'E M PREFEITO JAMIL SABRÁ'!C18+'LICEU MUNICIPAL CARLOS CHAGAS F'!C18+'E M PAULO FREIRE'!C18+'E M PROFª MARIA CAMPOS DA SILVA'!C18+'CASA DA EDUCAÇÃO VISCONDE DE MA'!C18+'CENTRO DE REFERÊNCIA EM EDUCAÇÃ'!C18+'ESCOLA SANTA LUIZA DE MARILLAC'!C18+'ESCOLA DOMÉSTICA NOSSA SENHORA '!C18+'ESCOLA MONSENHOR GENTIL'!C18+'ESCOLA PAROQUIAL NOSSA SENHORA '!C18+'ESCOLA PAROQUIAL SÃO PEDRO DE A'!C18+'CEI TERRA SANTA'!C18+'CEI PRIMEIRA INFÂNCIA'!C18+'CEI PROFª PATRÍCIA FERREIRA E S'!C18+'CEI DRA ZILDA ARNS NEUMANN'!C18+'CENTRO DE EDUCAÇÃO INFANTIL PRO'!C18+'CEI MONSENHOR PAULO ELIAS DAHER'!C18+'COLÉGIO GUNNAR VINGREN DE PETRÓ'!C18+'EDUCANDÁRIO TERRA SANTA'!C18+'CEI LIONS CLUBE DE PETRÓPOLIS'!C18+'ESCOLA PAROQUIAL NOSSA SENHO 2'!C18+'CENTRO DE EDUCAÇÃO INFANTIL IRM'!C18+'E M LUIZ CARLOS SOARES'!C18+'ESCOLA GERMANO VALENTE'!C18+'ESCOLA PAROQUIAL NOSSA SENHO 3'!C18+'CEI JORGE ROLANDO DA SILVA'!C18+'E M CLEMENTE FERNANDES'!C18+'E M GERALDO VENTURA DIAS'!C18+'ESCOLA DAS COMUNIDADES SANTO AN'!C18+'CEI PROFª ROSANGELA DA SILVA LE'!C18+'CEI DEISE ELOY GOMES'!C18+'CEI PROFª SONIA REGINA SCUDESE '!C18+'CEI TIA ALICE'!C18+'E M BATAILLARD'!C18+'E M SOROPTIMISTA'!C18+'E M SALVADOR KLING'!C18+'ESCOLA MUNICIPALIZADA FREI ANIC'!C18+'ESCOLA SÃO JUDAS TADEU'!C18+'CEI PEDRAS BRANCAS'!C18+'CEI MARIA THEREZA KLING DO VALL'!C18+'CEI DONA ESPERANZA DE BOURBON D'!C18+'CEI GIUSEPPE-NEVA VOLONTERIO'!C18+'CENTRO DE EDUCAÇÃO INFANTIL SÃO'!C18+'E M LEONARDO BOFF'!C18+'ESCOLA MUNICIPAL GENERAL HEITOR'!C18+'E M JOHANN NOEL'!C18+'ESCOLA SANTA MARIA GORETTI'!C18+'ESCOLA SANTA RITA DE CASSIA'!C18+'ESCOLA SÃO JOÃO BATISTA'!C18+'CEI CASA DA SOLIDARIEDADE DE NO'!C18+'CEI A SEMENTEIRA'!C18+'CEI VILA SAO JOSE'!C18+'E M DR RUBENS DE CASTRO BOMTEMP'!C18+'CEI FREI LEÃO'!C18+'CEI SÃO JOÃO BATISTA'!C18+'CEI JURACI PINTO DO AMARAL DE C'!C18+'E M PEDRO AMADO'!C18+'E M ABELARDO DE LAMARE'!C18+'ESCOLA MUNICIPAL SENADOR MARIO '!C18+'ESCOLA PAROQUIAL SÃO PIO X'!C18+'CEI SÃO CHARBEL'!C18+'E M ROSALINA NICOLAY'!C18+'CEI INÊS BELARMINO DE SOUZA'!C18+'E M PROFª MARIA DA GLÓRIA QUEIR'!C18+'CENTRO EDUCACIONAL COMUNIDADE S'!C18+'CEI ROMANO CANAVESE'!C18+'CEI CÉLIA LÔBO PAULO'!C18+'CEI PROFª DORA KILLER'!C18+'CEI ALTO INDEPENDÊNCIA'!C18+'ESCOLA MUNICIPAL ALTO INDEPENDÊ'!C18+'E M PAPA JOÃO PAULO II'!C18+'CEI ANDRÉ REBOUÇAS'!C18+'CEI PROFª HERMÍNIA MATHEUS'!C18+'ESCOLA MUNICIPAL MAJOR JÚLIO FR'!C18+'E M ALMIRANTE TAMANDARÉ'!C18+'ESCOLA PAROQUIAL CARLOS DEMIÁ'!C18+'CENTRO PAROQUIAL DE EDUCAÇÃO IN'!C18+'CEI IRMÃ SILVANA'!C18+'CEI OLÍVIA MACHADO DA COSTA NOG'!C18+'E M GOVERNADOR MARCELLO ALENCAR'!C18+'E M PROFESSOR FLÁVIO MACIEL'!C18+'E M PROFª JANDIRA PEIXOTO BORDI'!C18+'E M STEFAN ZWEIG'!C18+'ESCOLA PAROQUIAL BOM JESUS'!C18+'CEI MARLI SOARES FERREIRA NETTO'!C18+'CENTRO DE EDUCAÇÃO INFANTIL CHI'!C18+'CEI VILA IPANEMA'!C18+'E M ROBERT KENNEDY'!C18+'ESCOLA MUNICIPAL ANA MOHAMMAD'!C18+'ESCOLA SÃO CRISTÓVÃO'!C18+'CEI DÉA LÚCIA CORDEIRO'!C18+'CEI SAGRADA FAMÍLIA'!C18+'CEI SÃO JOSÉ DAS OBLATAS DE NAZ'!C18+'ESCOLA MUNICIPAL JORGE AMADO'!C18+'E M FÁBRICA DO SABER'!C18+'CIEP BRIZOLÃO 474 MAESTRO GUERR'!C18+'CENTRO DE ENSINO PROF DARCY RIB'!C18+'CEI ANDRÉ VANZAN'!C18+'CENTRO DE EDUCAÇÃO INFANTIL CAR'!C18+'CEI BOA VISTA'!C18+'ASSOCIAÇÃO DA CRECHE SÃO FRANCI'!C18+'ESCOLA MUNICIPAL PAULO SALDANHA'!C18+'ESCOLA MUNICIPAL LÚCIA DE ALMEI'!C18+'E M DOM MANOEL PEDRO DA CUNHA C'!C18+'ESCOLA SÃO GERALDO'!C18+'CEI LULU MONTEIRO DE CASTRO'!C18+'CEI CARANGOLA'!C18+'ASSOCIAÇÃO RECREAR'!C18+'CENTRO DE EDUCAÇÃO INFANTIL CAS'!C18+'E M ROSEMIRA DE OLIVEIRA CAVALC'!C18+'E MZDA CARMEM NUNES MARTINS'!C18+'CEI SÃO JOSÉ DO ITAMARATI'!C18+'E M DUQUE DE CAXIAS'!C18+'CENTRO DE EDUCAÇÃO INFANTIL  2'!C18+'E M ANTÔNIO LEITE GARCIA'!C18+'ESCOLA PAROQUIAL DA ALCOBAÇA'!C18+'CENTRO DE EDUCAÇÃO INFANTIL LOT'!C18+'ESCOLA PAROQUIAL DO LOTEAMENTO '!C18+'E M PROF JOAQUIM DEISTER'!C18+'E M MARIETA GONÇALVES'!C18+'ESCOLA MUNICIPAL ODETTE YOUNG M'!C18+'ESCOLA MUNICIPAL PROFESSOR JOSE'!C18+'E M HERCÍLIA HENRIQUES MORET'!C18+'COLEGIO VICENTINO PADRE CORRÊA'!C18+'CEI PROFª MARLUCE DE SOUZA PEST'!C18+'CEI IRINEU MARINHO'!C18+'CEI DAGMAR ROLANDO DE OLIVEIRA'!C18+'CEI NOSSA SENHORA DA GLÓRIA'!C18+'E M PROF NILTON COSTA PEREIRA D'!C18+'CENTRO DE EDUCAÇÃO INFANTIL SÉR'!C18+'CEI SANTO ANTÔNIO AGOSTINHO'!C18+'CEI OSWALDO CRUZ'!C18+'E M MAGDALENA TAGLIAFERRO'!C18+'ESCOLA SÃO JOSÉ DO CAETITU'!C18+'CRECHE-ESCOLA CASTELO SÃO MANOE'!C18+'CEI THEREZINHA DE JESUS LIMA'!C18+'ESCOLA MUNICIPAL PROFESSOR PAUL'!C18+'COLÉGIO ANGLICANO DE ARARAS'!C18+'ESCOLA PAROQUIAL SANTA BERNADET'!C18+'CEI VISTA ALEGRE'!C18+'CEI DENISE BESSA DE OLIVA MAYA'!C18+'CEI VIDEIRINHA'!C18+'E M AMÉRICO FERNANDES RIBEIRO'!C18+'ESCOLA MUNICIPAL AUGUSTO PUGNAL'!C18+'ESCOLA MUNICIPAL CELINA SCHECHN'!C18+'E M DARCY CORREA DA VEIGA'!C18+'E M DR PAULA BUARQUE'!C18+'LICEU SÃO JOSÉ DE ITAIPAVA'!C18+'CEI LUIZ MARCHIORI'!C18+'CENTRO DE EDUCAÇÃO INFANTIL AUG'!C18+'CEI PROFª ADRIANA CONSTÂNCIO TR'!C18+'E M AMÉLIA ANTUNES RABELLO'!C18+'CEI PREFEITO SÉRGIO FADEL'!C18+'E M DR THEODORO MACHADO'!C18+'ESCOLA SANTO ANTÔNIO'!C18+'E M TAQUARIL'!C18+'E M MONSENHOR JOÃO DE DEUS RODR'!C18+'CENTRO DE REFERÊNCIA EM EDUC 2'!C18+'CEI PROFª GRAÇA COSTA'!C18+'CEI VILA LEOPOLDINA'!C18+'CEI NILO PEÇANHA'!C18+'E MZDA SANTA TEREZINHA'!C18+'CEI CRIANÇA SANTA EDWIGES'!C18+'E M ARNALDO DYCKERHOFF'!C18+'E M CARLOS CANEDO'!C18+'E M BEATRIZ ZALESKI'!C18+'E M ANTÔNIO JOSÉ DE LIMA'!C18+'E M FELIX WAN ERVEN DE BARROS'!C18+'ESCOLA MUNICIPAL HILDEBRANDO DE'!C18+'E M OSWALDO DA COSTA FRIAS'!C18+'E MZDA AVELINO DE CARVALHO'!C18+'ESCOLA MUNICIPALIZADA MOYSÉS FU'!C18+'CEI ANGELA MARIA DA CONCEIÇÃO S'!C18+'CEI JOSÉ GONÇALVES DA MOTTA'!C18+'E M DR BARROS FRANCO'!C18+'E M MAJOR THEÓFILO DE CARVALHO'!C18+'E M JOÃO KOPKE'!C18+'CEI ASSOCIAÇÃO BENEFICENTE FAZE'!C18+'ESCOLA SAO FRANCISCO DE ASSIS'!C18+'CEI SÃO FRANCISCO ASSIS'!C18+'CEI ALDEIA DA CRIANCA'!C18+'ESCOLA MUNICIPAL ODETTE FONSECA'!C18+'CEI ANA CAROLINA TELLES'!C18+'E M SEBASTIÃO LACERDA'!C18+'E M DOM PEDRO DE ALCÂNTARA'!C18+'ESCOLA NOSSA SENHORA DE FÁTIMA'!C18+'ESCOLA PAROQUIAL SÃO FRANCISCO '!C18+'E M MONSENHOR CIRILLO CALAON'!C18</f>
        <v/>
      </c>
      <c r="D14" s="143">
        <f>B14-C14</f>
        <v/>
      </c>
      <c r="E14" s="144">
        <f>'Entrada de Dados'!L2</f>
        <v/>
      </c>
      <c r="F14" s="144">
        <f>D14*E14</f>
        <v/>
      </c>
    </row>
    <row r="15" ht="15" customHeight="1" s="107">
      <c r="A15" s="132">
        <f>'Entrada de Dados'!M5</f>
        <v/>
      </c>
      <c r="B15" s="143">
        <f>'Entrada de Dados'!M197</f>
        <v/>
      </c>
      <c r="C15" s="143">
        <f>'E M ROTARY'!C19+'E M DE EDUCAÇÃO ESPECIAL SANTOS'!C19+'LICEU MUN PREFEITO CORDOLINO AM'!C19+'E M PREFEITO JAMIL SABRÁ'!C19+'LICEU MUNICIPAL CARLOS CHAGAS F'!C19+'E M PAULO FREIRE'!C19+'E M PROFª MARIA CAMPOS DA SILVA'!C19+'CASA DA EDUCAÇÃO VISCONDE DE MA'!C19+'CENTRO DE REFERÊNCIA EM EDUCAÇÃ'!C19+'ESCOLA SANTA LUIZA DE MARILLAC'!C19+'ESCOLA DOMÉSTICA NOSSA SENHORA '!C19+'ESCOLA MONSENHOR GENTIL'!C19+'ESCOLA PAROQUIAL NOSSA SENHORA '!C19+'ESCOLA PAROQUIAL SÃO PEDRO DE A'!C19+'CEI TERRA SANTA'!C19+'CEI PRIMEIRA INFÂNCIA'!C19+'CEI PROFª PATRÍCIA FERREIRA E S'!C19+'CEI DRA ZILDA ARNS NEUMANN'!C19+'CENTRO DE EDUCAÇÃO INFANTIL PRO'!C19+'CEI MONSENHOR PAULO ELIAS DAHER'!C19+'COLÉGIO GUNNAR VINGREN DE PETRÓ'!C19+'EDUCANDÁRIO TERRA SANTA'!C19+'CEI LIONS CLUBE DE PETRÓPOLIS'!C19+'ESCOLA PAROQUIAL NOSSA SENHO 2'!C19+'CENTRO DE EDUCAÇÃO INFANTIL IRM'!C19+'E M LUIZ CARLOS SOARES'!C19+'ESCOLA GERMANO VALENTE'!C19+'ESCOLA PAROQUIAL NOSSA SENHO 3'!C19+'CEI JORGE ROLANDO DA SILVA'!C19+'E M CLEMENTE FERNANDES'!C19+'E M GERALDO VENTURA DIAS'!C19+'ESCOLA DAS COMUNIDADES SANTO AN'!C19+'CEI PROFª ROSANGELA DA SILVA LE'!C19+'CEI DEISE ELOY GOMES'!C19+'CEI PROFª SONIA REGINA SCUDESE '!C19+'CEI TIA ALICE'!C19+'E M BATAILLARD'!C19+'E M SOROPTIMISTA'!C19+'E M SALVADOR KLING'!C19+'ESCOLA MUNICIPALIZADA FREI ANIC'!C19+'ESCOLA SÃO JUDAS TADEU'!C19+'CEI PEDRAS BRANCAS'!C19+'CEI MARIA THEREZA KLING DO VALL'!C19+'CEI DONA ESPERANZA DE BOURBON D'!C19+'CEI GIUSEPPE-NEVA VOLONTERIO'!C19+'CENTRO DE EDUCAÇÃO INFANTIL SÃO'!C19+'E M LEONARDO BOFF'!C19+'ESCOLA MUNICIPAL GENERAL HEITOR'!C19+'E M JOHANN NOEL'!C19+'ESCOLA SANTA MARIA GORETTI'!C19+'ESCOLA SANTA RITA DE CASSIA'!C19+'ESCOLA SÃO JOÃO BATISTA'!C19+'CEI CASA DA SOLIDARIEDADE DE NO'!C19+'CEI A SEMENTEIRA'!C19+'CEI VILA SAO JOSE'!C19+'E M DR RUBENS DE CASTRO BOMTEMP'!C19+'CEI FREI LEÃO'!C19+'CEI SÃO JOÃO BATISTA'!C19+'CEI JURACI PINTO DO AMARAL DE C'!C19+'E M PEDRO AMADO'!C19+'E M ABELARDO DE LAMARE'!C19+'ESCOLA MUNICIPAL SENADOR MARIO '!C19+'ESCOLA PAROQUIAL SÃO PIO X'!C19+'CEI SÃO CHARBEL'!C19+'E M ROSALINA NICOLAY'!C19+'CEI INÊS BELARMINO DE SOUZA'!C19+'E M PROFª MARIA DA GLÓRIA QUEIR'!C19+'CENTRO EDUCACIONAL COMUNIDADE S'!C19+'CEI ROMANO CANAVESE'!C19+'CEI CÉLIA LÔBO PAULO'!C19+'CEI PROFª DORA KILLER'!C19+'CEI ALTO INDEPENDÊNCIA'!C19+'ESCOLA MUNICIPAL ALTO INDEPENDÊ'!C19+'E M PAPA JOÃO PAULO II'!C19+'CEI ANDRÉ REBOUÇAS'!C19+'CEI PROFª HERMÍNIA MATHEUS'!C19+'ESCOLA MUNICIPAL MAJOR JÚLIO FR'!C19+'E M ALMIRANTE TAMANDARÉ'!C19+'ESCOLA PAROQUIAL CARLOS DEMIÁ'!C19+'CENTRO PAROQUIAL DE EDUCAÇÃO IN'!C19+'CEI IRMÃ SILVANA'!C19+'CEI OLÍVIA MACHADO DA COSTA NOG'!C19+'E M GOVERNADOR MARCELLO ALENCAR'!C19+'E M PROFESSOR FLÁVIO MACIEL'!C19+'E M PROFª JANDIRA PEIXOTO BORDI'!C19+'E M STEFAN ZWEIG'!C19+'ESCOLA PAROQUIAL BOM JESUS'!C19+'CEI MARLI SOARES FERREIRA NETTO'!C19+'CENTRO DE EDUCAÇÃO INFANTIL CHI'!C19+'CEI VILA IPANEMA'!C19+'E M ROBERT KENNEDY'!C19+'ESCOLA MUNICIPAL ANA MOHAMMAD'!C19+'ESCOLA SÃO CRISTÓVÃO'!C19+'CEI DÉA LÚCIA CORDEIRO'!C19+'CEI SAGRADA FAMÍLIA'!C19+'CEI SÃO JOSÉ DAS OBLATAS DE NAZ'!C19+'ESCOLA MUNICIPAL JORGE AMADO'!C19+'E M FÁBRICA DO SABER'!C19+'CIEP BRIZOLÃO 474 MAESTRO GUERR'!C19+'CENTRO DE ENSINO PROF DARCY RIB'!C19+'CEI ANDRÉ VANZAN'!C19+'CENTRO DE EDUCAÇÃO INFANTIL CAR'!C19+'CEI BOA VISTA'!C19+'ASSOCIAÇÃO DA CRECHE SÃO FRANCI'!C19+'ESCOLA MUNICIPAL PAULO SALDANHA'!C19+'ESCOLA MUNICIPAL LÚCIA DE ALMEI'!C19+'E M DOM MANOEL PEDRO DA CUNHA C'!C19+'ESCOLA SÃO GERALDO'!C19+'CEI LULU MONTEIRO DE CASTRO'!C19+'CEI CARANGOLA'!C19+'ASSOCIAÇÃO RECREAR'!C19+'CENTRO DE EDUCAÇÃO INFANTIL CAS'!C19+'E M ROSEMIRA DE OLIVEIRA CAVALC'!C19+'E MZDA CARMEM NUNES MARTINS'!C19+'CEI SÃO JOSÉ DO ITAMARATI'!C19+'E M DUQUE DE CAXIAS'!C19+'CENTRO DE EDUCAÇÃO INFANTIL  2'!C19+'E M ANTÔNIO LEITE GARCIA'!C19+'ESCOLA PAROQUIAL DA ALCOBAÇA'!C19+'CENTRO DE EDUCAÇÃO INFANTIL LOT'!C19+'ESCOLA PAROQUIAL DO LOTEAMENTO '!C19+'E M PROF JOAQUIM DEISTER'!C19+'E M MARIETA GONÇALVES'!C19+'ESCOLA MUNICIPAL ODETTE YOUNG M'!C19+'ESCOLA MUNICIPAL PROFESSOR JOSE'!C19+'E M HERCÍLIA HENRIQUES MORET'!C19+'COLEGIO VICENTINO PADRE CORRÊA'!C19+'CEI PROFª MARLUCE DE SOUZA PEST'!C19+'CEI IRINEU MARINHO'!C19+'CEI DAGMAR ROLANDO DE OLIVEIRA'!C19+'CEI NOSSA SENHORA DA GLÓRIA'!C19+'E M PROF NILTON COSTA PEREIRA D'!C19+'CENTRO DE EDUCAÇÃO INFANTIL SÉR'!C19+'CEI SANTO ANTÔNIO AGOSTINHO'!C19+'CEI OSWALDO CRUZ'!C19+'E M MAGDALENA TAGLIAFERRO'!C19+'ESCOLA SÃO JOSÉ DO CAETITU'!C19+'CRECHE-ESCOLA CASTELO SÃO MANOE'!C19+'CEI THEREZINHA DE JESUS LIMA'!C19+'ESCOLA MUNICIPAL PROFESSOR PAUL'!C19+'COLÉGIO ANGLICANO DE ARARAS'!C19+'ESCOLA PAROQUIAL SANTA BERNADET'!C19+'CEI VISTA ALEGRE'!C19+'CEI DENISE BESSA DE OLIVA MAYA'!C19+'CEI VIDEIRINHA'!C19+'E M AMÉRICO FERNANDES RIBEIRO'!C19+'ESCOLA MUNICIPAL AUGUSTO PUGNAL'!C19+'ESCOLA MUNICIPAL CELINA SCHECHN'!C19+'E M DARCY CORREA DA VEIGA'!C19+'E M DR PAULA BUARQUE'!C19+'LICEU SÃO JOSÉ DE ITAIPAVA'!C19+'CEI LUIZ MARCHIORI'!C19+'CENTRO DE EDUCAÇÃO INFANTIL AUG'!C19+'CEI PROFª ADRIANA CONSTÂNCIO TR'!C19+'E M AMÉLIA ANTUNES RABELLO'!C19+'CEI PREFEITO SÉRGIO FADEL'!C19+'E M DR THEODORO MACHADO'!C19+'ESCOLA SANTO ANTÔNIO'!C19+'E M TAQUARIL'!C19+'E M MONSENHOR JOÃO DE DEUS RODR'!C19+'CENTRO DE REFERÊNCIA EM EDUC 2'!C19+'CEI PROFª GRAÇA COSTA'!C19+'CEI VILA LEOPOLDINA'!C19+'CEI NILO PEÇANHA'!C19+'E MZDA SANTA TEREZINHA'!C19+'CEI CRIANÇA SANTA EDWIGES'!C19+'E M ARNALDO DYCKERHOFF'!C19+'E M CARLOS CANEDO'!C19+'E M BEATRIZ ZALESKI'!C19+'E M ANTÔNIO JOSÉ DE LIMA'!C19+'E M FELIX WAN ERVEN DE BARROS'!C19+'ESCOLA MUNICIPAL HILDEBRANDO DE'!C19+'E M OSWALDO DA COSTA FRIAS'!C19+'E MZDA AVELINO DE CARVALHO'!C19+'ESCOLA MUNICIPALIZADA MOYSÉS FU'!C19+'CEI ANGELA MARIA DA CONCEIÇÃO S'!C19+'CEI JOSÉ GONÇALVES DA MOTTA'!C19+'E M DR BARROS FRANCO'!C19+'E M MAJOR THEÓFILO DE CARVALHO'!C19+'E M JOÃO KOPKE'!C19+'CEI ASSOCIAÇÃO BENEFICENTE FAZE'!C19+'ESCOLA SAO FRANCISCO DE ASSIS'!C19+'CEI SÃO FRANCISCO ASSIS'!C19+'CEI ALDEIA DA CRIANCA'!C19+'ESCOLA MUNICIPAL ODETTE FONSECA'!C19+'CEI ANA CAROLINA TELLES'!C19+'E M SEBASTIÃO LACERDA'!C19+'E M DOM PEDRO DE ALCÂNTARA'!C19+'ESCOLA NOSSA SENHORA DE FÁTIMA'!C19+'ESCOLA PAROQUIAL SÃO FRANCISCO '!C19+'E M MONSENHOR CIRILLO CALAON'!C19</f>
        <v/>
      </c>
      <c r="D15" s="143">
        <f>B15-C15</f>
        <v/>
      </c>
      <c r="E15" s="144">
        <f>'Entrada de Dados'!M2</f>
        <v/>
      </c>
      <c r="F15" s="144">
        <f>D15*E15</f>
        <v/>
      </c>
    </row>
    <row r="16" ht="15" customHeight="1" s="107">
      <c r="A16" s="132">
        <f>'Entrada de Dados'!N5</f>
        <v/>
      </c>
      <c r="B16" s="143">
        <f>'Entrada de Dados'!N197</f>
        <v/>
      </c>
      <c r="C16" s="143">
        <f>'E M ROTARY'!C20+'E M DE EDUCAÇÃO ESPECIAL SANTOS'!C20+'LICEU MUN PREFEITO CORDOLINO AM'!C20+'E M PREFEITO JAMIL SABRÁ'!C20+'LICEU MUNICIPAL CARLOS CHAGAS F'!C20+'E M PAULO FREIRE'!C20+'E M PROFª MARIA CAMPOS DA SILVA'!C20+'CASA DA EDUCAÇÃO VISCONDE DE MA'!C20+'CENTRO DE REFERÊNCIA EM EDUCAÇÃ'!C20+'ESCOLA SANTA LUIZA DE MARILLAC'!C20+'ESCOLA DOMÉSTICA NOSSA SENHORA '!C20+'ESCOLA MONSENHOR GENTIL'!C20+'ESCOLA PAROQUIAL NOSSA SENHORA '!C20+'ESCOLA PAROQUIAL SÃO PEDRO DE A'!C20+'CEI TERRA SANTA'!C20+'CEI PRIMEIRA INFÂNCIA'!C20+'CEI PROFª PATRÍCIA FERREIRA E S'!C20+'CEI DRA ZILDA ARNS NEUMANN'!C20+'CENTRO DE EDUCAÇÃO INFANTIL PRO'!C20+'CEI MONSENHOR PAULO ELIAS DAHER'!C20+'COLÉGIO GUNNAR VINGREN DE PETRÓ'!C20+'EDUCANDÁRIO TERRA SANTA'!C20+'CEI LIONS CLUBE DE PETRÓPOLIS'!C20+'ESCOLA PAROQUIAL NOSSA SENHO 2'!C20+'CENTRO DE EDUCAÇÃO INFANTIL IRM'!C20+'E M LUIZ CARLOS SOARES'!C20+'ESCOLA GERMANO VALENTE'!C20+'ESCOLA PAROQUIAL NOSSA SENHO 3'!C20+'CEI JORGE ROLANDO DA SILVA'!C20+'E M CLEMENTE FERNANDES'!C20+'E M GERALDO VENTURA DIAS'!C20+'ESCOLA DAS COMUNIDADES SANTO AN'!C20+'CEI PROFª ROSANGELA DA SILVA LE'!C20+'CEI DEISE ELOY GOMES'!C20+'CEI PROFª SONIA REGINA SCUDESE '!C20+'CEI TIA ALICE'!C20+'E M BATAILLARD'!C20+'E M SOROPTIMISTA'!C20+'E M SALVADOR KLING'!C20+'ESCOLA MUNICIPALIZADA FREI ANIC'!C20+'ESCOLA SÃO JUDAS TADEU'!C20+'CEI PEDRAS BRANCAS'!C20+'CEI MARIA THEREZA KLING DO VALL'!C20+'CEI DONA ESPERANZA DE BOURBON D'!C20+'CEI GIUSEPPE-NEVA VOLONTERIO'!C20+'CENTRO DE EDUCAÇÃO INFANTIL SÃO'!C20+'E M LEONARDO BOFF'!C20+'ESCOLA MUNICIPAL GENERAL HEITOR'!C20+'E M JOHANN NOEL'!C20+'ESCOLA SANTA MARIA GORETTI'!C20+'ESCOLA SANTA RITA DE CASSIA'!C20+'ESCOLA SÃO JOÃO BATISTA'!C20+'CEI CASA DA SOLIDARIEDADE DE NO'!C20+'CEI A SEMENTEIRA'!C20+'CEI VILA SAO JOSE'!C20+'E M DR RUBENS DE CASTRO BOMTEMP'!C20+'CEI FREI LEÃO'!C20+'CEI SÃO JOÃO BATISTA'!C20+'CEI JURACI PINTO DO AMARAL DE C'!C20+'E M PEDRO AMADO'!C20+'E M ABELARDO DE LAMARE'!C20+'ESCOLA MUNICIPAL SENADOR MARIO '!C20+'ESCOLA PAROQUIAL SÃO PIO X'!C20+'CEI SÃO CHARBEL'!C20+'E M ROSALINA NICOLAY'!C20+'CEI INÊS BELARMINO DE SOUZA'!C20+'E M PROFª MARIA DA GLÓRIA QUEIR'!C20+'CENTRO EDUCACIONAL COMUNIDADE S'!C20+'CEI ROMANO CANAVESE'!C20+'CEI CÉLIA LÔBO PAULO'!C20+'CEI PROFª DORA KILLER'!C20+'CEI ALTO INDEPENDÊNCIA'!C20+'ESCOLA MUNICIPAL ALTO INDEPENDÊ'!C20+'E M PAPA JOÃO PAULO II'!C20+'CEI ANDRÉ REBOUÇAS'!C20+'CEI PROFª HERMÍNIA MATHEUS'!C20+'ESCOLA MUNICIPAL MAJOR JÚLIO FR'!C20+'E M ALMIRANTE TAMANDARÉ'!C20+'ESCOLA PAROQUIAL CARLOS DEMIÁ'!C20+'CENTRO PAROQUIAL DE EDUCAÇÃO IN'!C20+'CEI IRMÃ SILVANA'!C20+'CEI OLÍVIA MACHADO DA COSTA NOG'!C20+'E M GOVERNADOR MARCELLO ALENCAR'!C20+'E M PROFESSOR FLÁVIO MACIEL'!C20+'E M PROFª JANDIRA PEIXOTO BORDI'!C20+'E M STEFAN ZWEIG'!C20+'ESCOLA PAROQUIAL BOM JESUS'!C20+'CEI MARLI SOARES FERREIRA NETTO'!C20+'CENTRO DE EDUCAÇÃO INFANTIL CHI'!C20+'CEI VILA IPANEMA'!C20+'E M ROBERT KENNEDY'!C20+'ESCOLA MUNICIPAL ANA MOHAMMAD'!C20+'ESCOLA SÃO CRISTÓVÃO'!C20+'CEI DÉA LÚCIA CORDEIRO'!C20+'CEI SAGRADA FAMÍLIA'!C20+'CEI SÃO JOSÉ DAS OBLATAS DE NAZ'!C20+'ESCOLA MUNICIPAL JORGE AMADO'!C20+'E M FÁBRICA DO SABER'!C20+'CIEP BRIZOLÃO 474 MAESTRO GUERR'!C20+'CENTRO DE ENSINO PROF DARCY RIB'!C20+'CEI ANDRÉ VANZAN'!C20+'CENTRO DE EDUCAÇÃO INFANTIL CAR'!C20+'CEI BOA VISTA'!C20+'ASSOCIAÇÃO DA CRECHE SÃO FRANCI'!C20+'ESCOLA MUNICIPAL PAULO SALDANHA'!C20+'ESCOLA MUNICIPAL LÚCIA DE ALMEI'!C20+'E M DOM MANOEL PEDRO DA CUNHA C'!C20+'ESCOLA SÃO GERALDO'!C20+'CEI LULU MONTEIRO DE CASTRO'!C20+'CEI CARANGOLA'!C20+'ASSOCIAÇÃO RECREAR'!C20+'CENTRO DE EDUCAÇÃO INFANTIL CAS'!C20+'E M ROSEMIRA DE OLIVEIRA CAVALC'!C20+'E MZDA CARMEM NUNES MARTINS'!C20+'CEI SÃO JOSÉ DO ITAMARATI'!C20+'E M DUQUE DE CAXIAS'!C20+'CENTRO DE EDUCAÇÃO INFANTIL  2'!C20+'E M ANTÔNIO LEITE GARCIA'!C20+'ESCOLA PAROQUIAL DA ALCOBAÇA'!C20+'CENTRO DE EDUCAÇÃO INFANTIL LOT'!C20+'ESCOLA PAROQUIAL DO LOTEAMENTO '!C20+'E M PROF JOAQUIM DEISTER'!C20+'E M MARIETA GONÇALVES'!C20+'ESCOLA MUNICIPAL ODETTE YOUNG M'!C20+'ESCOLA MUNICIPAL PROFESSOR JOSE'!C20+'E M HERCÍLIA HENRIQUES MORET'!C20+'COLEGIO VICENTINO PADRE CORRÊA'!C20+'CEI PROFª MARLUCE DE SOUZA PEST'!C20+'CEI IRINEU MARINHO'!C20+'CEI DAGMAR ROLANDO DE OLIVEIRA'!C20+'CEI NOSSA SENHORA DA GLÓRIA'!C20+'E M PROF NILTON COSTA PEREIRA D'!C20+'CENTRO DE EDUCAÇÃO INFANTIL SÉR'!C20+'CEI SANTO ANTÔNIO AGOSTINHO'!C20+'CEI OSWALDO CRUZ'!C20+'E M MAGDALENA TAGLIAFERRO'!C20+'ESCOLA SÃO JOSÉ DO CAETITU'!C20+'CRECHE-ESCOLA CASTELO SÃO MANOE'!C20+'CEI THEREZINHA DE JESUS LIMA'!C20+'ESCOLA MUNICIPAL PROFESSOR PAUL'!C20+'COLÉGIO ANGLICANO DE ARARAS'!C20+'ESCOLA PAROQUIAL SANTA BERNADET'!C20+'CEI VISTA ALEGRE'!C20+'CEI DENISE BESSA DE OLIVA MAYA'!C20+'CEI VIDEIRINHA'!C20+'E M AMÉRICO FERNANDES RIBEIRO'!C20+'ESCOLA MUNICIPAL AUGUSTO PUGNAL'!C20+'ESCOLA MUNICIPAL CELINA SCHECHN'!C20+'E M DARCY CORREA DA VEIGA'!C20+'E M DR PAULA BUARQUE'!C20+'LICEU SÃO JOSÉ DE ITAIPAVA'!C20+'CEI LUIZ MARCHIORI'!C20+'CENTRO DE EDUCAÇÃO INFANTIL AUG'!C20+'CEI PROFª ADRIANA CONSTÂNCIO TR'!C20+'E M AMÉLIA ANTUNES RABELLO'!C20+'CEI PREFEITO SÉRGIO FADEL'!C20+'E M DR THEODORO MACHADO'!C20+'ESCOLA SANTO ANTÔNIO'!C20+'E M TAQUARIL'!C20+'E M MONSENHOR JOÃO DE DEUS RODR'!C20+'CENTRO DE REFERÊNCIA EM EDUC 2'!C20+'CEI PROFª GRAÇA COSTA'!C20+'CEI VILA LEOPOLDINA'!C20+'CEI NILO PEÇANHA'!C20+'E MZDA SANTA TEREZINHA'!C20+'CEI CRIANÇA SANTA EDWIGES'!C20+'E M ARNALDO DYCKERHOFF'!C20+'E M CARLOS CANEDO'!C20+'E M BEATRIZ ZALESKI'!C20+'E M ANTÔNIO JOSÉ DE LIMA'!C20+'E M FELIX WAN ERVEN DE BARROS'!C20+'ESCOLA MUNICIPAL HILDEBRANDO DE'!C20+'E M OSWALDO DA COSTA FRIAS'!C20+'E MZDA AVELINO DE CARVALHO'!C20+'ESCOLA MUNICIPALIZADA MOYSÉS FU'!C20+'CEI ANGELA MARIA DA CONCEIÇÃO S'!C20+'CEI JOSÉ GONÇALVES DA MOTTA'!C20+'E M DR BARROS FRANCO'!C20+'E M MAJOR THEÓFILO DE CARVALHO'!C20+'E M JOÃO KOPKE'!C20+'CEI ASSOCIAÇÃO BENEFICENTE FAZE'!C20+'ESCOLA SAO FRANCISCO DE ASSIS'!C20+'CEI SÃO FRANCISCO ASSIS'!C20+'CEI ALDEIA DA CRIANCA'!C20+'ESCOLA MUNICIPAL ODETTE FONSECA'!C20+'CEI ANA CAROLINA TELLES'!C20+'E M SEBASTIÃO LACERDA'!C20+'E M DOM PEDRO DE ALCÂNTARA'!C20+'ESCOLA NOSSA SENHORA DE FÁTIMA'!C20+'ESCOLA PAROQUIAL SÃO FRANCISCO '!C20+'E M MONSENHOR CIRILLO CALAON'!C20</f>
        <v/>
      </c>
      <c r="D16" s="143">
        <f>B16-C16</f>
        <v/>
      </c>
      <c r="E16" s="144">
        <f>'Entrada de Dados'!N2</f>
        <v/>
      </c>
      <c r="F16" s="144">
        <f>D16*E16</f>
        <v/>
      </c>
    </row>
    <row r="17" ht="15" customHeight="1" s="107">
      <c r="A17" s="132">
        <f>'Entrada de Dados'!O5</f>
        <v/>
      </c>
      <c r="B17" s="143">
        <f>'Entrada de Dados'!O197</f>
        <v/>
      </c>
      <c r="C17" s="143">
        <f>'E M ROTARY'!C21+'E M DE EDUCAÇÃO ESPECIAL SANTOS'!C21+'LICEU MUN PREFEITO CORDOLINO AM'!C21+'E M PREFEITO JAMIL SABRÁ'!C21+'LICEU MUNICIPAL CARLOS CHAGAS F'!C21+'E M PAULO FREIRE'!C21+'E M PROFª MARIA CAMPOS DA SILVA'!C21+'CASA DA EDUCAÇÃO VISCONDE DE MA'!C21+'CENTRO DE REFERÊNCIA EM EDUCAÇÃ'!C21+'ESCOLA SANTA LUIZA DE MARILLAC'!C21+'ESCOLA DOMÉSTICA NOSSA SENHORA '!C21+'ESCOLA MONSENHOR GENTIL'!C21+'ESCOLA PAROQUIAL NOSSA SENHORA '!C21+'ESCOLA PAROQUIAL SÃO PEDRO DE A'!C21+'CEI TERRA SANTA'!C21+'CEI PRIMEIRA INFÂNCIA'!C21+'CEI PROFª PATRÍCIA FERREIRA E S'!C21+'CEI DRA ZILDA ARNS NEUMANN'!C21+'CENTRO DE EDUCAÇÃO INFANTIL PRO'!C21+'CEI MONSENHOR PAULO ELIAS DAHER'!C21+'COLÉGIO GUNNAR VINGREN DE PETRÓ'!C21+'EDUCANDÁRIO TERRA SANTA'!C21+'CEI LIONS CLUBE DE PETRÓPOLIS'!C21+'ESCOLA PAROQUIAL NOSSA SENHO 2'!C21+'CENTRO DE EDUCAÇÃO INFANTIL IRM'!C21+'E M LUIZ CARLOS SOARES'!C21+'ESCOLA GERMANO VALENTE'!C21+'ESCOLA PAROQUIAL NOSSA SENHO 3'!C21+'CEI JORGE ROLANDO DA SILVA'!C21+'E M CLEMENTE FERNANDES'!C21+'E M GERALDO VENTURA DIAS'!C21+'ESCOLA DAS COMUNIDADES SANTO AN'!C21+'CEI PROFª ROSANGELA DA SILVA LE'!C21+'CEI DEISE ELOY GOMES'!C21+'CEI PROFª SONIA REGINA SCUDESE '!C21+'CEI TIA ALICE'!C21+'E M BATAILLARD'!C21+'E M SOROPTIMISTA'!C21+'E M SALVADOR KLING'!C21+'ESCOLA MUNICIPALIZADA FREI ANIC'!C21+'ESCOLA SÃO JUDAS TADEU'!C21+'CEI PEDRAS BRANCAS'!C21+'CEI MARIA THEREZA KLING DO VALL'!C21+'CEI DONA ESPERANZA DE BOURBON D'!C21+'CEI GIUSEPPE-NEVA VOLONTERIO'!C21+'CENTRO DE EDUCAÇÃO INFANTIL SÃO'!C21+'E M LEONARDO BOFF'!C21+'ESCOLA MUNICIPAL GENERAL HEITOR'!C21+'E M JOHANN NOEL'!C21+'ESCOLA SANTA MARIA GORETTI'!C21+'ESCOLA SANTA RITA DE CASSIA'!C21+'ESCOLA SÃO JOÃO BATISTA'!C21+'CEI CASA DA SOLIDARIEDADE DE NO'!C21+'CEI A SEMENTEIRA'!C21+'CEI VILA SAO JOSE'!C21+'E M DR RUBENS DE CASTRO BOMTEMP'!C21+'CEI FREI LEÃO'!C21+'CEI SÃO JOÃO BATISTA'!C21+'CEI JURACI PINTO DO AMARAL DE C'!C21+'E M PEDRO AMADO'!C21+'E M ABELARDO DE LAMARE'!C21+'ESCOLA MUNICIPAL SENADOR MARIO '!C21+'ESCOLA PAROQUIAL SÃO PIO X'!C21+'CEI SÃO CHARBEL'!C21+'E M ROSALINA NICOLAY'!C21+'CEI INÊS BELARMINO DE SOUZA'!C21+'E M PROFª MARIA DA GLÓRIA QUEIR'!C21+'CENTRO EDUCACIONAL COMUNIDADE S'!C21+'CEI ROMANO CANAVESE'!C21+'CEI CÉLIA LÔBO PAULO'!C21+'CEI PROFª DORA KILLER'!C21+'CEI ALTO INDEPENDÊNCIA'!C21+'ESCOLA MUNICIPAL ALTO INDEPENDÊ'!C21+'E M PAPA JOÃO PAULO II'!C21+'CEI ANDRÉ REBOUÇAS'!C21+'CEI PROFª HERMÍNIA MATHEUS'!C21+'ESCOLA MUNICIPAL MAJOR JÚLIO FR'!C21+'E M ALMIRANTE TAMANDARÉ'!C21+'ESCOLA PAROQUIAL CARLOS DEMIÁ'!C21+'CENTRO PAROQUIAL DE EDUCAÇÃO IN'!C21+'CEI IRMÃ SILVANA'!C21+'CEI OLÍVIA MACHADO DA COSTA NOG'!C21+'E M GOVERNADOR MARCELLO ALENCAR'!C21+'E M PROFESSOR FLÁVIO MACIEL'!C21+'E M PROFª JANDIRA PEIXOTO BORDI'!C21+'E M STEFAN ZWEIG'!C21+'ESCOLA PAROQUIAL BOM JESUS'!C21+'CEI MARLI SOARES FERREIRA NETTO'!C21+'CENTRO DE EDUCAÇÃO INFANTIL CHI'!C21+'CEI VILA IPANEMA'!C21+'E M ROBERT KENNEDY'!C21+'ESCOLA MUNICIPAL ANA MOHAMMAD'!C21+'ESCOLA SÃO CRISTÓVÃO'!C21+'CEI DÉA LÚCIA CORDEIRO'!C21+'CEI SAGRADA FAMÍLIA'!C21+'CEI SÃO JOSÉ DAS OBLATAS DE NAZ'!C21+'ESCOLA MUNICIPAL JORGE AMADO'!C21+'E M FÁBRICA DO SABER'!C21+'CIEP BRIZOLÃO 474 MAESTRO GUERR'!C21+'CENTRO DE ENSINO PROF DARCY RIB'!C21+'CEI ANDRÉ VANZAN'!C21+'CENTRO DE EDUCAÇÃO INFANTIL CAR'!C21+'CEI BOA VISTA'!C21+'ASSOCIAÇÃO DA CRECHE SÃO FRANCI'!C21+'ESCOLA MUNICIPAL PAULO SALDANHA'!C21+'ESCOLA MUNICIPAL LÚCIA DE ALMEI'!C21+'E M DOM MANOEL PEDRO DA CUNHA C'!C21+'ESCOLA SÃO GERALDO'!C21+'CEI LULU MONTEIRO DE CASTRO'!C21+'CEI CARANGOLA'!C21+'ASSOCIAÇÃO RECREAR'!C21+'CENTRO DE EDUCAÇÃO INFANTIL CAS'!C21+'E M ROSEMIRA DE OLIVEIRA CAVALC'!C21+'E MZDA CARMEM NUNES MARTINS'!C21+'CEI SÃO JOSÉ DO ITAMARATI'!C21+'E M DUQUE DE CAXIAS'!C21+'CENTRO DE EDUCAÇÃO INFANTIL  2'!C21+'E M ANTÔNIO LEITE GARCIA'!C21+'ESCOLA PAROQUIAL DA ALCOBAÇA'!C21+'CENTRO DE EDUCAÇÃO INFANTIL LOT'!C21+'ESCOLA PAROQUIAL DO LOTEAMENTO '!C21+'E M PROF JOAQUIM DEISTER'!C21+'E M MARIETA GONÇALVES'!C21+'ESCOLA MUNICIPAL ODETTE YOUNG M'!C21+'ESCOLA MUNICIPAL PROFESSOR JOSE'!C21+'E M HERCÍLIA HENRIQUES MORET'!C21+'COLEGIO VICENTINO PADRE CORRÊA'!C21+'CEI PROFª MARLUCE DE SOUZA PEST'!C21+'CEI IRINEU MARINHO'!C21+'CEI DAGMAR ROLANDO DE OLIVEIRA'!C21+'CEI NOSSA SENHORA DA GLÓRIA'!C21+'E M PROF NILTON COSTA PEREIRA D'!C21+'CENTRO DE EDUCAÇÃO INFANTIL SÉR'!C21+'CEI SANTO ANTÔNIO AGOSTINHO'!C21+'CEI OSWALDO CRUZ'!C21+'E M MAGDALENA TAGLIAFERRO'!C21+'ESCOLA SÃO JOSÉ DO CAETITU'!C21+'CRECHE-ESCOLA CASTELO SÃO MANOE'!C21+'CEI THEREZINHA DE JESUS LIMA'!C21+'ESCOLA MUNICIPAL PROFESSOR PAUL'!C21+'COLÉGIO ANGLICANO DE ARARAS'!C21+'ESCOLA PAROQUIAL SANTA BERNADET'!C21+'CEI VISTA ALEGRE'!C21+'CEI DENISE BESSA DE OLIVA MAYA'!C21+'CEI VIDEIRINHA'!C21+'E M AMÉRICO FERNANDES RIBEIRO'!C21+'ESCOLA MUNICIPAL AUGUSTO PUGNAL'!C21+'ESCOLA MUNICIPAL CELINA SCHECHN'!C21+'E M DARCY CORREA DA VEIGA'!C21+'E M DR PAULA BUARQUE'!C21+'LICEU SÃO JOSÉ DE ITAIPAVA'!C21+'CEI LUIZ MARCHIORI'!C21+'CENTRO DE EDUCAÇÃO INFANTIL AUG'!C21+'CEI PROFª ADRIANA CONSTÂNCIO TR'!C21+'E M AMÉLIA ANTUNES RABELLO'!C21+'CEI PREFEITO SÉRGIO FADEL'!C21+'E M DR THEODORO MACHADO'!C21+'ESCOLA SANTO ANTÔNIO'!C21+'E M TAQUARIL'!C21+'E M MONSENHOR JOÃO DE DEUS RODR'!C21+'CENTRO DE REFERÊNCIA EM EDUC 2'!C21+'CEI PROFª GRAÇA COSTA'!C21+'CEI VILA LEOPOLDINA'!C21+'CEI NILO PEÇANHA'!C21+'E MZDA SANTA TEREZINHA'!C21+'CEI CRIANÇA SANTA EDWIGES'!C21+'E M ARNALDO DYCKERHOFF'!C21+'E M CARLOS CANEDO'!C21+'E M BEATRIZ ZALESKI'!C21+'E M ANTÔNIO JOSÉ DE LIMA'!C21+'E M FELIX WAN ERVEN DE BARROS'!C21+'ESCOLA MUNICIPAL HILDEBRANDO DE'!C21+'E M OSWALDO DA COSTA FRIAS'!C21+'E MZDA AVELINO DE CARVALHO'!C21+'ESCOLA MUNICIPALIZADA MOYSÉS FU'!C21+'CEI ANGELA MARIA DA CONCEIÇÃO S'!C21+'CEI JOSÉ GONÇALVES DA MOTTA'!C21+'E M DR BARROS FRANCO'!C21+'E M MAJOR THEÓFILO DE CARVALHO'!C21+'E M JOÃO KOPKE'!C21+'CEI ASSOCIAÇÃO BENEFICENTE FAZE'!C21+'ESCOLA SAO FRANCISCO DE ASSIS'!C21+'CEI SÃO FRANCISCO ASSIS'!C21+'CEI ALDEIA DA CRIANCA'!C21+'ESCOLA MUNICIPAL ODETTE FONSECA'!C21+'CEI ANA CAROLINA TELLES'!C21+'E M SEBASTIÃO LACERDA'!C21+'E M DOM PEDRO DE ALCÂNTARA'!C21+'ESCOLA NOSSA SENHORA DE FÁTIMA'!C21+'ESCOLA PAROQUIAL SÃO FRANCISCO '!C21+'E M MONSENHOR CIRILLO CALAON'!C21</f>
        <v/>
      </c>
      <c r="D17" s="143">
        <f>B17-C17</f>
        <v/>
      </c>
      <c r="E17" s="144">
        <f>'Entrada de Dados'!O2</f>
        <v/>
      </c>
      <c r="F17" s="144">
        <f>D17*E17</f>
        <v/>
      </c>
    </row>
    <row r="18" ht="15" customHeight="1" s="107">
      <c r="A18" s="132">
        <f>'Entrada de Dados'!P5</f>
        <v/>
      </c>
      <c r="B18" s="143">
        <f>'Entrada de Dados'!P197</f>
        <v/>
      </c>
      <c r="C18" s="143">
        <f>'E M ROTARY'!C22+'E M DE EDUCAÇÃO ESPECIAL SANTOS'!C22+'LICEU MUN PREFEITO CORDOLINO AM'!C22+'E M PREFEITO JAMIL SABRÁ'!C22+'LICEU MUNICIPAL CARLOS CHAGAS F'!C22+'E M PAULO FREIRE'!C22+'E M PROFª MARIA CAMPOS DA SILVA'!C22+'CASA DA EDUCAÇÃO VISCONDE DE MA'!C22+'CENTRO DE REFERÊNCIA EM EDUCAÇÃ'!C22+'ESCOLA SANTA LUIZA DE MARILLAC'!C22+'ESCOLA DOMÉSTICA NOSSA SENHORA '!C22+'ESCOLA MONSENHOR GENTIL'!C22+'ESCOLA PAROQUIAL NOSSA SENHORA '!C22+'ESCOLA PAROQUIAL SÃO PEDRO DE A'!C22+'CEI TERRA SANTA'!C22+'CEI PRIMEIRA INFÂNCIA'!C22+'CEI PROFª PATRÍCIA FERREIRA E S'!C22+'CEI DRA ZILDA ARNS NEUMANN'!C22+'CENTRO DE EDUCAÇÃO INFANTIL PRO'!C22+'CEI MONSENHOR PAULO ELIAS DAHER'!C22+'COLÉGIO GUNNAR VINGREN DE PETRÓ'!C22+'EDUCANDÁRIO TERRA SANTA'!C22+'CEI LIONS CLUBE DE PETRÓPOLIS'!C22+'ESCOLA PAROQUIAL NOSSA SENHO 2'!C22+'CENTRO DE EDUCAÇÃO INFANTIL IRM'!C22+'E M LUIZ CARLOS SOARES'!C22+'ESCOLA GERMANO VALENTE'!C22+'ESCOLA PAROQUIAL NOSSA SENHO 3'!C22+'CEI JORGE ROLANDO DA SILVA'!C22+'E M CLEMENTE FERNANDES'!C22+'E M GERALDO VENTURA DIAS'!C22+'ESCOLA DAS COMUNIDADES SANTO AN'!C22+'CEI PROFª ROSANGELA DA SILVA LE'!C22+'CEI DEISE ELOY GOMES'!C22+'CEI PROFª SONIA REGINA SCUDESE '!C22+'CEI TIA ALICE'!C22+'E M BATAILLARD'!C22+'E M SOROPTIMISTA'!C22+'E M SALVADOR KLING'!C22+'ESCOLA MUNICIPALIZADA FREI ANIC'!C22+'ESCOLA SÃO JUDAS TADEU'!C22+'CEI PEDRAS BRANCAS'!C22+'CEI MARIA THEREZA KLING DO VALL'!C22+'CEI DONA ESPERANZA DE BOURBON D'!C22+'CEI GIUSEPPE-NEVA VOLONTERIO'!C22+'CENTRO DE EDUCAÇÃO INFANTIL SÃO'!C22+'E M LEONARDO BOFF'!C22+'ESCOLA MUNICIPAL GENERAL HEITOR'!C22+'E M JOHANN NOEL'!C22+'ESCOLA SANTA MARIA GORETTI'!C22+'ESCOLA SANTA RITA DE CASSIA'!C22+'ESCOLA SÃO JOÃO BATISTA'!C22+'CEI CASA DA SOLIDARIEDADE DE NO'!C22+'CEI A SEMENTEIRA'!C22+'CEI VILA SAO JOSE'!C22+'E M DR RUBENS DE CASTRO BOMTEMP'!C22+'CEI FREI LEÃO'!C22+'CEI SÃO JOÃO BATISTA'!C22+'CEI JURACI PINTO DO AMARAL DE C'!C22+'E M PEDRO AMADO'!C22+'E M ABELARDO DE LAMARE'!C22+'ESCOLA MUNICIPAL SENADOR MARIO '!C22+'ESCOLA PAROQUIAL SÃO PIO X'!C22+'CEI SÃO CHARBEL'!C22+'E M ROSALINA NICOLAY'!C22+'CEI INÊS BELARMINO DE SOUZA'!C22+'E M PROFª MARIA DA GLÓRIA QUEIR'!C22+'CENTRO EDUCACIONAL COMUNIDADE S'!C22+'CEI ROMANO CANAVESE'!C22+'CEI CÉLIA LÔBO PAULO'!C22+'CEI PROFª DORA KILLER'!C22+'CEI ALTO INDEPENDÊNCIA'!C22+'ESCOLA MUNICIPAL ALTO INDEPENDÊ'!C22+'E M PAPA JOÃO PAULO II'!C22+'CEI ANDRÉ REBOUÇAS'!C22+'CEI PROFª HERMÍNIA MATHEUS'!C22+'ESCOLA MUNICIPAL MAJOR JÚLIO FR'!C22+'E M ALMIRANTE TAMANDARÉ'!C22+'ESCOLA PAROQUIAL CARLOS DEMIÁ'!C22+'CENTRO PAROQUIAL DE EDUCAÇÃO IN'!C22+'CEI IRMÃ SILVANA'!C22+'CEI OLÍVIA MACHADO DA COSTA NOG'!C22+'E M GOVERNADOR MARCELLO ALENCAR'!C22+'E M PROFESSOR FLÁVIO MACIEL'!C22+'E M PROFª JANDIRA PEIXOTO BORDI'!C22+'E M STEFAN ZWEIG'!C22+'ESCOLA PAROQUIAL BOM JESUS'!C22+'CEI MARLI SOARES FERREIRA NETTO'!C22+'CENTRO DE EDUCAÇÃO INFANTIL CHI'!C22+'CEI VILA IPANEMA'!C22+'E M ROBERT KENNEDY'!C22+'ESCOLA MUNICIPAL ANA MOHAMMAD'!C22+'ESCOLA SÃO CRISTÓVÃO'!C22+'CEI DÉA LÚCIA CORDEIRO'!C22+'CEI SAGRADA FAMÍLIA'!C22+'CEI SÃO JOSÉ DAS OBLATAS DE NAZ'!C22+'ESCOLA MUNICIPAL JORGE AMADO'!C22+'E M FÁBRICA DO SABER'!C22+'CIEP BRIZOLÃO 474 MAESTRO GUERR'!C22+'CENTRO DE ENSINO PROF DARCY RIB'!C22+'CEI ANDRÉ VANZAN'!C22+'CENTRO DE EDUCAÇÃO INFANTIL CAR'!C22+'CEI BOA VISTA'!C22+'ASSOCIAÇÃO DA CRECHE SÃO FRANCI'!C22+'ESCOLA MUNICIPAL PAULO SALDANHA'!C22+'ESCOLA MUNICIPAL LÚCIA DE ALMEI'!C22+'E M DOM MANOEL PEDRO DA CUNHA C'!C22+'ESCOLA SÃO GERALDO'!C22+'CEI LULU MONTEIRO DE CASTRO'!C22+'CEI CARANGOLA'!C22+'ASSOCIAÇÃO RECREAR'!C22+'CENTRO DE EDUCAÇÃO INFANTIL CAS'!C22+'E M ROSEMIRA DE OLIVEIRA CAVALC'!C22+'E MZDA CARMEM NUNES MARTINS'!C22+'CEI SÃO JOSÉ DO ITAMARATI'!C22+'E M DUQUE DE CAXIAS'!C22+'CENTRO DE EDUCAÇÃO INFANTIL  2'!C22+'E M ANTÔNIO LEITE GARCIA'!C22+'ESCOLA PAROQUIAL DA ALCOBAÇA'!C22+'CENTRO DE EDUCAÇÃO INFANTIL LOT'!C22+'ESCOLA PAROQUIAL DO LOTEAMENTO '!C22+'E M PROF JOAQUIM DEISTER'!C22+'E M MARIETA GONÇALVES'!C22+'ESCOLA MUNICIPAL ODETTE YOUNG M'!C22+'ESCOLA MUNICIPAL PROFESSOR JOSE'!C22+'E M HERCÍLIA HENRIQUES MORET'!C22+'COLEGIO VICENTINO PADRE CORRÊA'!C22+'CEI PROFª MARLUCE DE SOUZA PEST'!C22+'CEI IRINEU MARINHO'!C22+'CEI DAGMAR ROLANDO DE OLIVEIRA'!C22+'CEI NOSSA SENHORA DA GLÓRIA'!C22+'E M PROF NILTON COSTA PEREIRA D'!C22+'CENTRO DE EDUCAÇÃO INFANTIL SÉR'!C22+'CEI SANTO ANTÔNIO AGOSTINHO'!C22+'CEI OSWALDO CRUZ'!C22+'E M MAGDALENA TAGLIAFERRO'!C22+'ESCOLA SÃO JOSÉ DO CAETITU'!C22+'CRECHE-ESCOLA CASTELO SÃO MANOE'!C22+'CEI THEREZINHA DE JESUS LIMA'!C22+'ESCOLA MUNICIPAL PROFESSOR PAUL'!C22+'COLÉGIO ANGLICANO DE ARARAS'!C22+'ESCOLA PAROQUIAL SANTA BERNADET'!C22+'CEI VISTA ALEGRE'!C22+'CEI DENISE BESSA DE OLIVA MAYA'!C22+'CEI VIDEIRINHA'!C22+'E M AMÉRICO FERNANDES RIBEIRO'!C22+'ESCOLA MUNICIPAL AUGUSTO PUGNAL'!C22+'ESCOLA MUNICIPAL CELINA SCHECHN'!C22+'E M DARCY CORREA DA VEIGA'!C22+'E M DR PAULA BUARQUE'!C22+'LICEU SÃO JOSÉ DE ITAIPAVA'!C22+'CEI LUIZ MARCHIORI'!C22+'CENTRO DE EDUCAÇÃO INFANTIL AUG'!C22+'CEI PROFª ADRIANA CONSTÂNCIO TR'!C22+'E M AMÉLIA ANTUNES RABELLO'!C22+'CEI PREFEITO SÉRGIO FADEL'!C22+'E M DR THEODORO MACHADO'!C22+'ESCOLA SANTO ANTÔNIO'!C22+'E M TAQUARIL'!C22+'E M MONSENHOR JOÃO DE DEUS RODR'!C22+'CENTRO DE REFERÊNCIA EM EDUC 2'!C22+'CEI PROFª GRAÇA COSTA'!C22+'CEI VILA LEOPOLDINA'!C22+'CEI NILO PEÇANHA'!C22+'E MZDA SANTA TEREZINHA'!C22+'CEI CRIANÇA SANTA EDWIGES'!C22+'E M ARNALDO DYCKERHOFF'!C22+'E M CARLOS CANEDO'!C22+'E M BEATRIZ ZALESKI'!C22+'E M ANTÔNIO JOSÉ DE LIMA'!C22+'E M FELIX WAN ERVEN DE BARROS'!C22+'ESCOLA MUNICIPAL HILDEBRANDO DE'!C22+'E M OSWALDO DA COSTA FRIAS'!C22+'E MZDA AVELINO DE CARVALHO'!C22+'ESCOLA MUNICIPALIZADA MOYSÉS FU'!C22+'CEI ANGELA MARIA DA CONCEIÇÃO S'!C22+'CEI JOSÉ GONÇALVES DA MOTTA'!C22+'E M DR BARROS FRANCO'!C22+'E M MAJOR THEÓFILO DE CARVALHO'!C22+'E M JOÃO KOPKE'!C22+'CEI ASSOCIAÇÃO BENEFICENTE FAZE'!C22+'ESCOLA SAO FRANCISCO DE ASSIS'!C22+'CEI SÃO FRANCISCO ASSIS'!C22+'CEI ALDEIA DA CRIANCA'!C22+'ESCOLA MUNICIPAL ODETTE FONSECA'!C22+'CEI ANA CAROLINA TELLES'!C22+'E M SEBASTIÃO LACERDA'!C22+'E M DOM PEDRO DE ALCÂNTARA'!C22+'ESCOLA NOSSA SENHORA DE FÁTIMA'!C22+'ESCOLA PAROQUIAL SÃO FRANCISCO '!C22+'E M MONSENHOR CIRILLO CALAON'!C22</f>
        <v/>
      </c>
      <c r="D18" s="143">
        <f>B18-C18</f>
        <v/>
      </c>
      <c r="E18" s="144">
        <f>'Entrada de Dados'!P2</f>
        <v/>
      </c>
      <c r="F18" s="144">
        <f>D18*E18</f>
        <v/>
      </c>
    </row>
    <row r="19" ht="15" customHeight="1" s="107">
      <c r="A19" s="132">
        <f>'Entrada de Dados'!Q5</f>
        <v/>
      </c>
      <c r="B19" s="143">
        <f>'Entrada de Dados'!Q197</f>
        <v/>
      </c>
      <c r="C19" s="143">
        <f>'E M ROTARY'!C23+'E M DE EDUCAÇÃO ESPECIAL SANTOS'!C23+'LICEU MUN PREFEITO CORDOLINO AM'!C23+'E M PREFEITO JAMIL SABRÁ'!C23+'LICEU MUNICIPAL CARLOS CHAGAS F'!C23+'E M PAULO FREIRE'!C23+'E M PROFª MARIA CAMPOS DA SILVA'!C23+'CASA DA EDUCAÇÃO VISCONDE DE MA'!C23+'CENTRO DE REFERÊNCIA EM EDUCAÇÃ'!C23+'ESCOLA SANTA LUIZA DE MARILLAC'!C23+'ESCOLA DOMÉSTICA NOSSA SENHORA '!C23+'ESCOLA MONSENHOR GENTIL'!C23+'ESCOLA PAROQUIAL NOSSA SENHORA '!C23+'ESCOLA PAROQUIAL SÃO PEDRO DE A'!C23+'CEI TERRA SANTA'!C23+'CEI PRIMEIRA INFÂNCIA'!C23+'CEI PROFª PATRÍCIA FERREIRA E S'!C23+'CEI DRA ZILDA ARNS NEUMANN'!C23+'CENTRO DE EDUCAÇÃO INFANTIL PRO'!C23+'CEI MONSENHOR PAULO ELIAS DAHER'!C23+'COLÉGIO GUNNAR VINGREN DE PETRÓ'!C23+'EDUCANDÁRIO TERRA SANTA'!C23+'CEI LIONS CLUBE DE PETRÓPOLIS'!C23+'ESCOLA PAROQUIAL NOSSA SENHO 2'!C23+'CENTRO DE EDUCAÇÃO INFANTIL IRM'!C23+'E M LUIZ CARLOS SOARES'!C23+'ESCOLA GERMANO VALENTE'!C23+'ESCOLA PAROQUIAL NOSSA SENHO 3'!C23+'CEI JORGE ROLANDO DA SILVA'!C23+'E M CLEMENTE FERNANDES'!C23+'E M GERALDO VENTURA DIAS'!C23+'ESCOLA DAS COMUNIDADES SANTO AN'!C23+'CEI PROFª ROSANGELA DA SILVA LE'!C23+'CEI DEISE ELOY GOMES'!C23+'CEI PROFª SONIA REGINA SCUDESE '!C23+'CEI TIA ALICE'!C23+'E M BATAILLARD'!C23+'E M SOROPTIMISTA'!C23+'E M SALVADOR KLING'!C23+'ESCOLA MUNICIPALIZADA FREI ANIC'!C23+'ESCOLA SÃO JUDAS TADEU'!C23+'CEI PEDRAS BRANCAS'!C23+'CEI MARIA THEREZA KLING DO VALL'!C23+'CEI DONA ESPERANZA DE BOURBON D'!C23+'CEI GIUSEPPE-NEVA VOLONTERIO'!C23+'CENTRO DE EDUCAÇÃO INFANTIL SÃO'!C23+'E M LEONARDO BOFF'!C23+'ESCOLA MUNICIPAL GENERAL HEITOR'!C23+'E M JOHANN NOEL'!C23+'ESCOLA SANTA MARIA GORETTI'!C23+'ESCOLA SANTA RITA DE CASSIA'!C23+'ESCOLA SÃO JOÃO BATISTA'!C23+'CEI CASA DA SOLIDARIEDADE DE NO'!C23+'CEI A SEMENTEIRA'!C23+'CEI VILA SAO JOSE'!C23+'E M DR RUBENS DE CASTRO BOMTEMP'!C23+'CEI FREI LEÃO'!C23+'CEI SÃO JOÃO BATISTA'!C23+'CEI JURACI PINTO DO AMARAL DE C'!C23+'E M PEDRO AMADO'!C23+'E M ABELARDO DE LAMARE'!C23+'ESCOLA MUNICIPAL SENADOR MARIO '!C23+'ESCOLA PAROQUIAL SÃO PIO X'!C23+'CEI SÃO CHARBEL'!C23+'E M ROSALINA NICOLAY'!C23+'CEI INÊS BELARMINO DE SOUZA'!C23+'E M PROFª MARIA DA GLÓRIA QUEIR'!C23+'CENTRO EDUCACIONAL COMUNIDADE S'!C23+'CEI ROMANO CANAVESE'!C23+'CEI CÉLIA LÔBO PAULO'!C23+'CEI PROFª DORA KILLER'!C23+'CEI ALTO INDEPENDÊNCIA'!C23+'ESCOLA MUNICIPAL ALTO INDEPENDÊ'!C23+'E M PAPA JOÃO PAULO II'!C23+'CEI ANDRÉ REBOUÇAS'!C23+'CEI PROFª HERMÍNIA MATHEUS'!C23+'ESCOLA MUNICIPAL MAJOR JÚLIO FR'!C23+'E M ALMIRANTE TAMANDARÉ'!C23+'ESCOLA PAROQUIAL CARLOS DEMIÁ'!C23+'CENTRO PAROQUIAL DE EDUCAÇÃO IN'!C23+'CEI IRMÃ SILVANA'!C23+'CEI OLÍVIA MACHADO DA COSTA NOG'!C23+'E M GOVERNADOR MARCELLO ALENCAR'!C23+'E M PROFESSOR FLÁVIO MACIEL'!C23+'E M PROFª JANDIRA PEIXOTO BORDI'!C23+'E M STEFAN ZWEIG'!C23+'ESCOLA PAROQUIAL BOM JESUS'!C23+'CEI MARLI SOARES FERREIRA NETTO'!C23+'CENTRO DE EDUCAÇÃO INFANTIL CHI'!C23+'CEI VILA IPANEMA'!C23+'E M ROBERT KENNEDY'!C23+'ESCOLA MUNICIPAL ANA MOHAMMAD'!C23+'ESCOLA SÃO CRISTÓVÃO'!C23+'CEI DÉA LÚCIA CORDEIRO'!C23+'CEI SAGRADA FAMÍLIA'!C23+'CEI SÃO JOSÉ DAS OBLATAS DE NAZ'!C23+'ESCOLA MUNICIPAL JORGE AMADO'!C23+'E M FÁBRICA DO SABER'!C23+'CIEP BRIZOLÃO 474 MAESTRO GUERR'!C23+'CENTRO DE ENSINO PROF DARCY RIB'!C23+'CEI ANDRÉ VANZAN'!C23+'CENTRO DE EDUCAÇÃO INFANTIL CAR'!C23+'CEI BOA VISTA'!C23+'ASSOCIAÇÃO DA CRECHE SÃO FRANCI'!C23+'ESCOLA MUNICIPAL PAULO SALDANHA'!C23+'ESCOLA MUNICIPAL LÚCIA DE ALMEI'!C23+'E M DOM MANOEL PEDRO DA CUNHA C'!C23+'ESCOLA SÃO GERALDO'!C23+'CEI LULU MONTEIRO DE CASTRO'!C23+'CEI CARANGOLA'!C23+'ASSOCIAÇÃO RECREAR'!C23+'CENTRO DE EDUCAÇÃO INFANTIL CAS'!C23+'E M ROSEMIRA DE OLIVEIRA CAVALC'!C23+'E MZDA CARMEM NUNES MARTINS'!C23+'CEI SÃO JOSÉ DO ITAMARATI'!C23+'E M DUQUE DE CAXIAS'!C23+'CENTRO DE EDUCAÇÃO INFANTIL  2'!C23+'E M ANTÔNIO LEITE GARCIA'!C23+'ESCOLA PAROQUIAL DA ALCOBAÇA'!C23+'CENTRO DE EDUCAÇÃO INFANTIL LOT'!C23+'ESCOLA PAROQUIAL DO LOTEAMENTO '!C23+'E M PROF JOAQUIM DEISTER'!C23+'E M MARIETA GONÇALVES'!C23+'ESCOLA MUNICIPAL ODETTE YOUNG M'!C23+'ESCOLA MUNICIPAL PROFESSOR JOSE'!C23+'E M HERCÍLIA HENRIQUES MORET'!C23+'COLEGIO VICENTINO PADRE CORRÊA'!C23+'CEI PROFª MARLUCE DE SOUZA PEST'!C23+'CEI IRINEU MARINHO'!C23+'CEI DAGMAR ROLANDO DE OLIVEIRA'!C23+'CEI NOSSA SENHORA DA GLÓRIA'!C23+'E M PROF NILTON COSTA PEREIRA D'!C23+'CENTRO DE EDUCAÇÃO INFANTIL SÉR'!C23+'CEI SANTO ANTÔNIO AGOSTINHO'!C23+'CEI OSWALDO CRUZ'!C23+'E M MAGDALENA TAGLIAFERRO'!C23+'ESCOLA SÃO JOSÉ DO CAETITU'!C23+'CRECHE-ESCOLA CASTELO SÃO MANOE'!C23+'CEI THEREZINHA DE JESUS LIMA'!C23+'ESCOLA MUNICIPAL PROFESSOR PAUL'!C23+'COLÉGIO ANGLICANO DE ARARAS'!C23+'ESCOLA PAROQUIAL SANTA BERNADET'!C23+'CEI VISTA ALEGRE'!C23+'CEI DENISE BESSA DE OLIVA MAYA'!C23+'CEI VIDEIRINHA'!C23+'E M AMÉRICO FERNANDES RIBEIRO'!C23+'ESCOLA MUNICIPAL AUGUSTO PUGNAL'!C23+'ESCOLA MUNICIPAL CELINA SCHECHN'!C23+'E M DARCY CORREA DA VEIGA'!C23+'E M DR PAULA BUARQUE'!C23+'LICEU SÃO JOSÉ DE ITAIPAVA'!C23+'CEI LUIZ MARCHIORI'!C23+'CENTRO DE EDUCAÇÃO INFANTIL AUG'!C23+'CEI PROFª ADRIANA CONSTÂNCIO TR'!C23+'E M AMÉLIA ANTUNES RABELLO'!C23+'CEI PREFEITO SÉRGIO FADEL'!C23+'E M DR THEODORO MACHADO'!C23+'ESCOLA SANTO ANTÔNIO'!C23+'E M TAQUARIL'!C23+'E M MONSENHOR JOÃO DE DEUS RODR'!C23+'CENTRO DE REFERÊNCIA EM EDUC 2'!C23+'CEI PROFª GRAÇA COSTA'!C23+'CEI VILA LEOPOLDINA'!C23+'CEI NILO PEÇANHA'!C23+'E MZDA SANTA TEREZINHA'!C23+'CEI CRIANÇA SANTA EDWIGES'!C23+'E M ARNALDO DYCKERHOFF'!C23+'E M CARLOS CANEDO'!C23+'E M BEATRIZ ZALESKI'!C23+'E M ANTÔNIO JOSÉ DE LIMA'!C23+'E M FELIX WAN ERVEN DE BARROS'!C23+'ESCOLA MUNICIPAL HILDEBRANDO DE'!C23+'E M OSWALDO DA COSTA FRIAS'!C23+'E MZDA AVELINO DE CARVALHO'!C23+'ESCOLA MUNICIPALIZADA MOYSÉS FU'!C23+'CEI ANGELA MARIA DA CONCEIÇÃO S'!C23+'CEI JOSÉ GONÇALVES DA MOTTA'!C23+'E M DR BARROS FRANCO'!C23+'E M MAJOR THEÓFILO DE CARVALHO'!C23+'E M JOÃO KOPKE'!C23+'CEI ASSOCIAÇÃO BENEFICENTE FAZE'!C23+'ESCOLA SAO FRANCISCO DE ASSIS'!C23+'CEI SÃO FRANCISCO ASSIS'!C23+'CEI ALDEIA DA CRIANCA'!C23+'ESCOLA MUNICIPAL ODETTE FONSECA'!C23+'CEI ANA CAROLINA TELLES'!C23+'E M SEBASTIÃO LACERDA'!C23+'E M DOM PEDRO DE ALCÂNTARA'!C23+'ESCOLA NOSSA SENHORA DE FÁTIMA'!C23+'ESCOLA PAROQUIAL SÃO FRANCISCO '!C23+'E M MONSENHOR CIRILLO CALAON'!C23</f>
        <v/>
      </c>
      <c r="D19" s="143">
        <f>B19-C19</f>
        <v/>
      </c>
      <c r="E19" s="144">
        <f>'Entrada de Dados'!Q2</f>
        <v/>
      </c>
      <c r="F19" s="144">
        <f>D19*E19</f>
        <v/>
      </c>
    </row>
    <row r="20" ht="15" customHeight="1" s="107">
      <c r="A20" s="132">
        <f>'Entrada de Dados'!R5</f>
        <v/>
      </c>
      <c r="B20" s="143">
        <f>'Entrada de Dados'!R197</f>
        <v/>
      </c>
      <c r="C20" s="143">
        <f>'E M ROTARY'!C24+'E M DE EDUCAÇÃO ESPECIAL SANTOS'!C24+'LICEU MUN PREFEITO CORDOLINO AM'!C24+'E M PREFEITO JAMIL SABRÁ'!C24+'LICEU MUNICIPAL CARLOS CHAGAS F'!C24+'E M PAULO FREIRE'!C24+'E M PROFª MARIA CAMPOS DA SILVA'!C24+'CASA DA EDUCAÇÃO VISCONDE DE MA'!C24+'CENTRO DE REFERÊNCIA EM EDUCAÇÃ'!C24+'ESCOLA SANTA LUIZA DE MARILLAC'!C24+'ESCOLA DOMÉSTICA NOSSA SENHORA '!C24+'ESCOLA MONSENHOR GENTIL'!C24+'ESCOLA PAROQUIAL NOSSA SENHORA '!C24+'ESCOLA PAROQUIAL SÃO PEDRO DE A'!C24+'CEI TERRA SANTA'!C24+'CEI PRIMEIRA INFÂNCIA'!C24+'CEI PROFª PATRÍCIA FERREIRA E S'!C24+'CEI DRA ZILDA ARNS NEUMANN'!C24+'CENTRO DE EDUCAÇÃO INFANTIL PRO'!C24+'CEI MONSENHOR PAULO ELIAS DAHER'!C24+'COLÉGIO GUNNAR VINGREN DE PETRÓ'!C24+'EDUCANDÁRIO TERRA SANTA'!C24+'CEI LIONS CLUBE DE PETRÓPOLIS'!C24+'ESCOLA PAROQUIAL NOSSA SENHO 2'!C24+'CENTRO DE EDUCAÇÃO INFANTIL IRM'!C24+'E M LUIZ CARLOS SOARES'!C24+'ESCOLA GERMANO VALENTE'!C24+'ESCOLA PAROQUIAL NOSSA SENHO 3'!C24+'CEI JORGE ROLANDO DA SILVA'!C24+'E M CLEMENTE FERNANDES'!C24+'E M GERALDO VENTURA DIAS'!C24+'ESCOLA DAS COMUNIDADES SANTO AN'!C24+'CEI PROFª ROSANGELA DA SILVA LE'!C24+'CEI DEISE ELOY GOMES'!C24+'CEI PROFª SONIA REGINA SCUDESE '!C24+'CEI TIA ALICE'!C24+'E M BATAILLARD'!C24+'E M SOROPTIMISTA'!C24+'E M SALVADOR KLING'!C24+'ESCOLA MUNICIPALIZADA FREI ANIC'!C24+'ESCOLA SÃO JUDAS TADEU'!C24+'CEI PEDRAS BRANCAS'!C24+'CEI MARIA THEREZA KLING DO VALL'!C24+'CEI DONA ESPERANZA DE BOURBON D'!C24+'CEI GIUSEPPE-NEVA VOLONTERIO'!C24+'CENTRO DE EDUCAÇÃO INFANTIL SÃO'!C24+'E M LEONARDO BOFF'!C24+'ESCOLA MUNICIPAL GENERAL HEITOR'!C24+'E M JOHANN NOEL'!C24+'ESCOLA SANTA MARIA GORETTI'!C24+'ESCOLA SANTA RITA DE CASSIA'!C24+'ESCOLA SÃO JOÃO BATISTA'!C24+'CEI CASA DA SOLIDARIEDADE DE NO'!C24+'CEI A SEMENTEIRA'!C24+'CEI VILA SAO JOSE'!C24+'E M DR RUBENS DE CASTRO BOMTEMP'!C24+'CEI FREI LEÃO'!C24+'CEI SÃO JOÃO BATISTA'!C24+'CEI JURACI PINTO DO AMARAL DE C'!C24+'E M PEDRO AMADO'!C24+'E M ABELARDO DE LAMARE'!C24+'ESCOLA MUNICIPAL SENADOR MARIO '!C24+'ESCOLA PAROQUIAL SÃO PIO X'!C24+'CEI SÃO CHARBEL'!C24+'E M ROSALINA NICOLAY'!C24+'CEI INÊS BELARMINO DE SOUZA'!C24+'E M PROFª MARIA DA GLÓRIA QUEIR'!C24+'CENTRO EDUCACIONAL COMUNIDADE S'!C24+'CEI ROMANO CANAVESE'!C24+'CEI CÉLIA LÔBO PAULO'!C24+'CEI PROFª DORA KILLER'!C24+'CEI ALTO INDEPENDÊNCIA'!C24+'ESCOLA MUNICIPAL ALTO INDEPENDÊ'!C24+'E M PAPA JOÃO PAULO II'!C24+'CEI ANDRÉ REBOUÇAS'!C24+'CEI PROFª HERMÍNIA MATHEUS'!C24+'ESCOLA MUNICIPAL MAJOR JÚLIO FR'!C24+'E M ALMIRANTE TAMANDARÉ'!C24+'ESCOLA PAROQUIAL CARLOS DEMIÁ'!C24+'CENTRO PAROQUIAL DE EDUCAÇÃO IN'!C24+'CEI IRMÃ SILVANA'!C24+'CEI OLÍVIA MACHADO DA COSTA NOG'!C24+'E M GOVERNADOR MARCELLO ALENCAR'!C24+'E M PROFESSOR FLÁVIO MACIEL'!C24+'E M PROFª JANDIRA PEIXOTO BORDI'!C24+'E M STEFAN ZWEIG'!C24+'ESCOLA PAROQUIAL BOM JESUS'!C24+'CEI MARLI SOARES FERREIRA NETTO'!C24+'CENTRO DE EDUCAÇÃO INFANTIL CHI'!C24+'CEI VILA IPANEMA'!C24+'E M ROBERT KENNEDY'!C24+'ESCOLA MUNICIPAL ANA MOHAMMAD'!C24+'ESCOLA SÃO CRISTÓVÃO'!C24+'CEI DÉA LÚCIA CORDEIRO'!C24+'CEI SAGRADA FAMÍLIA'!C24+'CEI SÃO JOSÉ DAS OBLATAS DE NAZ'!C24+'ESCOLA MUNICIPAL JORGE AMADO'!C24+'E M FÁBRICA DO SABER'!C24+'CIEP BRIZOLÃO 474 MAESTRO GUERR'!C24+'CENTRO DE ENSINO PROF DARCY RIB'!C24+'CEI ANDRÉ VANZAN'!C24+'CENTRO DE EDUCAÇÃO INFANTIL CAR'!C24+'CEI BOA VISTA'!C24+'ASSOCIAÇÃO DA CRECHE SÃO FRANCI'!C24+'ESCOLA MUNICIPAL PAULO SALDANHA'!C24+'ESCOLA MUNICIPAL LÚCIA DE ALMEI'!C24+'E M DOM MANOEL PEDRO DA CUNHA C'!C24+'ESCOLA SÃO GERALDO'!C24+'CEI LULU MONTEIRO DE CASTRO'!C24+'CEI CARANGOLA'!C24+'ASSOCIAÇÃO RECREAR'!C24+'CENTRO DE EDUCAÇÃO INFANTIL CAS'!C24+'E M ROSEMIRA DE OLIVEIRA CAVALC'!C24+'E MZDA CARMEM NUNES MARTINS'!C24+'CEI SÃO JOSÉ DO ITAMARATI'!C24+'E M DUQUE DE CAXIAS'!C24+'CENTRO DE EDUCAÇÃO INFANTIL  2'!C24+'E M ANTÔNIO LEITE GARCIA'!C24+'ESCOLA PAROQUIAL DA ALCOBAÇA'!C24+'CENTRO DE EDUCAÇÃO INFANTIL LOT'!C24+'ESCOLA PAROQUIAL DO LOTEAMENTO '!C24+'E M PROF JOAQUIM DEISTER'!C24+'E M MARIETA GONÇALVES'!C24+'ESCOLA MUNICIPAL ODETTE YOUNG M'!C24+'ESCOLA MUNICIPAL PROFESSOR JOSE'!C24+'E M HERCÍLIA HENRIQUES MORET'!C24+'COLEGIO VICENTINO PADRE CORRÊA'!C24+'CEI PROFª MARLUCE DE SOUZA PEST'!C24+'CEI IRINEU MARINHO'!C24+'CEI DAGMAR ROLANDO DE OLIVEIRA'!C24+'CEI NOSSA SENHORA DA GLÓRIA'!C24+'E M PROF NILTON COSTA PEREIRA D'!C24+'CENTRO DE EDUCAÇÃO INFANTIL SÉR'!C24+'CEI SANTO ANTÔNIO AGOSTINHO'!C24+'CEI OSWALDO CRUZ'!C24+'E M MAGDALENA TAGLIAFERRO'!C24+'ESCOLA SÃO JOSÉ DO CAETITU'!C24+'CRECHE-ESCOLA CASTELO SÃO MANOE'!C24+'CEI THEREZINHA DE JESUS LIMA'!C24+'ESCOLA MUNICIPAL PROFESSOR PAUL'!C24+'COLÉGIO ANGLICANO DE ARARAS'!C24+'ESCOLA PAROQUIAL SANTA BERNADET'!C24+'CEI VISTA ALEGRE'!C24+'CEI DENISE BESSA DE OLIVA MAYA'!C24+'CEI VIDEIRINHA'!C24+'E M AMÉRICO FERNANDES RIBEIRO'!C24+'ESCOLA MUNICIPAL AUGUSTO PUGNAL'!C24+'ESCOLA MUNICIPAL CELINA SCHECHN'!C24+'E M DARCY CORREA DA VEIGA'!C24+'E M DR PAULA BUARQUE'!C24+'LICEU SÃO JOSÉ DE ITAIPAVA'!C24+'CEI LUIZ MARCHIORI'!C24+'CENTRO DE EDUCAÇÃO INFANTIL AUG'!C24+'CEI PROFª ADRIANA CONSTÂNCIO TR'!C24+'E M AMÉLIA ANTUNES RABELLO'!C24+'CEI PREFEITO SÉRGIO FADEL'!C24+'E M DR THEODORO MACHADO'!C24+'ESCOLA SANTO ANTÔNIO'!C24+'E M TAQUARIL'!C24+'E M MONSENHOR JOÃO DE DEUS RODR'!C24+'CENTRO DE REFERÊNCIA EM EDUC 2'!C24+'CEI PROFª GRAÇA COSTA'!C24+'CEI VILA LEOPOLDINA'!C24+'CEI NILO PEÇANHA'!C24+'E MZDA SANTA TEREZINHA'!C24+'CEI CRIANÇA SANTA EDWIGES'!C24+'E M ARNALDO DYCKERHOFF'!C24+'E M CARLOS CANEDO'!C24+'E M BEATRIZ ZALESKI'!C24+'E M ANTÔNIO JOSÉ DE LIMA'!C24+'E M FELIX WAN ERVEN DE BARROS'!C24+'ESCOLA MUNICIPAL HILDEBRANDO DE'!C24+'E M OSWALDO DA COSTA FRIAS'!C24+'E MZDA AVELINO DE CARVALHO'!C24+'ESCOLA MUNICIPALIZADA MOYSÉS FU'!C24+'CEI ANGELA MARIA DA CONCEIÇÃO S'!C24+'CEI JOSÉ GONÇALVES DA MOTTA'!C24+'E M DR BARROS FRANCO'!C24+'E M MAJOR THEÓFILO DE CARVALHO'!C24+'E M JOÃO KOPKE'!C24+'CEI ASSOCIAÇÃO BENEFICENTE FAZE'!C24+'ESCOLA SAO FRANCISCO DE ASSIS'!C24+'CEI SÃO FRANCISCO ASSIS'!C24+'CEI ALDEIA DA CRIANCA'!C24+'ESCOLA MUNICIPAL ODETTE FONSECA'!C24+'CEI ANA CAROLINA TELLES'!C24+'E M SEBASTIÃO LACERDA'!C24+'E M DOM PEDRO DE ALCÂNTARA'!C24+'ESCOLA NOSSA SENHORA DE FÁTIMA'!C24+'ESCOLA PAROQUIAL SÃO FRANCISCO '!C24+'E M MONSENHOR CIRILLO CALAON'!C24</f>
        <v/>
      </c>
      <c r="D20" s="143">
        <f>B20-C20</f>
        <v/>
      </c>
      <c r="E20" s="144">
        <f>'Entrada de Dados'!R2</f>
        <v/>
      </c>
      <c r="F20" s="144">
        <f>D20*E20</f>
        <v/>
      </c>
    </row>
    <row r="21" ht="15" customHeight="1" s="107">
      <c r="A21" s="132">
        <f>'Entrada de Dados'!S5</f>
        <v/>
      </c>
      <c r="B21" s="143">
        <f>'Entrada de Dados'!S197</f>
        <v/>
      </c>
      <c r="C21" s="143">
        <f>'E M ROTARY'!C25+'E M DE EDUCAÇÃO ESPECIAL SANTOS'!C25+'LICEU MUN PREFEITO CORDOLINO AM'!C25+'E M PREFEITO JAMIL SABRÁ'!C25+'LICEU MUNICIPAL CARLOS CHAGAS F'!C25+'E M PAULO FREIRE'!C25+'E M PROFª MARIA CAMPOS DA SILVA'!C25+'CASA DA EDUCAÇÃO VISCONDE DE MA'!C25+'CENTRO DE REFERÊNCIA EM EDUCAÇÃ'!C25+'ESCOLA SANTA LUIZA DE MARILLAC'!C25+'ESCOLA DOMÉSTICA NOSSA SENHORA '!C25+'ESCOLA MONSENHOR GENTIL'!C25+'ESCOLA PAROQUIAL NOSSA SENHORA '!C25+'ESCOLA PAROQUIAL SÃO PEDRO DE A'!C25+'CEI TERRA SANTA'!C25+'CEI PRIMEIRA INFÂNCIA'!C25+'CEI PROFª PATRÍCIA FERREIRA E S'!C25+'CEI DRA ZILDA ARNS NEUMANN'!C25+'CENTRO DE EDUCAÇÃO INFANTIL PRO'!C25+'CEI MONSENHOR PAULO ELIAS DAHER'!C25+'COLÉGIO GUNNAR VINGREN DE PETRÓ'!C25+'EDUCANDÁRIO TERRA SANTA'!C25+'CEI LIONS CLUBE DE PETRÓPOLIS'!C25+'ESCOLA PAROQUIAL NOSSA SENHO 2'!C25+'CENTRO DE EDUCAÇÃO INFANTIL IRM'!C25+'E M LUIZ CARLOS SOARES'!C25+'ESCOLA GERMANO VALENTE'!C25+'ESCOLA PAROQUIAL NOSSA SENHO 3'!C25+'CEI JORGE ROLANDO DA SILVA'!C25+'E M CLEMENTE FERNANDES'!C25+'E M GERALDO VENTURA DIAS'!C25+'ESCOLA DAS COMUNIDADES SANTO AN'!C25+'CEI PROFª ROSANGELA DA SILVA LE'!C25+'CEI DEISE ELOY GOMES'!C25+'CEI PROFª SONIA REGINA SCUDESE '!C25+'CEI TIA ALICE'!C25+'E M BATAILLARD'!C25+'E M SOROPTIMISTA'!C25+'E M SALVADOR KLING'!C25+'ESCOLA MUNICIPALIZADA FREI ANIC'!C25+'ESCOLA SÃO JUDAS TADEU'!C25+'CEI PEDRAS BRANCAS'!C25+'CEI MARIA THEREZA KLING DO VALL'!C25+'CEI DONA ESPERANZA DE BOURBON D'!C25+'CEI GIUSEPPE-NEVA VOLONTERIO'!C25+'CENTRO DE EDUCAÇÃO INFANTIL SÃO'!C25+'E M LEONARDO BOFF'!C25+'ESCOLA MUNICIPAL GENERAL HEITOR'!C25+'E M JOHANN NOEL'!C25+'ESCOLA SANTA MARIA GORETTI'!C25+'ESCOLA SANTA RITA DE CASSIA'!C25+'ESCOLA SÃO JOÃO BATISTA'!C25+'CEI CASA DA SOLIDARIEDADE DE NO'!C25+'CEI A SEMENTEIRA'!C25+'CEI VILA SAO JOSE'!C25+'E M DR RUBENS DE CASTRO BOMTEMP'!C25+'CEI FREI LEÃO'!C25+'CEI SÃO JOÃO BATISTA'!C25+'CEI JURACI PINTO DO AMARAL DE C'!C25+'E M PEDRO AMADO'!C25+'E M ABELARDO DE LAMARE'!C25+'ESCOLA MUNICIPAL SENADOR MARIO '!C25+'ESCOLA PAROQUIAL SÃO PIO X'!C25+'CEI SÃO CHARBEL'!C25+'E M ROSALINA NICOLAY'!C25+'CEI INÊS BELARMINO DE SOUZA'!C25+'E M PROFª MARIA DA GLÓRIA QUEIR'!C25+'CENTRO EDUCACIONAL COMUNIDADE S'!C25+'CEI ROMANO CANAVESE'!C25+'CEI CÉLIA LÔBO PAULO'!C25+'CEI PROFª DORA KILLER'!C25+'CEI ALTO INDEPENDÊNCIA'!C25+'ESCOLA MUNICIPAL ALTO INDEPENDÊ'!C25+'E M PAPA JOÃO PAULO II'!C25+'CEI ANDRÉ REBOUÇAS'!C25+'CEI PROFª HERMÍNIA MATHEUS'!C25+'ESCOLA MUNICIPAL MAJOR JÚLIO FR'!C25+'E M ALMIRANTE TAMANDARÉ'!C25+'ESCOLA PAROQUIAL CARLOS DEMIÁ'!C25+'CENTRO PAROQUIAL DE EDUCAÇÃO IN'!C25+'CEI IRMÃ SILVANA'!C25+'CEI OLÍVIA MACHADO DA COSTA NOG'!C25+'E M GOVERNADOR MARCELLO ALENCAR'!C25+'E M PROFESSOR FLÁVIO MACIEL'!C25+'E M PROFª JANDIRA PEIXOTO BORDI'!C25+'E M STEFAN ZWEIG'!C25+'ESCOLA PAROQUIAL BOM JESUS'!C25+'CEI MARLI SOARES FERREIRA NETTO'!C25+'CENTRO DE EDUCAÇÃO INFANTIL CHI'!C25+'CEI VILA IPANEMA'!C25+'E M ROBERT KENNEDY'!C25+'ESCOLA MUNICIPAL ANA MOHAMMAD'!C25+'ESCOLA SÃO CRISTÓVÃO'!C25+'CEI DÉA LÚCIA CORDEIRO'!C25+'CEI SAGRADA FAMÍLIA'!C25+'CEI SÃO JOSÉ DAS OBLATAS DE NAZ'!C25+'ESCOLA MUNICIPAL JORGE AMADO'!C25+'E M FÁBRICA DO SABER'!C25+'CIEP BRIZOLÃO 474 MAESTRO GUERR'!C25+'CENTRO DE ENSINO PROF DARCY RIB'!C25+'CEI ANDRÉ VANZAN'!C25+'CENTRO DE EDUCAÇÃO INFANTIL CAR'!C25+'CEI BOA VISTA'!C25+'ASSOCIAÇÃO DA CRECHE SÃO FRANCI'!C25+'ESCOLA MUNICIPAL PAULO SALDANHA'!C25+'ESCOLA MUNICIPAL LÚCIA DE ALMEI'!C25+'E M DOM MANOEL PEDRO DA CUNHA C'!C25+'ESCOLA SÃO GERALDO'!C25+'CEI LULU MONTEIRO DE CASTRO'!C25+'CEI CARANGOLA'!C25+'ASSOCIAÇÃO RECREAR'!C25+'CENTRO DE EDUCAÇÃO INFANTIL CAS'!C25+'E M ROSEMIRA DE OLIVEIRA CAVALC'!C25+'E MZDA CARMEM NUNES MARTINS'!C25+'CEI SÃO JOSÉ DO ITAMARATI'!C25+'E M DUQUE DE CAXIAS'!C25+'CENTRO DE EDUCAÇÃO INFANTIL  2'!C25+'E M ANTÔNIO LEITE GARCIA'!C25+'ESCOLA PAROQUIAL DA ALCOBAÇA'!C25+'CENTRO DE EDUCAÇÃO INFANTIL LOT'!C25+'ESCOLA PAROQUIAL DO LOTEAMENTO '!C25+'E M PROF JOAQUIM DEISTER'!C25+'E M MARIETA GONÇALVES'!C25+'ESCOLA MUNICIPAL ODETTE YOUNG M'!C25+'ESCOLA MUNICIPAL PROFESSOR JOSE'!C25+'E M HERCÍLIA HENRIQUES MORET'!C25+'COLEGIO VICENTINO PADRE CORRÊA'!C25+'CEI PROFª MARLUCE DE SOUZA PEST'!C25+'CEI IRINEU MARINHO'!C25+'CEI DAGMAR ROLANDO DE OLIVEIRA'!C25+'CEI NOSSA SENHORA DA GLÓRIA'!C25+'E M PROF NILTON COSTA PEREIRA D'!C25+'CENTRO DE EDUCAÇÃO INFANTIL SÉR'!C25+'CEI SANTO ANTÔNIO AGOSTINHO'!C25+'CEI OSWALDO CRUZ'!C25+'E M MAGDALENA TAGLIAFERRO'!C25+'ESCOLA SÃO JOSÉ DO CAETITU'!C25+'CRECHE-ESCOLA CASTELO SÃO MANOE'!C25+'CEI THEREZINHA DE JESUS LIMA'!C25+'ESCOLA MUNICIPAL PROFESSOR PAUL'!C25+'COLÉGIO ANGLICANO DE ARARAS'!C25+'ESCOLA PAROQUIAL SANTA BERNADET'!C25+'CEI VISTA ALEGRE'!C25+'CEI DENISE BESSA DE OLIVA MAYA'!C25+'CEI VIDEIRINHA'!C25+'E M AMÉRICO FERNANDES RIBEIRO'!C25+'ESCOLA MUNICIPAL AUGUSTO PUGNAL'!C25+'ESCOLA MUNICIPAL CELINA SCHECHN'!C25+'E M DARCY CORREA DA VEIGA'!C25+'E M DR PAULA BUARQUE'!C25+'LICEU SÃO JOSÉ DE ITAIPAVA'!C25+'CEI LUIZ MARCHIORI'!C25+'CENTRO DE EDUCAÇÃO INFANTIL AUG'!C25+'CEI PROFª ADRIANA CONSTÂNCIO TR'!C25+'E M AMÉLIA ANTUNES RABELLO'!C25+'CEI PREFEITO SÉRGIO FADEL'!C25+'E M DR THEODORO MACHADO'!C25+'ESCOLA SANTO ANTÔNIO'!C25+'E M TAQUARIL'!C25+'E M MONSENHOR JOÃO DE DEUS RODR'!C25+'CENTRO DE REFERÊNCIA EM EDUC 2'!C25+'CEI PROFª GRAÇA COSTA'!C25+'CEI VILA LEOPOLDINA'!C25+'CEI NILO PEÇANHA'!C25+'E MZDA SANTA TEREZINHA'!C25+'CEI CRIANÇA SANTA EDWIGES'!C25+'E M ARNALDO DYCKERHOFF'!C25+'E M CARLOS CANEDO'!C25+'E M BEATRIZ ZALESKI'!C25+'E M ANTÔNIO JOSÉ DE LIMA'!C25+'E M FELIX WAN ERVEN DE BARROS'!C25+'ESCOLA MUNICIPAL HILDEBRANDO DE'!C25+'E M OSWALDO DA COSTA FRIAS'!C25+'E MZDA AVELINO DE CARVALHO'!C25+'ESCOLA MUNICIPALIZADA MOYSÉS FU'!C25+'CEI ANGELA MARIA DA CONCEIÇÃO S'!C25+'CEI JOSÉ GONÇALVES DA MOTTA'!C25+'E M DR BARROS FRANCO'!C25+'E M MAJOR THEÓFILO DE CARVALHO'!C25+'E M JOÃO KOPKE'!C25+'CEI ASSOCIAÇÃO BENEFICENTE FAZE'!C25+'ESCOLA SAO FRANCISCO DE ASSIS'!C25+'CEI SÃO FRANCISCO ASSIS'!C25+'CEI ALDEIA DA CRIANCA'!C25+'ESCOLA MUNICIPAL ODETTE FONSECA'!C25+'CEI ANA CAROLINA TELLES'!C25+'E M SEBASTIÃO LACERDA'!C25+'E M DOM PEDRO DE ALCÂNTARA'!C25+'ESCOLA NOSSA SENHORA DE FÁTIMA'!C25+'ESCOLA PAROQUIAL SÃO FRANCISCO '!C25+'E M MONSENHOR CIRILLO CALAON'!C25</f>
        <v/>
      </c>
      <c r="D21" s="143">
        <f>B21-C21</f>
        <v/>
      </c>
      <c r="E21" s="144">
        <f>'Entrada de Dados'!S2</f>
        <v/>
      </c>
      <c r="F21" s="144">
        <f>D21*E21</f>
        <v/>
      </c>
    </row>
    <row r="22" ht="15" customHeight="1" s="107">
      <c r="A22" s="132">
        <f>'Entrada de Dados'!T5</f>
        <v/>
      </c>
      <c r="B22" s="143">
        <f>'Entrada de Dados'!T197</f>
        <v/>
      </c>
      <c r="C22" s="143">
        <f>'E M ROTARY'!C26+'E M DE EDUCAÇÃO ESPECIAL SANTOS'!C26+'LICEU MUN PREFEITO CORDOLINO AM'!C26+'E M PREFEITO JAMIL SABRÁ'!C26+'LICEU MUNICIPAL CARLOS CHAGAS F'!C26+'E M PAULO FREIRE'!C26+'E M PROFª MARIA CAMPOS DA SILVA'!C26+'CASA DA EDUCAÇÃO VISCONDE DE MA'!C26+'CENTRO DE REFERÊNCIA EM EDUCAÇÃ'!C26+'ESCOLA SANTA LUIZA DE MARILLAC'!C26+'ESCOLA DOMÉSTICA NOSSA SENHORA '!C26+'ESCOLA MONSENHOR GENTIL'!C26+'ESCOLA PAROQUIAL NOSSA SENHORA '!C26+'ESCOLA PAROQUIAL SÃO PEDRO DE A'!C26+'CEI TERRA SANTA'!C26+'CEI PRIMEIRA INFÂNCIA'!C26+'CEI PROFª PATRÍCIA FERREIRA E S'!C26+'CEI DRA ZILDA ARNS NEUMANN'!C26+'CENTRO DE EDUCAÇÃO INFANTIL PRO'!C26+'CEI MONSENHOR PAULO ELIAS DAHER'!C26+'COLÉGIO GUNNAR VINGREN DE PETRÓ'!C26+'EDUCANDÁRIO TERRA SANTA'!C26+'CEI LIONS CLUBE DE PETRÓPOLIS'!C26+'ESCOLA PAROQUIAL NOSSA SENHO 2'!C26+'CENTRO DE EDUCAÇÃO INFANTIL IRM'!C26+'E M LUIZ CARLOS SOARES'!C26+'ESCOLA GERMANO VALENTE'!C26+'ESCOLA PAROQUIAL NOSSA SENHO 3'!C26+'CEI JORGE ROLANDO DA SILVA'!C26+'E M CLEMENTE FERNANDES'!C26+'E M GERALDO VENTURA DIAS'!C26+'ESCOLA DAS COMUNIDADES SANTO AN'!C26+'CEI PROFª ROSANGELA DA SILVA LE'!C26+'CEI DEISE ELOY GOMES'!C26+'CEI PROFª SONIA REGINA SCUDESE '!C26+'CEI TIA ALICE'!C26+'E M BATAILLARD'!C26+'E M SOROPTIMISTA'!C26+'E M SALVADOR KLING'!C26+'ESCOLA MUNICIPALIZADA FREI ANIC'!C26+'ESCOLA SÃO JUDAS TADEU'!C26+'CEI PEDRAS BRANCAS'!C26+'CEI MARIA THEREZA KLING DO VALL'!C26+'CEI DONA ESPERANZA DE BOURBON D'!C26+'CEI GIUSEPPE-NEVA VOLONTERIO'!C26+'CENTRO DE EDUCAÇÃO INFANTIL SÃO'!C26+'E M LEONARDO BOFF'!C26+'ESCOLA MUNICIPAL GENERAL HEITOR'!C26+'E M JOHANN NOEL'!C26+'ESCOLA SANTA MARIA GORETTI'!C26+'ESCOLA SANTA RITA DE CASSIA'!C26+'ESCOLA SÃO JOÃO BATISTA'!C26+'CEI CASA DA SOLIDARIEDADE DE NO'!C26+'CEI A SEMENTEIRA'!C26+'CEI VILA SAO JOSE'!C26+'E M DR RUBENS DE CASTRO BOMTEMP'!C26+'CEI FREI LEÃO'!C26+'CEI SÃO JOÃO BATISTA'!C26+'CEI JURACI PINTO DO AMARAL DE C'!C26+'E M PEDRO AMADO'!C26+'E M ABELARDO DE LAMARE'!C26+'ESCOLA MUNICIPAL SENADOR MARIO '!C26+'ESCOLA PAROQUIAL SÃO PIO X'!C26+'CEI SÃO CHARBEL'!C26+'E M ROSALINA NICOLAY'!C26+'CEI INÊS BELARMINO DE SOUZA'!C26+'E M PROFª MARIA DA GLÓRIA QUEIR'!C26+'CENTRO EDUCACIONAL COMUNIDADE S'!C26+'CEI ROMANO CANAVESE'!C26+'CEI CÉLIA LÔBO PAULO'!C26+'CEI PROFª DORA KILLER'!C26+'CEI ALTO INDEPENDÊNCIA'!C26+'ESCOLA MUNICIPAL ALTO INDEPENDÊ'!C26+'E M PAPA JOÃO PAULO II'!C26+'CEI ANDRÉ REBOUÇAS'!C26+'CEI PROFª HERMÍNIA MATHEUS'!C26+'ESCOLA MUNICIPAL MAJOR JÚLIO FR'!C26+'E M ALMIRANTE TAMANDARÉ'!C26+'ESCOLA PAROQUIAL CARLOS DEMIÁ'!C26+'CENTRO PAROQUIAL DE EDUCAÇÃO IN'!C26+'CEI IRMÃ SILVANA'!C26+'CEI OLÍVIA MACHADO DA COSTA NOG'!C26+'E M GOVERNADOR MARCELLO ALENCAR'!C26+'E M PROFESSOR FLÁVIO MACIEL'!C26+'E M PROFª JANDIRA PEIXOTO BORDI'!C26+'E M STEFAN ZWEIG'!C26+'ESCOLA PAROQUIAL BOM JESUS'!C26+'CEI MARLI SOARES FERREIRA NETTO'!C26+'CENTRO DE EDUCAÇÃO INFANTIL CHI'!C26+'CEI VILA IPANEMA'!C26+'E M ROBERT KENNEDY'!C26+'ESCOLA MUNICIPAL ANA MOHAMMAD'!C26+'ESCOLA SÃO CRISTÓVÃO'!C26+'CEI DÉA LÚCIA CORDEIRO'!C26+'CEI SAGRADA FAMÍLIA'!C26+'CEI SÃO JOSÉ DAS OBLATAS DE NAZ'!C26+'ESCOLA MUNICIPAL JORGE AMADO'!C26+'E M FÁBRICA DO SABER'!C26+'CIEP BRIZOLÃO 474 MAESTRO GUERR'!C26+'CENTRO DE ENSINO PROF DARCY RIB'!C26+'CEI ANDRÉ VANZAN'!C26+'CENTRO DE EDUCAÇÃO INFANTIL CAR'!C26+'CEI BOA VISTA'!C26+'ASSOCIAÇÃO DA CRECHE SÃO FRANCI'!C26+'ESCOLA MUNICIPAL PAULO SALDANHA'!C26+'ESCOLA MUNICIPAL LÚCIA DE ALMEI'!C26+'E M DOM MANOEL PEDRO DA CUNHA C'!C26+'ESCOLA SÃO GERALDO'!C26+'CEI LULU MONTEIRO DE CASTRO'!C26+'CEI CARANGOLA'!C26+'ASSOCIAÇÃO RECREAR'!C26+'CENTRO DE EDUCAÇÃO INFANTIL CAS'!C26+'E M ROSEMIRA DE OLIVEIRA CAVALC'!C26+'E MZDA CARMEM NUNES MARTINS'!C26+'CEI SÃO JOSÉ DO ITAMARATI'!C26+'E M DUQUE DE CAXIAS'!C26+'CENTRO DE EDUCAÇÃO INFANTIL  2'!C26+'E M ANTÔNIO LEITE GARCIA'!C26+'ESCOLA PAROQUIAL DA ALCOBAÇA'!C26+'CENTRO DE EDUCAÇÃO INFANTIL LOT'!C26+'ESCOLA PAROQUIAL DO LOTEAMENTO '!C26+'E M PROF JOAQUIM DEISTER'!C26+'E M MARIETA GONÇALVES'!C26+'ESCOLA MUNICIPAL ODETTE YOUNG M'!C26+'ESCOLA MUNICIPAL PROFESSOR JOSE'!C26+'E M HERCÍLIA HENRIQUES MORET'!C26+'COLEGIO VICENTINO PADRE CORRÊA'!C26+'CEI PROFª MARLUCE DE SOUZA PEST'!C26+'CEI IRINEU MARINHO'!C26+'CEI DAGMAR ROLANDO DE OLIVEIRA'!C26+'CEI NOSSA SENHORA DA GLÓRIA'!C26+'E M PROF NILTON COSTA PEREIRA D'!C26+'CENTRO DE EDUCAÇÃO INFANTIL SÉR'!C26+'CEI SANTO ANTÔNIO AGOSTINHO'!C26+'CEI OSWALDO CRUZ'!C26+'E M MAGDALENA TAGLIAFERRO'!C26+'ESCOLA SÃO JOSÉ DO CAETITU'!C26+'CRECHE-ESCOLA CASTELO SÃO MANOE'!C26+'CEI THEREZINHA DE JESUS LIMA'!C26+'ESCOLA MUNICIPAL PROFESSOR PAUL'!C26+'COLÉGIO ANGLICANO DE ARARAS'!C26+'ESCOLA PAROQUIAL SANTA BERNADET'!C26+'CEI VISTA ALEGRE'!C26+'CEI DENISE BESSA DE OLIVA MAYA'!C26+'CEI VIDEIRINHA'!C26+'E M AMÉRICO FERNANDES RIBEIRO'!C26+'ESCOLA MUNICIPAL AUGUSTO PUGNAL'!C26+'ESCOLA MUNICIPAL CELINA SCHECHN'!C26+'E M DARCY CORREA DA VEIGA'!C26+'E M DR PAULA BUARQUE'!C26+'LICEU SÃO JOSÉ DE ITAIPAVA'!C26+'CEI LUIZ MARCHIORI'!C26+'CENTRO DE EDUCAÇÃO INFANTIL AUG'!C26+'CEI PROFª ADRIANA CONSTÂNCIO TR'!C26+'E M AMÉLIA ANTUNES RABELLO'!C26+'CEI PREFEITO SÉRGIO FADEL'!C26+'E M DR THEODORO MACHADO'!C26+'ESCOLA SANTO ANTÔNIO'!C26+'E M TAQUARIL'!C26+'E M MONSENHOR JOÃO DE DEUS RODR'!C26+'CENTRO DE REFERÊNCIA EM EDUC 2'!C26+'CEI PROFª GRAÇA COSTA'!C26+'CEI VILA LEOPOLDINA'!C26+'CEI NILO PEÇANHA'!C26+'E MZDA SANTA TEREZINHA'!C26+'CEI CRIANÇA SANTA EDWIGES'!C26+'E M ARNALDO DYCKERHOFF'!C26+'E M CARLOS CANEDO'!C26+'E M BEATRIZ ZALESKI'!C26+'E M ANTÔNIO JOSÉ DE LIMA'!C26+'E M FELIX WAN ERVEN DE BARROS'!C26+'ESCOLA MUNICIPAL HILDEBRANDO DE'!C26+'E M OSWALDO DA COSTA FRIAS'!C26+'E MZDA AVELINO DE CARVALHO'!C26+'ESCOLA MUNICIPALIZADA MOYSÉS FU'!C26+'CEI ANGELA MARIA DA CONCEIÇÃO S'!C26+'CEI JOSÉ GONÇALVES DA MOTTA'!C26+'E M DR BARROS FRANCO'!C26+'E M MAJOR THEÓFILO DE CARVALHO'!C26+'E M JOÃO KOPKE'!C26+'CEI ASSOCIAÇÃO BENEFICENTE FAZE'!C26+'ESCOLA SAO FRANCISCO DE ASSIS'!C26+'CEI SÃO FRANCISCO ASSIS'!C26+'CEI ALDEIA DA CRIANCA'!C26+'ESCOLA MUNICIPAL ODETTE FONSECA'!C26+'CEI ANA CAROLINA TELLES'!C26+'E M SEBASTIÃO LACERDA'!C26+'E M DOM PEDRO DE ALCÂNTARA'!C26+'ESCOLA NOSSA SENHORA DE FÁTIMA'!C26+'ESCOLA PAROQUIAL SÃO FRANCISCO '!C26+'E M MONSENHOR CIRILLO CALAON'!C26</f>
        <v/>
      </c>
      <c r="D22" s="143">
        <f>B22-C22</f>
        <v/>
      </c>
      <c r="E22" s="144">
        <f>'Entrada de Dados'!T2</f>
        <v/>
      </c>
      <c r="F22" s="144">
        <f>D22*E22</f>
        <v/>
      </c>
    </row>
    <row r="23" ht="15" customHeight="1" s="107">
      <c r="A23" s="132">
        <f>'Entrada de Dados'!U5</f>
        <v/>
      </c>
      <c r="B23" s="143">
        <f>'Entrada de Dados'!U197</f>
        <v/>
      </c>
      <c r="C23" s="143">
        <f>'E M ROTARY'!C27+'E M DE EDUCAÇÃO ESPECIAL SANTOS'!C27+'LICEU MUN PREFEITO CORDOLINO AM'!C27+'E M PREFEITO JAMIL SABRÁ'!C27+'LICEU MUNICIPAL CARLOS CHAGAS F'!C27+'E M PAULO FREIRE'!C27+'E M PROFª MARIA CAMPOS DA SILVA'!C27+'CASA DA EDUCAÇÃO VISCONDE DE MA'!C27+'CENTRO DE REFERÊNCIA EM EDUCAÇÃ'!C27+'ESCOLA SANTA LUIZA DE MARILLAC'!C27+'ESCOLA DOMÉSTICA NOSSA SENHORA '!C27+'ESCOLA MONSENHOR GENTIL'!C27+'ESCOLA PAROQUIAL NOSSA SENHORA '!C27+'ESCOLA PAROQUIAL SÃO PEDRO DE A'!C27+'CEI TERRA SANTA'!C27+'CEI PRIMEIRA INFÂNCIA'!C27+'CEI PROFª PATRÍCIA FERREIRA E S'!C27+'CEI DRA ZILDA ARNS NEUMANN'!C27+'CENTRO DE EDUCAÇÃO INFANTIL PRO'!C27+'CEI MONSENHOR PAULO ELIAS DAHER'!C27+'COLÉGIO GUNNAR VINGREN DE PETRÓ'!C27+'EDUCANDÁRIO TERRA SANTA'!C27+'CEI LIONS CLUBE DE PETRÓPOLIS'!C27+'ESCOLA PAROQUIAL NOSSA SENHO 2'!C27+'CENTRO DE EDUCAÇÃO INFANTIL IRM'!C27+'E M LUIZ CARLOS SOARES'!C27+'ESCOLA GERMANO VALENTE'!C27+'ESCOLA PAROQUIAL NOSSA SENHO 3'!C27+'CEI JORGE ROLANDO DA SILVA'!C27+'E M CLEMENTE FERNANDES'!C27+'E M GERALDO VENTURA DIAS'!C27+'ESCOLA DAS COMUNIDADES SANTO AN'!C27+'CEI PROFª ROSANGELA DA SILVA LE'!C27+'CEI DEISE ELOY GOMES'!C27+'CEI PROFª SONIA REGINA SCUDESE '!C27+'CEI TIA ALICE'!C27+'E M BATAILLARD'!C27+'E M SOROPTIMISTA'!C27+'E M SALVADOR KLING'!C27+'ESCOLA MUNICIPALIZADA FREI ANIC'!C27+'ESCOLA SÃO JUDAS TADEU'!C27+'CEI PEDRAS BRANCAS'!C27+'CEI MARIA THEREZA KLING DO VALL'!C27+'CEI DONA ESPERANZA DE BOURBON D'!C27+'CEI GIUSEPPE-NEVA VOLONTERIO'!C27+'CENTRO DE EDUCAÇÃO INFANTIL SÃO'!C27+'E M LEONARDO BOFF'!C27+'ESCOLA MUNICIPAL GENERAL HEITOR'!C27+'E M JOHANN NOEL'!C27+'ESCOLA SANTA MARIA GORETTI'!C27+'ESCOLA SANTA RITA DE CASSIA'!C27+'ESCOLA SÃO JOÃO BATISTA'!C27+'CEI CASA DA SOLIDARIEDADE DE NO'!C27+'CEI A SEMENTEIRA'!C27+'CEI VILA SAO JOSE'!C27+'E M DR RUBENS DE CASTRO BOMTEMP'!C27+'CEI FREI LEÃO'!C27+'CEI SÃO JOÃO BATISTA'!C27+'CEI JURACI PINTO DO AMARAL DE C'!C27+'E M PEDRO AMADO'!C27+'E M ABELARDO DE LAMARE'!C27+'ESCOLA MUNICIPAL SENADOR MARIO '!C27+'ESCOLA PAROQUIAL SÃO PIO X'!C27+'CEI SÃO CHARBEL'!C27+'E M ROSALINA NICOLAY'!C27+'CEI INÊS BELARMINO DE SOUZA'!C27+'E M PROFª MARIA DA GLÓRIA QUEIR'!C27+'CENTRO EDUCACIONAL COMUNIDADE S'!C27+'CEI ROMANO CANAVESE'!C27+'CEI CÉLIA LÔBO PAULO'!C27+'CEI PROFª DORA KILLER'!C27+'CEI ALTO INDEPENDÊNCIA'!C27+'ESCOLA MUNICIPAL ALTO INDEPENDÊ'!C27+'E M PAPA JOÃO PAULO II'!C27+'CEI ANDRÉ REBOUÇAS'!C27+'CEI PROFª HERMÍNIA MATHEUS'!C27+'ESCOLA MUNICIPAL MAJOR JÚLIO FR'!C27+'E M ALMIRANTE TAMANDARÉ'!C27+'ESCOLA PAROQUIAL CARLOS DEMIÁ'!C27+'CENTRO PAROQUIAL DE EDUCAÇÃO IN'!C27+'CEI IRMÃ SILVANA'!C27+'CEI OLÍVIA MACHADO DA COSTA NOG'!C27+'E M GOVERNADOR MARCELLO ALENCAR'!C27+'E M PROFESSOR FLÁVIO MACIEL'!C27+'E M PROFª JANDIRA PEIXOTO BORDI'!C27+'E M STEFAN ZWEIG'!C27+'ESCOLA PAROQUIAL BOM JESUS'!C27+'CEI MARLI SOARES FERREIRA NETTO'!C27+'CENTRO DE EDUCAÇÃO INFANTIL CHI'!C27+'CEI VILA IPANEMA'!C27+'E M ROBERT KENNEDY'!C27+'ESCOLA MUNICIPAL ANA MOHAMMAD'!C27+'ESCOLA SÃO CRISTÓVÃO'!C27+'CEI DÉA LÚCIA CORDEIRO'!C27+'CEI SAGRADA FAMÍLIA'!C27+'CEI SÃO JOSÉ DAS OBLATAS DE NAZ'!C27+'ESCOLA MUNICIPAL JORGE AMADO'!C27+'E M FÁBRICA DO SABER'!C27+'CIEP BRIZOLÃO 474 MAESTRO GUERR'!C27+'CENTRO DE ENSINO PROF DARCY RIB'!C27+'CEI ANDRÉ VANZAN'!C27+'CENTRO DE EDUCAÇÃO INFANTIL CAR'!C27+'CEI BOA VISTA'!C27+'ASSOCIAÇÃO DA CRECHE SÃO FRANCI'!C27+'ESCOLA MUNICIPAL PAULO SALDANHA'!C27+'ESCOLA MUNICIPAL LÚCIA DE ALMEI'!C27+'E M DOM MANOEL PEDRO DA CUNHA C'!C27+'ESCOLA SÃO GERALDO'!C27+'CEI LULU MONTEIRO DE CASTRO'!C27+'CEI CARANGOLA'!C27+'ASSOCIAÇÃO RECREAR'!C27+'CENTRO DE EDUCAÇÃO INFANTIL CAS'!C27+'E M ROSEMIRA DE OLIVEIRA CAVALC'!C27+'E MZDA CARMEM NUNES MARTINS'!C27+'CEI SÃO JOSÉ DO ITAMARATI'!C27+'E M DUQUE DE CAXIAS'!C27+'CENTRO DE EDUCAÇÃO INFANTIL  2'!C27+'E M ANTÔNIO LEITE GARCIA'!C27+'ESCOLA PAROQUIAL DA ALCOBAÇA'!C27+'CENTRO DE EDUCAÇÃO INFANTIL LOT'!C27+'ESCOLA PAROQUIAL DO LOTEAMENTO '!C27+'E M PROF JOAQUIM DEISTER'!C27+'E M MARIETA GONÇALVES'!C27+'ESCOLA MUNICIPAL ODETTE YOUNG M'!C27+'ESCOLA MUNICIPAL PROFESSOR JOSE'!C27+'E M HERCÍLIA HENRIQUES MORET'!C27+'COLEGIO VICENTINO PADRE CORRÊA'!C27+'CEI PROFª MARLUCE DE SOUZA PEST'!C27+'CEI IRINEU MARINHO'!C27+'CEI DAGMAR ROLANDO DE OLIVEIRA'!C27+'CEI NOSSA SENHORA DA GLÓRIA'!C27+'E M PROF NILTON COSTA PEREIRA D'!C27+'CENTRO DE EDUCAÇÃO INFANTIL SÉR'!C27+'CEI SANTO ANTÔNIO AGOSTINHO'!C27+'CEI OSWALDO CRUZ'!C27+'E M MAGDALENA TAGLIAFERRO'!C27+'ESCOLA SÃO JOSÉ DO CAETITU'!C27+'CRECHE-ESCOLA CASTELO SÃO MANOE'!C27+'CEI THEREZINHA DE JESUS LIMA'!C27+'ESCOLA MUNICIPAL PROFESSOR PAUL'!C27+'COLÉGIO ANGLICANO DE ARARAS'!C27+'ESCOLA PAROQUIAL SANTA BERNADET'!C27+'CEI VISTA ALEGRE'!C27+'CEI DENISE BESSA DE OLIVA MAYA'!C27+'CEI VIDEIRINHA'!C27+'E M AMÉRICO FERNANDES RIBEIRO'!C27+'ESCOLA MUNICIPAL AUGUSTO PUGNAL'!C27+'ESCOLA MUNICIPAL CELINA SCHECHN'!C27+'E M DARCY CORREA DA VEIGA'!C27+'E M DR PAULA BUARQUE'!C27+'LICEU SÃO JOSÉ DE ITAIPAVA'!C27+'CEI LUIZ MARCHIORI'!C27+'CENTRO DE EDUCAÇÃO INFANTIL AUG'!C27+'CEI PROFª ADRIANA CONSTÂNCIO TR'!C27+'E M AMÉLIA ANTUNES RABELLO'!C27+'CEI PREFEITO SÉRGIO FADEL'!C27+'E M DR THEODORO MACHADO'!C27+'ESCOLA SANTO ANTÔNIO'!C27+'E M TAQUARIL'!C27+'E M MONSENHOR JOÃO DE DEUS RODR'!C27+'CENTRO DE REFERÊNCIA EM EDUC 2'!C27+'CEI PROFª GRAÇA COSTA'!C27+'CEI VILA LEOPOLDINA'!C27+'CEI NILO PEÇANHA'!C27+'E MZDA SANTA TEREZINHA'!C27+'CEI CRIANÇA SANTA EDWIGES'!C27+'E M ARNALDO DYCKERHOFF'!C27+'E M CARLOS CANEDO'!C27+'E M BEATRIZ ZALESKI'!C27+'E M ANTÔNIO JOSÉ DE LIMA'!C27+'E M FELIX WAN ERVEN DE BARROS'!C27+'ESCOLA MUNICIPAL HILDEBRANDO DE'!C27+'E M OSWALDO DA COSTA FRIAS'!C27+'E MZDA AVELINO DE CARVALHO'!C27+'ESCOLA MUNICIPALIZADA MOYSÉS FU'!C27+'CEI ANGELA MARIA DA CONCEIÇÃO S'!C27+'CEI JOSÉ GONÇALVES DA MOTTA'!C27+'E M DR BARROS FRANCO'!C27+'E M MAJOR THEÓFILO DE CARVALHO'!C27+'E M JOÃO KOPKE'!C27+'CEI ASSOCIAÇÃO BENEFICENTE FAZE'!C27+'ESCOLA SAO FRANCISCO DE ASSIS'!C27+'CEI SÃO FRANCISCO ASSIS'!C27+'CEI ALDEIA DA CRIANCA'!C27+'ESCOLA MUNICIPAL ODETTE FONSECA'!C27+'CEI ANA CAROLINA TELLES'!C27+'E M SEBASTIÃO LACERDA'!C27+'E M DOM PEDRO DE ALCÂNTARA'!C27+'ESCOLA NOSSA SENHORA DE FÁTIMA'!C27+'ESCOLA PAROQUIAL SÃO FRANCISCO '!C27+'E M MONSENHOR CIRILLO CALAON'!C27</f>
        <v/>
      </c>
      <c r="D23" s="143">
        <f>B23-C23</f>
        <v/>
      </c>
      <c r="E23" s="144">
        <f>'Entrada de Dados'!U2</f>
        <v/>
      </c>
      <c r="F23" s="144">
        <f>D23*E23</f>
        <v/>
      </c>
    </row>
    <row r="24" ht="15" customHeight="1" s="107">
      <c r="A24" s="129" t="inlineStr">
        <is>
          <t>TOTAL</t>
        </is>
      </c>
      <c r="B24" s="145">
        <f>SUM(B5:B23)</f>
        <v/>
      </c>
      <c r="C24" s="145">
        <f>SUM(C5:C23)</f>
        <v/>
      </c>
      <c r="D24" s="145">
        <f>SUM(D5:D23)</f>
        <v/>
      </c>
      <c r="E24" s="146" t="n"/>
      <c r="F24" s="147">
        <f>SUM(F5:F23)</f>
        <v/>
      </c>
    </row>
    <row r="26" ht="24" customHeight="1" s="107">
      <c r="A26" s="142" t="inlineStr">
        <is>
          <t>🚚  PRODUTORES / GALPÃO  —  ENTREGA  ×  DEVOLUÇÃO  ×  VALOR A PAGAR  (frete R$ 3,67/kg já descontado)</t>
        </is>
      </c>
    </row>
    <row r="27" ht="18" customHeight="1" s="107">
      <c r="A27" s="124" t="inlineStr">
        <is>
          <t>PRODUTO</t>
        </is>
      </c>
      <c r="B27" s="124" t="inlineStr">
        <is>
          <t>ENTREGA BRUTA (kg)</t>
        </is>
      </c>
      <c r="C27" s="124" t="inlineStr">
        <is>
          <t>DEVOLUÇÃO (kg)</t>
        </is>
      </c>
      <c r="D27" s="124" t="inlineStr">
        <is>
          <t>LÍQUIDO (kg)</t>
        </is>
      </c>
      <c r="E27" s="124" t="inlineStr">
        <is>
          <t>PREÇO LÍQUIDO (R$/kg)</t>
        </is>
      </c>
      <c r="F27" s="124" t="inlineStr">
        <is>
          <t>VALOR A PAGAR (R$)</t>
        </is>
      </c>
    </row>
    <row r="28" ht="15" customHeight="1" s="107">
      <c r="A28" s="132">
        <f>'Entrada de Dados'!C5</f>
        <v/>
      </c>
      <c r="B28" s="143">
        <f>'Entrada de Dados'!C250</f>
        <v/>
      </c>
      <c r="C28" s="143">
        <f>B28-D28</f>
        <v/>
      </c>
      <c r="D28" s="143">
        <f>'Entrada de Dados'!C252</f>
        <v/>
      </c>
      <c r="E28" s="144">
        <f>'Entrada de Dados'!C2-3.67</f>
        <v/>
      </c>
      <c r="F28" s="144">
        <f>D28*E28</f>
        <v/>
      </c>
    </row>
    <row r="29" ht="15" customHeight="1" s="107">
      <c r="A29" s="132">
        <f>'Entrada de Dados'!D5</f>
        <v/>
      </c>
      <c r="B29" s="143">
        <f>'Entrada de Dados'!D250</f>
        <v/>
      </c>
      <c r="C29" s="143">
        <f>B29-D29</f>
        <v/>
      </c>
      <c r="D29" s="143">
        <f>'Entrada de Dados'!D252</f>
        <v/>
      </c>
      <c r="E29" s="144">
        <f>'Entrada de Dados'!D2-3.67</f>
        <v/>
      </c>
      <c r="F29" s="144">
        <f>D29*E29</f>
        <v/>
      </c>
    </row>
    <row r="30" ht="15" customHeight="1" s="107">
      <c r="A30" s="132">
        <f>'Entrada de Dados'!E5</f>
        <v/>
      </c>
      <c r="B30" s="143">
        <f>'Entrada de Dados'!E250</f>
        <v/>
      </c>
      <c r="C30" s="143">
        <f>B30-D30</f>
        <v/>
      </c>
      <c r="D30" s="143">
        <f>'Entrada de Dados'!E252</f>
        <v/>
      </c>
      <c r="E30" s="144">
        <f>'Entrada de Dados'!E2-3.67</f>
        <v/>
      </c>
      <c r="F30" s="144">
        <f>D30*E30</f>
        <v/>
      </c>
    </row>
    <row r="31" ht="15" customHeight="1" s="107">
      <c r="A31" s="132">
        <f>'Entrada de Dados'!F5</f>
        <v/>
      </c>
      <c r="B31" s="143">
        <f>'Entrada de Dados'!F250</f>
        <v/>
      </c>
      <c r="C31" s="143">
        <f>B31-D31</f>
        <v/>
      </c>
      <c r="D31" s="143">
        <f>'Entrada de Dados'!F252</f>
        <v/>
      </c>
      <c r="E31" s="144">
        <f>'Entrada de Dados'!F2-3.67</f>
        <v/>
      </c>
      <c r="F31" s="144">
        <f>D31*E31</f>
        <v/>
      </c>
    </row>
    <row r="32" ht="15" customHeight="1" s="107">
      <c r="A32" s="132">
        <f>'Entrada de Dados'!G5</f>
        <v/>
      </c>
      <c r="B32" s="143">
        <f>'Entrada de Dados'!G250</f>
        <v/>
      </c>
      <c r="C32" s="143">
        <f>B32-D32</f>
        <v/>
      </c>
      <c r="D32" s="143">
        <f>'Entrada de Dados'!G252</f>
        <v/>
      </c>
      <c r="E32" s="144">
        <f>'Entrada de Dados'!G2-3.67</f>
        <v/>
      </c>
      <c r="F32" s="144">
        <f>D32*E32</f>
        <v/>
      </c>
    </row>
    <row r="33" ht="15" customHeight="1" s="107">
      <c r="A33" s="132">
        <f>'Entrada de Dados'!H5</f>
        <v/>
      </c>
      <c r="B33" s="143">
        <f>'Entrada de Dados'!H250</f>
        <v/>
      </c>
      <c r="C33" s="143">
        <f>B33-D33</f>
        <v/>
      </c>
      <c r="D33" s="143">
        <f>'Entrada de Dados'!H252</f>
        <v/>
      </c>
      <c r="E33" s="144">
        <f>'Entrada de Dados'!H2-3.67</f>
        <v/>
      </c>
      <c r="F33" s="144">
        <f>D33*E33</f>
        <v/>
      </c>
    </row>
    <row r="34" ht="15" customHeight="1" s="107">
      <c r="A34" s="132">
        <f>'Entrada de Dados'!I5</f>
        <v/>
      </c>
      <c r="B34" s="143">
        <f>'Entrada de Dados'!I250</f>
        <v/>
      </c>
      <c r="C34" s="143">
        <f>B34-D34</f>
        <v/>
      </c>
      <c r="D34" s="143">
        <f>'Entrada de Dados'!I252</f>
        <v/>
      </c>
      <c r="E34" s="144">
        <f>'Entrada de Dados'!I2-3.67</f>
        <v/>
      </c>
      <c r="F34" s="144">
        <f>D34*E34</f>
        <v/>
      </c>
    </row>
    <row r="35" ht="15" customHeight="1" s="107">
      <c r="A35" s="132">
        <f>'Entrada de Dados'!J5</f>
        <v/>
      </c>
      <c r="B35" s="143">
        <f>'Entrada de Dados'!J250</f>
        <v/>
      </c>
      <c r="C35" s="143">
        <f>B35-D35</f>
        <v/>
      </c>
      <c r="D35" s="143">
        <f>'Entrada de Dados'!J252</f>
        <v/>
      </c>
      <c r="E35" s="144">
        <f>'Entrada de Dados'!J2-3.67</f>
        <v/>
      </c>
      <c r="F35" s="144">
        <f>D35*E35</f>
        <v/>
      </c>
    </row>
    <row r="36" ht="15" customHeight="1" s="107">
      <c r="A36" s="132">
        <f>'Entrada de Dados'!K5</f>
        <v/>
      </c>
      <c r="B36" s="143">
        <f>'Entrada de Dados'!K250</f>
        <v/>
      </c>
      <c r="C36" s="143">
        <f>B36-D36</f>
        <v/>
      </c>
      <c r="D36" s="143">
        <f>'Entrada de Dados'!K252</f>
        <v/>
      </c>
      <c r="E36" s="144">
        <f>'Entrada de Dados'!K2-3.67</f>
        <v/>
      </c>
      <c r="F36" s="144">
        <f>D36*E36</f>
        <v/>
      </c>
    </row>
    <row r="37" ht="15" customHeight="1" s="107">
      <c r="A37" s="132">
        <f>'Entrada de Dados'!L5</f>
        <v/>
      </c>
      <c r="B37" s="143">
        <f>'Entrada de Dados'!L250</f>
        <v/>
      </c>
      <c r="C37" s="143">
        <f>B37-D37</f>
        <v/>
      </c>
      <c r="D37" s="143">
        <f>'Entrada de Dados'!L252</f>
        <v/>
      </c>
      <c r="E37" s="144">
        <f>'Entrada de Dados'!L2-3.67</f>
        <v/>
      </c>
      <c r="F37" s="144">
        <f>D37*E37</f>
        <v/>
      </c>
    </row>
    <row r="38" ht="15" customHeight="1" s="107">
      <c r="A38" s="132">
        <f>'Entrada de Dados'!M5</f>
        <v/>
      </c>
      <c r="B38" s="143">
        <f>'Entrada de Dados'!M250</f>
        <v/>
      </c>
      <c r="C38" s="143">
        <f>B38-D38</f>
        <v/>
      </c>
      <c r="D38" s="143">
        <f>'Entrada de Dados'!M252</f>
        <v/>
      </c>
      <c r="E38" s="144">
        <f>'Entrada de Dados'!M2-3.67</f>
        <v/>
      </c>
      <c r="F38" s="144">
        <f>D38*E38</f>
        <v/>
      </c>
    </row>
    <row r="39" ht="15" customHeight="1" s="107">
      <c r="A39" s="132">
        <f>'Entrada de Dados'!N5</f>
        <v/>
      </c>
      <c r="B39" s="143">
        <f>'Entrada de Dados'!N250</f>
        <v/>
      </c>
      <c r="C39" s="143">
        <f>B39-D39</f>
        <v/>
      </c>
      <c r="D39" s="143">
        <f>'Entrada de Dados'!N252</f>
        <v/>
      </c>
      <c r="E39" s="144">
        <f>'Entrada de Dados'!N2-3.67</f>
        <v/>
      </c>
      <c r="F39" s="144">
        <f>D39*E39</f>
        <v/>
      </c>
    </row>
    <row r="40" ht="15" customHeight="1" s="107">
      <c r="A40" s="132">
        <f>'Entrada de Dados'!O5</f>
        <v/>
      </c>
      <c r="B40" s="143">
        <f>'Entrada de Dados'!O250</f>
        <v/>
      </c>
      <c r="C40" s="143">
        <f>B40-D40</f>
        <v/>
      </c>
      <c r="D40" s="143">
        <f>'Entrada de Dados'!O252</f>
        <v/>
      </c>
      <c r="E40" s="144">
        <f>'Entrada de Dados'!O2-3.67</f>
        <v/>
      </c>
      <c r="F40" s="144">
        <f>D40*E40</f>
        <v/>
      </c>
    </row>
    <row r="41" ht="15" customHeight="1" s="107">
      <c r="A41" s="132">
        <f>'Entrada de Dados'!P5</f>
        <v/>
      </c>
      <c r="B41" s="143">
        <f>'Entrada de Dados'!P250</f>
        <v/>
      </c>
      <c r="C41" s="143">
        <f>B41-D41</f>
        <v/>
      </c>
      <c r="D41" s="143">
        <f>'Entrada de Dados'!P252</f>
        <v/>
      </c>
      <c r="E41" s="144">
        <f>'Entrada de Dados'!P2-3.67</f>
        <v/>
      </c>
      <c r="F41" s="144">
        <f>D41*E41</f>
        <v/>
      </c>
    </row>
    <row r="42" ht="15" customHeight="1" s="107">
      <c r="A42" s="132">
        <f>'Entrada de Dados'!Q5</f>
        <v/>
      </c>
      <c r="B42" s="143">
        <f>'Entrada de Dados'!Q250</f>
        <v/>
      </c>
      <c r="C42" s="143">
        <f>B42-D42</f>
        <v/>
      </c>
      <c r="D42" s="143">
        <f>'Entrada de Dados'!Q252</f>
        <v/>
      </c>
      <c r="E42" s="144">
        <f>'Entrada de Dados'!Q2-3.67</f>
        <v/>
      </c>
      <c r="F42" s="144">
        <f>D42*E42</f>
        <v/>
      </c>
    </row>
    <row r="43" ht="15" customHeight="1" s="107">
      <c r="A43" s="132">
        <f>'Entrada de Dados'!R5</f>
        <v/>
      </c>
      <c r="B43" s="143">
        <f>'Entrada de Dados'!R250</f>
        <v/>
      </c>
      <c r="C43" s="143">
        <f>B43-D43</f>
        <v/>
      </c>
      <c r="D43" s="143">
        <f>'Entrada de Dados'!R252</f>
        <v/>
      </c>
      <c r="E43" s="144">
        <f>'Entrada de Dados'!R2-3.67</f>
        <v/>
      </c>
      <c r="F43" s="144">
        <f>D43*E43</f>
        <v/>
      </c>
    </row>
    <row r="44" ht="15" customHeight="1" s="107">
      <c r="A44" s="132">
        <f>'Entrada de Dados'!S5</f>
        <v/>
      </c>
      <c r="B44" s="143">
        <f>'Entrada de Dados'!S250</f>
        <v/>
      </c>
      <c r="C44" s="143">
        <f>B44-D44</f>
        <v/>
      </c>
      <c r="D44" s="143">
        <f>'Entrada de Dados'!S252</f>
        <v/>
      </c>
      <c r="E44" s="144">
        <f>'Entrada de Dados'!S2-3.67</f>
        <v/>
      </c>
      <c r="F44" s="144">
        <f>D44*E44</f>
        <v/>
      </c>
    </row>
    <row r="45" ht="15" customHeight="1" s="107">
      <c r="A45" s="132">
        <f>'Entrada de Dados'!T5</f>
        <v/>
      </c>
      <c r="B45" s="143">
        <f>'Entrada de Dados'!T250</f>
        <v/>
      </c>
      <c r="C45" s="143">
        <f>B45-D45</f>
        <v/>
      </c>
      <c r="D45" s="143">
        <f>'Entrada de Dados'!T252</f>
        <v/>
      </c>
      <c r="E45" s="144">
        <f>'Entrada de Dados'!T2-3.67</f>
        <v/>
      </c>
      <c r="F45" s="144">
        <f>D45*E45</f>
        <v/>
      </c>
    </row>
    <row r="46" ht="15" customHeight="1" s="107">
      <c r="A46" s="132">
        <f>'Entrada de Dados'!U5</f>
        <v/>
      </c>
      <c r="B46" s="143">
        <f>'Entrada de Dados'!U250</f>
        <v/>
      </c>
      <c r="C46" s="143">
        <f>B46-D46</f>
        <v/>
      </c>
      <c r="D46" s="143">
        <f>'Entrada de Dados'!U252</f>
        <v/>
      </c>
      <c r="E46" s="144">
        <f>'Entrada de Dados'!U2-3.67</f>
        <v/>
      </c>
      <c r="F46" s="144">
        <f>D46*E46</f>
        <v/>
      </c>
    </row>
    <row r="47" ht="15" customHeight="1" s="107">
      <c r="A47" s="129" t="inlineStr">
        <is>
          <t>TOTAL</t>
        </is>
      </c>
      <c r="B47" s="145">
        <f>SUM(B28:B46)</f>
        <v/>
      </c>
      <c r="C47" s="145">
        <f>SUM(C28:C46)</f>
        <v/>
      </c>
      <c r="D47" s="145">
        <f>SUM(D28:D46)</f>
        <v/>
      </c>
      <c r="E47" s="146" t="n"/>
      <c r="F47" s="147">
        <f>SUM(F28:F46)</f>
        <v/>
      </c>
    </row>
    <row r="49" ht="24" customHeight="1" s="107">
      <c r="A49" s="142" t="inlineStr">
        <is>
          <t>📋  DEVOLUÇÃO POR MOTIVO  —  ESCOLAS</t>
        </is>
      </c>
    </row>
    <row r="50" ht="18" customHeight="1" s="107">
      <c r="A50" s="124" t="inlineStr">
        <is>
          <t>CÓDIGO</t>
        </is>
      </c>
      <c r="B50" s="124" t="inlineStr">
        <is>
          <t>MOTIVO</t>
        </is>
      </c>
      <c r="C50" s="124" t="inlineStr">
        <is>
          <t>TOTAL (kg)</t>
        </is>
      </c>
      <c r="D50" s="124" t="n"/>
      <c r="E50" s="124" t="n"/>
      <c r="F50" s="124" t="n"/>
    </row>
    <row r="51" ht="15" customHeight="1" s="107">
      <c r="A51" s="148">
        <f>MOTIVO!A4</f>
        <v/>
      </c>
      <c r="B51" s="132">
        <f>IF(MOTIVO!B4="","",MOTIVO!B4)</f>
        <v/>
      </c>
      <c r="C51" s="143">
        <f>SUMIF(_AUX_MOTIVO_ESCOLAS!$A$2:$A$3630,A51,_AUX_MOTIVO_ESCOLAS!$B$2:$B$3630)</f>
        <v/>
      </c>
    </row>
    <row r="52" ht="15" customHeight="1" s="107">
      <c r="A52" s="148">
        <f>MOTIVO!A5</f>
        <v/>
      </c>
      <c r="B52" s="132">
        <f>IF(MOTIVO!B5="","",MOTIVO!B5)</f>
        <v/>
      </c>
      <c r="C52" s="143">
        <f>SUMIF(_AUX_MOTIVO_ESCOLAS!$A$2:$A$3630,A52,_AUX_MOTIVO_ESCOLAS!$B$2:$B$3630)</f>
        <v/>
      </c>
    </row>
    <row r="53" ht="15" customHeight="1" s="107">
      <c r="A53" s="148">
        <f>MOTIVO!A6</f>
        <v/>
      </c>
      <c r="B53" s="132">
        <f>IF(MOTIVO!B6="","",MOTIVO!B6)</f>
        <v/>
      </c>
      <c r="C53" s="143">
        <f>SUMIF(_AUX_MOTIVO_ESCOLAS!$A$2:$A$3630,A53,_AUX_MOTIVO_ESCOLAS!$B$2:$B$3630)</f>
        <v/>
      </c>
    </row>
    <row r="54" ht="15" customHeight="1" s="107">
      <c r="A54" s="148">
        <f>MOTIVO!A7</f>
        <v/>
      </c>
      <c r="B54" s="132">
        <f>IF(MOTIVO!B7="","",MOTIVO!B7)</f>
        <v/>
      </c>
      <c r="C54" s="143">
        <f>SUMIF(_AUX_MOTIVO_ESCOLAS!$A$2:$A$3630,A54,_AUX_MOTIVO_ESCOLAS!$B$2:$B$3630)</f>
        <v/>
      </c>
    </row>
    <row r="55" ht="15" customHeight="1" s="107">
      <c r="A55" s="148">
        <f>MOTIVO!A8</f>
        <v/>
      </c>
      <c r="B55" s="132">
        <f>IF(MOTIVO!B8="","",MOTIVO!B8)</f>
        <v/>
      </c>
      <c r="C55" s="143">
        <f>SUMIF(_AUX_MOTIVO_ESCOLAS!$A$2:$A$3630,A55,_AUX_MOTIVO_ESCOLAS!$B$2:$B$3630)</f>
        <v/>
      </c>
    </row>
    <row r="56" ht="15" customHeight="1" s="107">
      <c r="A56" s="148">
        <f>MOTIVO!A9</f>
        <v/>
      </c>
      <c r="B56" s="132">
        <f>IF(MOTIVO!B9="","",MOTIVO!B9)</f>
        <v/>
      </c>
      <c r="C56" s="143">
        <f>SUMIF(_AUX_MOTIVO_ESCOLAS!$A$2:$A$3630,A56,_AUX_MOTIVO_ESCOLAS!$B$2:$B$3630)</f>
        <v/>
      </c>
    </row>
    <row r="57" ht="15" customHeight="1" s="107">
      <c r="A57" s="148">
        <f>MOTIVO!A10</f>
        <v/>
      </c>
      <c r="B57" s="132">
        <f>IF(MOTIVO!B10="","",MOTIVO!B10)</f>
        <v/>
      </c>
      <c r="C57" s="143">
        <f>SUMIF(_AUX_MOTIVO_ESCOLAS!$A$2:$A$3630,A57,_AUX_MOTIVO_ESCOLAS!$B$2:$B$3630)</f>
        <v/>
      </c>
    </row>
    <row r="58" ht="15" customHeight="1" s="107">
      <c r="A58" s="148">
        <f>MOTIVO!A11</f>
        <v/>
      </c>
      <c r="B58" s="132">
        <f>IF(MOTIVO!B11="","",MOTIVO!B11)</f>
        <v/>
      </c>
      <c r="C58" s="143">
        <f>SUMIF(_AUX_MOTIVO_ESCOLAS!$A$2:$A$3630,A58,_AUX_MOTIVO_ESCOLAS!$B$2:$B$3630)</f>
        <v/>
      </c>
    </row>
    <row r="59" ht="15" customHeight="1" s="107">
      <c r="A59" s="148">
        <f>MOTIVO!A12</f>
        <v/>
      </c>
      <c r="B59" s="132">
        <f>IF(MOTIVO!B12="","",MOTIVO!B12)</f>
        <v/>
      </c>
      <c r="C59" s="143">
        <f>SUMIF(_AUX_MOTIVO_ESCOLAS!$A$2:$A$3630,A59,_AUX_MOTIVO_ESCOLAS!$B$2:$B$3630)</f>
        <v/>
      </c>
    </row>
    <row r="60" ht="15" customHeight="1" s="107">
      <c r="A60" s="148">
        <f>MOTIVO!A13</f>
        <v/>
      </c>
      <c r="B60" s="132">
        <f>IF(MOTIVO!B13="","",MOTIVO!B13)</f>
        <v/>
      </c>
      <c r="C60" s="143">
        <f>SUMIF(_AUX_MOTIVO_ESCOLAS!$A$2:$A$3630,A60,_AUX_MOTIVO_ESCOLAS!$B$2:$B$3630)</f>
        <v/>
      </c>
    </row>
    <row r="61" ht="15" customHeight="1" s="107">
      <c r="A61" s="148">
        <f>MOTIVO!A14</f>
        <v/>
      </c>
      <c r="B61" s="132">
        <f>IF(MOTIVO!B14="","",MOTIVO!B14)</f>
        <v/>
      </c>
      <c r="C61" s="143">
        <f>SUMIF(_AUX_MOTIVO_ESCOLAS!$A$2:$A$3630,A61,_AUX_MOTIVO_ESCOLAS!$B$2:$B$3630)</f>
        <v/>
      </c>
    </row>
    <row r="62" ht="15" customHeight="1" s="107">
      <c r="A62" s="148">
        <f>MOTIVO!A15</f>
        <v/>
      </c>
      <c r="B62" s="132">
        <f>IF(MOTIVO!B15="","",MOTIVO!B15)</f>
        <v/>
      </c>
      <c r="C62" s="143">
        <f>SUMIF(_AUX_MOTIVO_ESCOLAS!$A$2:$A$3630,A62,_AUX_MOTIVO_ESCOLAS!$B$2:$B$3630)</f>
        <v/>
      </c>
    </row>
    <row r="63" ht="15" customHeight="1" s="107">
      <c r="A63" s="148">
        <f>MOTIVO!A16</f>
        <v/>
      </c>
      <c r="B63" s="132">
        <f>IF(MOTIVO!B16="","",MOTIVO!B16)</f>
        <v/>
      </c>
      <c r="C63" s="143">
        <f>SUMIF(_AUX_MOTIVO_ESCOLAS!$A$2:$A$3630,A63,_AUX_MOTIVO_ESCOLAS!$B$2:$B$3630)</f>
        <v/>
      </c>
    </row>
    <row r="64" ht="15" customHeight="1" s="107">
      <c r="A64" s="148">
        <f>MOTIVO!A17</f>
        <v/>
      </c>
      <c r="B64" s="132">
        <f>IF(MOTIVO!B17="","",MOTIVO!B17)</f>
        <v/>
      </c>
      <c r="C64" s="143">
        <f>SUMIF(_AUX_MOTIVO_ESCOLAS!$A$2:$A$3630,A64,_AUX_MOTIVO_ESCOLAS!$B$2:$B$3630)</f>
        <v/>
      </c>
    </row>
    <row r="65" ht="15" customHeight="1" s="107">
      <c r="A65" s="148">
        <f>MOTIVO!A18</f>
        <v/>
      </c>
      <c r="B65" s="132">
        <f>IF(MOTIVO!B18="","",MOTIVO!B18)</f>
        <v/>
      </c>
      <c r="C65" s="143">
        <f>SUMIF(_AUX_MOTIVO_ESCOLAS!$A$2:$A$3630,A65,_AUX_MOTIVO_ESCOLAS!$B$2:$B$3630)</f>
        <v/>
      </c>
    </row>
    <row r="66" ht="15" customHeight="1" s="107">
      <c r="A66" s="148">
        <f>MOTIVO!A19</f>
        <v/>
      </c>
      <c r="B66" s="132">
        <f>IF(MOTIVO!B19="","",MOTIVO!B19)</f>
        <v/>
      </c>
      <c r="C66" s="143">
        <f>SUMIF(_AUX_MOTIVO_ESCOLAS!$A$2:$A$3630,A66,_AUX_MOTIVO_ESCOLAS!$B$2:$B$3630)</f>
        <v/>
      </c>
    </row>
    <row r="67" ht="15" customHeight="1" s="107">
      <c r="A67" s="148">
        <f>MOTIVO!A20</f>
        <v/>
      </c>
      <c r="B67" s="132">
        <f>IF(MOTIVO!B20="","",MOTIVO!B20)</f>
        <v/>
      </c>
      <c r="C67" s="143">
        <f>SUMIF(_AUX_MOTIVO_ESCOLAS!$A$2:$A$3630,A67,_AUX_MOTIVO_ESCOLAS!$B$2:$B$3630)</f>
        <v/>
      </c>
    </row>
    <row r="68" ht="15" customHeight="1" s="107">
      <c r="A68" s="148">
        <f>MOTIVO!A21</f>
        <v/>
      </c>
      <c r="B68" s="132">
        <f>IF(MOTIVO!B21="","",MOTIVO!B21)</f>
        <v/>
      </c>
      <c r="C68" s="143">
        <f>SUMIF(_AUX_MOTIVO_ESCOLAS!$A$2:$A$3630,A68,_AUX_MOTIVO_ESCOLAS!$B$2:$B$3630)</f>
        <v/>
      </c>
    </row>
    <row r="69" ht="15" customHeight="1" s="107">
      <c r="A69" s="148">
        <f>MOTIVO!A22</f>
        <v/>
      </c>
      <c r="B69" s="132">
        <f>IF(MOTIVO!B22="","",MOTIVO!B22)</f>
        <v/>
      </c>
      <c r="C69" s="143">
        <f>SUMIF(_AUX_MOTIVO_ESCOLAS!$A$2:$A$3630,A69,_AUX_MOTIVO_ESCOLAS!$B$2:$B$3630)</f>
        <v/>
      </c>
    </row>
    <row r="70" ht="15" customHeight="1" s="107">
      <c r="A70" s="148">
        <f>MOTIVO!A23</f>
        <v/>
      </c>
      <c r="B70" s="132">
        <f>IF(MOTIVO!B23="","",MOTIVO!B23)</f>
        <v/>
      </c>
      <c r="C70" s="143">
        <f>SUMIF(_AUX_MOTIVO_ESCOLAS!$A$2:$A$3630,A70,_AUX_MOTIVO_ESCOLAS!$B$2:$B$3630)</f>
        <v/>
      </c>
    </row>
    <row r="71" ht="15" customHeight="1" s="107">
      <c r="A71" s="129" t="inlineStr">
        <is>
          <t>TOTAL</t>
        </is>
      </c>
      <c r="C71" s="145">
        <f>SUM(C51:C70)</f>
        <v/>
      </c>
    </row>
    <row r="73" ht="24" customHeight="1" s="107">
      <c r="A73" s="142" t="inlineStr">
        <is>
          <t>📋  DEVOLUÇÃO POR MOTIVO  —  PRODUTORES (GALPÃO)</t>
        </is>
      </c>
    </row>
    <row r="74" ht="18" customHeight="1" s="107">
      <c r="A74" s="124" t="inlineStr">
        <is>
          <t>CÓDIGO</t>
        </is>
      </c>
      <c r="B74" s="124" t="inlineStr">
        <is>
          <t>MOTIVO</t>
        </is>
      </c>
      <c r="C74" s="124" t="inlineStr">
        <is>
          <t>TOTAL (kg)</t>
        </is>
      </c>
      <c r="D74" s="124" t="n"/>
      <c r="E74" s="124" t="n"/>
      <c r="F74" s="124" t="n"/>
    </row>
    <row r="75" ht="15" customHeight="1" s="107">
      <c r="A75" s="148">
        <f>MOTIVO!A4</f>
        <v/>
      </c>
      <c r="B75" s="132">
        <f>IF(MOTIVO!B4="","",MOTIVO!B4)</f>
        <v/>
      </c>
      <c r="C75" s="143">
        <f>SUMIF('PROD - Ana C. C. R. Souza'!G6:G24,A75,'PROD - Ana C. C. R. Souza'!D6:D24)+SUMIF('PROD - Anderson Mello Quimas'!G6:G24,A75,'PROD - Anderson Mello Quimas'!D6:D24)+SUMIF('PROD - Armando Jose Silva'!G6:G24,A75,'PROD - Armando Jose Silva'!D6:D24)+SUMIF('PROD - Arnaldo Silva'!G6:G24,A75,'PROD - Arnaldo Silva'!D6:D24)+SUMIF('PROD - Claudeni R. Xavier'!G6:G24,A75,'PROD - Claudeni R. Xavier'!D6:D24)+SUMIF('PROD - Edson Jose Silva'!G6:G24,A75,'PROD - Edson Jose Silva'!D6:D24)+SUMIF('PROD - Gabriel Adriano Souza'!G6:G24,A75,'PROD - Gabriel Adriano Souza'!D6:D24)+SUMIF('PROD - Gustavo Mello Rodrigues'!G6:G24,A75,'PROD - Gustavo Mello Rodrigues'!D6:D24)+SUMIF('PROD - Joaquim Sergio Lage'!G6:G24,A75,'PROD - Joaquim Sergio Lage'!D6:D24)+SUMIF('PROD - Jorge G. P. Diniz'!G6:G24,A75,'PROD - Jorge G. P. Diniz'!D6:D24)+SUMIF('PROD - Jose G. S. Mello'!G6:G24,A75,'PROD - Jose G. S. Mello'!D6:D24)+SUMIF('PROD - Jose Rodrigues Melo'!G6:G24,A75,'PROD - Jose Rodrigues Melo'!D6:D24)+SUMIF('PROD - Lucio Mauro Felix Silva'!G6:G24,A75,'PROD - Lucio Mauro Felix Silva'!D6:D24)+SUMIF('PROD - Luiz A. O. Pinto'!G6:G24,A75,'PROD - Luiz A. O. Pinto'!D6:D24)+SUMIF('PROD - Marcelo Marcos Delgado'!G6:G24,A75,'PROD - Marcelo Marcos Delgado'!D6:D24)+SUMIF('PROD - Marcio Azevedo Souza'!G6:G24,A75,'PROD - Marcio Azevedo Souza'!D6:D24)+SUMIF('PROD - Marco Antonio Coelho'!G6:G24,A75,'PROD - Marco Antonio Coelho'!D6:D24)+SUMIF('PROD - Marcos Marcelo Delgado'!G6:G24,A75,'PROD - Marcos Marcelo Delgado'!D6:D24)+SUMIF('PROD - Miguel Fernando Almeida'!G6:G24,A75,'PROD - Miguel Fernando Almeida'!D6:D24)+SUMIF('PROD - Nilson Ferreira Silva'!G6:G24,A75,'PROD - Nilson Ferreira Silva'!D6:D24)+SUMIF('PROD - Renato Jose Silva'!G6:G24,A75,'PROD - Renato Jose Silva'!D6:D24)+SUMIF('PROD - Rodolfo Azevedo Andrade'!G6:G24,A75,'PROD - Rodolfo Azevedo Andrade'!D6:D24)</f>
        <v/>
      </c>
    </row>
    <row r="76" ht="15" customHeight="1" s="107">
      <c r="A76" s="148">
        <f>MOTIVO!A5</f>
        <v/>
      </c>
      <c r="B76" s="132">
        <f>IF(MOTIVO!B5="","",MOTIVO!B5)</f>
        <v/>
      </c>
      <c r="C76" s="143">
        <f>SUMIF('PROD - Ana C. C. R. Souza'!G6:G24,A76,'PROD - Ana C. C. R. Souza'!D6:D24)+SUMIF('PROD - Anderson Mello Quimas'!G6:G24,A76,'PROD - Anderson Mello Quimas'!D6:D24)+SUMIF('PROD - Armando Jose Silva'!G6:G24,A76,'PROD - Armando Jose Silva'!D6:D24)+SUMIF('PROD - Arnaldo Silva'!G6:G24,A76,'PROD - Arnaldo Silva'!D6:D24)+SUMIF('PROD - Claudeni R. Xavier'!G6:G24,A76,'PROD - Claudeni R. Xavier'!D6:D24)+SUMIF('PROD - Edson Jose Silva'!G6:G24,A76,'PROD - Edson Jose Silva'!D6:D24)+SUMIF('PROD - Gabriel Adriano Souza'!G6:G24,A76,'PROD - Gabriel Adriano Souza'!D6:D24)+SUMIF('PROD - Gustavo Mello Rodrigues'!G6:G24,A76,'PROD - Gustavo Mello Rodrigues'!D6:D24)+SUMIF('PROD - Joaquim Sergio Lage'!G6:G24,A76,'PROD - Joaquim Sergio Lage'!D6:D24)+SUMIF('PROD - Jorge G. P. Diniz'!G6:G24,A76,'PROD - Jorge G. P. Diniz'!D6:D24)+SUMIF('PROD - Jose G. S. Mello'!G6:G24,A76,'PROD - Jose G. S. Mello'!D6:D24)+SUMIF('PROD - Jose Rodrigues Melo'!G6:G24,A76,'PROD - Jose Rodrigues Melo'!D6:D24)+SUMIF('PROD - Lucio Mauro Felix Silva'!G6:G24,A76,'PROD - Lucio Mauro Felix Silva'!D6:D24)+SUMIF('PROD - Luiz A. O. Pinto'!G6:G24,A76,'PROD - Luiz A. O. Pinto'!D6:D24)+SUMIF('PROD - Marcelo Marcos Delgado'!G6:G24,A76,'PROD - Marcelo Marcos Delgado'!D6:D24)+SUMIF('PROD - Marcio Azevedo Souza'!G6:G24,A76,'PROD - Marcio Azevedo Souza'!D6:D24)+SUMIF('PROD - Marco Antonio Coelho'!G6:G24,A76,'PROD - Marco Antonio Coelho'!D6:D24)+SUMIF('PROD - Marcos Marcelo Delgado'!G6:G24,A76,'PROD - Marcos Marcelo Delgado'!D6:D24)+SUMIF('PROD - Miguel Fernando Almeida'!G6:G24,A76,'PROD - Miguel Fernando Almeida'!D6:D24)+SUMIF('PROD - Nilson Ferreira Silva'!G6:G24,A76,'PROD - Nilson Ferreira Silva'!D6:D24)+SUMIF('PROD - Renato Jose Silva'!G6:G24,A76,'PROD - Renato Jose Silva'!D6:D24)+SUMIF('PROD - Rodolfo Azevedo Andrade'!G6:G24,A76,'PROD - Rodolfo Azevedo Andrade'!D6:D24)</f>
        <v/>
      </c>
    </row>
    <row r="77" ht="15" customHeight="1" s="107">
      <c r="A77" s="148">
        <f>MOTIVO!A6</f>
        <v/>
      </c>
      <c r="B77" s="132">
        <f>IF(MOTIVO!B6="","",MOTIVO!B6)</f>
        <v/>
      </c>
      <c r="C77" s="143">
        <f>SUMIF('PROD - Ana C. C. R. Souza'!G6:G24,A77,'PROD - Ana C. C. R. Souza'!D6:D24)+SUMIF('PROD - Anderson Mello Quimas'!G6:G24,A77,'PROD - Anderson Mello Quimas'!D6:D24)+SUMIF('PROD - Armando Jose Silva'!G6:G24,A77,'PROD - Armando Jose Silva'!D6:D24)+SUMIF('PROD - Arnaldo Silva'!G6:G24,A77,'PROD - Arnaldo Silva'!D6:D24)+SUMIF('PROD - Claudeni R. Xavier'!G6:G24,A77,'PROD - Claudeni R. Xavier'!D6:D24)+SUMIF('PROD - Edson Jose Silva'!G6:G24,A77,'PROD - Edson Jose Silva'!D6:D24)+SUMIF('PROD - Gabriel Adriano Souza'!G6:G24,A77,'PROD - Gabriel Adriano Souza'!D6:D24)+SUMIF('PROD - Gustavo Mello Rodrigues'!G6:G24,A77,'PROD - Gustavo Mello Rodrigues'!D6:D24)+SUMIF('PROD - Joaquim Sergio Lage'!G6:G24,A77,'PROD - Joaquim Sergio Lage'!D6:D24)+SUMIF('PROD - Jorge G. P. Diniz'!G6:G24,A77,'PROD - Jorge G. P. Diniz'!D6:D24)+SUMIF('PROD - Jose G. S. Mello'!G6:G24,A77,'PROD - Jose G. S. Mello'!D6:D24)+SUMIF('PROD - Jose Rodrigues Melo'!G6:G24,A77,'PROD - Jose Rodrigues Melo'!D6:D24)+SUMIF('PROD - Lucio Mauro Felix Silva'!G6:G24,A77,'PROD - Lucio Mauro Felix Silva'!D6:D24)+SUMIF('PROD - Luiz A. O. Pinto'!G6:G24,A77,'PROD - Luiz A. O. Pinto'!D6:D24)+SUMIF('PROD - Marcelo Marcos Delgado'!G6:G24,A77,'PROD - Marcelo Marcos Delgado'!D6:D24)+SUMIF('PROD - Marcio Azevedo Souza'!G6:G24,A77,'PROD - Marcio Azevedo Souza'!D6:D24)+SUMIF('PROD - Marco Antonio Coelho'!G6:G24,A77,'PROD - Marco Antonio Coelho'!D6:D24)+SUMIF('PROD - Marcos Marcelo Delgado'!G6:G24,A77,'PROD - Marcos Marcelo Delgado'!D6:D24)+SUMIF('PROD - Miguel Fernando Almeida'!G6:G24,A77,'PROD - Miguel Fernando Almeida'!D6:D24)+SUMIF('PROD - Nilson Ferreira Silva'!G6:G24,A77,'PROD - Nilson Ferreira Silva'!D6:D24)+SUMIF('PROD - Renato Jose Silva'!G6:G24,A77,'PROD - Renato Jose Silva'!D6:D24)+SUMIF('PROD - Rodolfo Azevedo Andrade'!G6:G24,A77,'PROD - Rodolfo Azevedo Andrade'!D6:D24)</f>
        <v/>
      </c>
    </row>
    <row r="78" ht="15" customHeight="1" s="107">
      <c r="A78" s="148">
        <f>MOTIVO!A7</f>
        <v/>
      </c>
      <c r="B78" s="132">
        <f>IF(MOTIVO!B7="","",MOTIVO!B7)</f>
        <v/>
      </c>
      <c r="C78" s="143">
        <f>SUMIF('PROD - Ana C. C. R. Souza'!G6:G24,A78,'PROD - Ana C. C. R. Souza'!D6:D24)+SUMIF('PROD - Anderson Mello Quimas'!G6:G24,A78,'PROD - Anderson Mello Quimas'!D6:D24)+SUMIF('PROD - Armando Jose Silva'!G6:G24,A78,'PROD - Armando Jose Silva'!D6:D24)+SUMIF('PROD - Arnaldo Silva'!G6:G24,A78,'PROD - Arnaldo Silva'!D6:D24)+SUMIF('PROD - Claudeni R. Xavier'!G6:G24,A78,'PROD - Claudeni R. Xavier'!D6:D24)+SUMIF('PROD - Edson Jose Silva'!G6:G24,A78,'PROD - Edson Jose Silva'!D6:D24)+SUMIF('PROD - Gabriel Adriano Souza'!G6:G24,A78,'PROD - Gabriel Adriano Souza'!D6:D24)+SUMIF('PROD - Gustavo Mello Rodrigues'!G6:G24,A78,'PROD - Gustavo Mello Rodrigues'!D6:D24)+SUMIF('PROD - Joaquim Sergio Lage'!G6:G24,A78,'PROD - Joaquim Sergio Lage'!D6:D24)+SUMIF('PROD - Jorge G. P. Diniz'!G6:G24,A78,'PROD - Jorge G. P. Diniz'!D6:D24)+SUMIF('PROD - Jose G. S. Mello'!G6:G24,A78,'PROD - Jose G. S. Mello'!D6:D24)+SUMIF('PROD - Jose Rodrigues Melo'!G6:G24,A78,'PROD - Jose Rodrigues Melo'!D6:D24)+SUMIF('PROD - Lucio Mauro Felix Silva'!G6:G24,A78,'PROD - Lucio Mauro Felix Silva'!D6:D24)+SUMIF('PROD - Luiz A. O. Pinto'!G6:G24,A78,'PROD - Luiz A. O. Pinto'!D6:D24)+SUMIF('PROD - Marcelo Marcos Delgado'!G6:G24,A78,'PROD - Marcelo Marcos Delgado'!D6:D24)+SUMIF('PROD - Marcio Azevedo Souza'!G6:G24,A78,'PROD - Marcio Azevedo Souza'!D6:D24)+SUMIF('PROD - Marco Antonio Coelho'!G6:G24,A78,'PROD - Marco Antonio Coelho'!D6:D24)+SUMIF('PROD - Marcos Marcelo Delgado'!G6:G24,A78,'PROD - Marcos Marcelo Delgado'!D6:D24)+SUMIF('PROD - Miguel Fernando Almeida'!G6:G24,A78,'PROD - Miguel Fernando Almeida'!D6:D24)+SUMIF('PROD - Nilson Ferreira Silva'!G6:G24,A78,'PROD - Nilson Ferreira Silva'!D6:D24)+SUMIF('PROD - Renato Jose Silva'!G6:G24,A78,'PROD - Renato Jose Silva'!D6:D24)+SUMIF('PROD - Rodolfo Azevedo Andrade'!G6:G24,A78,'PROD - Rodolfo Azevedo Andrade'!D6:D24)</f>
        <v/>
      </c>
    </row>
    <row r="79" ht="15" customHeight="1" s="107">
      <c r="A79" s="148">
        <f>MOTIVO!A8</f>
        <v/>
      </c>
      <c r="B79" s="132">
        <f>IF(MOTIVO!B8="","",MOTIVO!B8)</f>
        <v/>
      </c>
      <c r="C79" s="143">
        <f>SUMIF('PROD - Ana C. C. R. Souza'!G6:G24,A79,'PROD - Ana C. C. R. Souza'!D6:D24)+SUMIF('PROD - Anderson Mello Quimas'!G6:G24,A79,'PROD - Anderson Mello Quimas'!D6:D24)+SUMIF('PROD - Armando Jose Silva'!G6:G24,A79,'PROD - Armando Jose Silva'!D6:D24)+SUMIF('PROD - Arnaldo Silva'!G6:G24,A79,'PROD - Arnaldo Silva'!D6:D24)+SUMIF('PROD - Claudeni R. Xavier'!G6:G24,A79,'PROD - Claudeni R. Xavier'!D6:D24)+SUMIF('PROD - Edson Jose Silva'!G6:G24,A79,'PROD - Edson Jose Silva'!D6:D24)+SUMIF('PROD - Gabriel Adriano Souza'!G6:G24,A79,'PROD - Gabriel Adriano Souza'!D6:D24)+SUMIF('PROD - Gustavo Mello Rodrigues'!G6:G24,A79,'PROD - Gustavo Mello Rodrigues'!D6:D24)+SUMIF('PROD - Joaquim Sergio Lage'!G6:G24,A79,'PROD - Joaquim Sergio Lage'!D6:D24)+SUMIF('PROD - Jorge G. P. Diniz'!G6:G24,A79,'PROD - Jorge G. P. Diniz'!D6:D24)+SUMIF('PROD - Jose G. S. Mello'!G6:G24,A79,'PROD - Jose G. S. Mello'!D6:D24)+SUMIF('PROD - Jose Rodrigues Melo'!G6:G24,A79,'PROD - Jose Rodrigues Melo'!D6:D24)+SUMIF('PROD - Lucio Mauro Felix Silva'!G6:G24,A79,'PROD - Lucio Mauro Felix Silva'!D6:D24)+SUMIF('PROD - Luiz A. O. Pinto'!G6:G24,A79,'PROD - Luiz A. O. Pinto'!D6:D24)+SUMIF('PROD - Marcelo Marcos Delgado'!G6:G24,A79,'PROD - Marcelo Marcos Delgado'!D6:D24)+SUMIF('PROD - Marcio Azevedo Souza'!G6:G24,A79,'PROD - Marcio Azevedo Souza'!D6:D24)+SUMIF('PROD - Marco Antonio Coelho'!G6:G24,A79,'PROD - Marco Antonio Coelho'!D6:D24)+SUMIF('PROD - Marcos Marcelo Delgado'!G6:G24,A79,'PROD - Marcos Marcelo Delgado'!D6:D24)+SUMIF('PROD - Miguel Fernando Almeida'!G6:G24,A79,'PROD - Miguel Fernando Almeida'!D6:D24)+SUMIF('PROD - Nilson Ferreira Silva'!G6:G24,A79,'PROD - Nilson Ferreira Silva'!D6:D24)+SUMIF('PROD - Renato Jose Silva'!G6:G24,A79,'PROD - Renato Jose Silva'!D6:D24)+SUMIF('PROD - Rodolfo Azevedo Andrade'!G6:G24,A79,'PROD - Rodolfo Azevedo Andrade'!D6:D24)</f>
        <v/>
      </c>
    </row>
    <row r="80" ht="15" customHeight="1" s="107">
      <c r="A80" s="148">
        <f>MOTIVO!A9</f>
        <v/>
      </c>
      <c r="B80" s="132">
        <f>IF(MOTIVO!B9="","",MOTIVO!B9)</f>
        <v/>
      </c>
      <c r="C80" s="143">
        <f>SUMIF('PROD - Ana C. C. R. Souza'!G6:G24,A80,'PROD - Ana C. C. R. Souza'!D6:D24)+SUMIF('PROD - Anderson Mello Quimas'!G6:G24,A80,'PROD - Anderson Mello Quimas'!D6:D24)+SUMIF('PROD - Armando Jose Silva'!G6:G24,A80,'PROD - Armando Jose Silva'!D6:D24)+SUMIF('PROD - Arnaldo Silva'!G6:G24,A80,'PROD - Arnaldo Silva'!D6:D24)+SUMIF('PROD - Claudeni R. Xavier'!G6:G24,A80,'PROD - Claudeni R. Xavier'!D6:D24)+SUMIF('PROD - Edson Jose Silva'!G6:G24,A80,'PROD - Edson Jose Silva'!D6:D24)+SUMIF('PROD - Gabriel Adriano Souza'!G6:G24,A80,'PROD - Gabriel Adriano Souza'!D6:D24)+SUMIF('PROD - Gustavo Mello Rodrigues'!G6:G24,A80,'PROD - Gustavo Mello Rodrigues'!D6:D24)+SUMIF('PROD - Joaquim Sergio Lage'!G6:G24,A80,'PROD - Joaquim Sergio Lage'!D6:D24)+SUMIF('PROD - Jorge G. P. Diniz'!G6:G24,A80,'PROD - Jorge G. P. Diniz'!D6:D24)+SUMIF('PROD - Jose G. S. Mello'!G6:G24,A80,'PROD - Jose G. S. Mello'!D6:D24)+SUMIF('PROD - Jose Rodrigues Melo'!G6:G24,A80,'PROD - Jose Rodrigues Melo'!D6:D24)+SUMIF('PROD - Lucio Mauro Felix Silva'!G6:G24,A80,'PROD - Lucio Mauro Felix Silva'!D6:D24)+SUMIF('PROD - Luiz A. O. Pinto'!G6:G24,A80,'PROD - Luiz A. O. Pinto'!D6:D24)+SUMIF('PROD - Marcelo Marcos Delgado'!G6:G24,A80,'PROD - Marcelo Marcos Delgado'!D6:D24)+SUMIF('PROD - Marcio Azevedo Souza'!G6:G24,A80,'PROD - Marcio Azevedo Souza'!D6:D24)+SUMIF('PROD - Marco Antonio Coelho'!G6:G24,A80,'PROD - Marco Antonio Coelho'!D6:D24)+SUMIF('PROD - Marcos Marcelo Delgado'!G6:G24,A80,'PROD - Marcos Marcelo Delgado'!D6:D24)+SUMIF('PROD - Miguel Fernando Almeida'!G6:G24,A80,'PROD - Miguel Fernando Almeida'!D6:D24)+SUMIF('PROD - Nilson Ferreira Silva'!G6:G24,A80,'PROD - Nilson Ferreira Silva'!D6:D24)+SUMIF('PROD - Renato Jose Silva'!G6:G24,A80,'PROD - Renato Jose Silva'!D6:D24)+SUMIF('PROD - Rodolfo Azevedo Andrade'!G6:G24,A80,'PROD - Rodolfo Azevedo Andrade'!D6:D24)</f>
        <v/>
      </c>
    </row>
    <row r="81" ht="15" customHeight="1" s="107">
      <c r="A81" s="148">
        <f>MOTIVO!A10</f>
        <v/>
      </c>
      <c r="B81" s="132">
        <f>IF(MOTIVO!B10="","",MOTIVO!B10)</f>
        <v/>
      </c>
      <c r="C81" s="143">
        <f>SUMIF('PROD - Ana C. C. R. Souza'!G6:G24,A81,'PROD - Ana C. C. R. Souza'!D6:D24)+SUMIF('PROD - Anderson Mello Quimas'!G6:G24,A81,'PROD - Anderson Mello Quimas'!D6:D24)+SUMIF('PROD - Armando Jose Silva'!G6:G24,A81,'PROD - Armando Jose Silva'!D6:D24)+SUMIF('PROD - Arnaldo Silva'!G6:G24,A81,'PROD - Arnaldo Silva'!D6:D24)+SUMIF('PROD - Claudeni R. Xavier'!G6:G24,A81,'PROD - Claudeni R. Xavier'!D6:D24)+SUMIF('PROD - Edson Jose Silva'!G6:G24,A81,'PROD - Edson Jose Silva'!D6:D24)+SUMIF('PROD - Gabriel Adriano Souza'!G6:G24,A81,'PROD - Gabriel Adriano Souza'!D6:D24)+SUMIF('PROD - Gustavo Mello Rodrigues'!G6:G24,A81,'PROD - Gustavo Mello Rodrigues'!D6:D24)+SUMIF('PROD - Joaquim Sergio Lage'!G6:G24,A81,'PROD - Joaquim Sergio Lage'!D6:D24)+SUMIF('PROD - Jorge G. P. Diniz'!G6:G24,A81,'PROD - Jorge G. P. Diniz'!D6:D24)+SUMIF('PROD - Jose G. S. Mello'!G6:G24,A81,'PROD - Jose G. S. Mello'!D6:D24)+SUMIF('PROD - Jose Rodrigues Melo'!G6:G24,A81,'PROD - Jose Rodrigues Melo'!D6:D24)+SUMIF('PROD - Lucio Mauro Felix Silva'!G6:G24,A81,'PROD - Lucio Mauro Felix Silva'!D6:D24)+SUMIF('PROD - Luiz A. O. Pinto'!G6:G24,A81,'PROD - Luiz A. O. Pinto'!D6:D24)+SUMIF('PROD - Marcelo Marcos Delgado'!G6:G24,A81,'PROD - Marcelo Marcos Delgado'!D6:D24)+SUMIF('PROD - Marcio Azevedo Souza'!G6:G24,A81,'PROD - Marcio Azevedo Souza'!D6:D24)+SUMIF('PROD - Marco Antonio Coelho'!G6:G24,A81,'PROD - Marco Antonio Coelho'!D6:D24)+SUMIF('PROD - Marcos Marcelo Delgado'!G6:G24,A81,'PROD - Marcos Marcelo Delgado'!D6:D24)+SUMIF('PROD - Miguel Fernando Almeida'!G6:G24,A81,'PROD - Miguel Fernando Almeida'!D6:D24)+SUMIF('PROD - Nilson Ferreira Silva'!G6:G24,A81,'PROD - Nilson Ferreira Silva'!D6:D24)+SUMIF('PROD - Renato Jose Silva'!G6:G24,A81,'PROD - Renato Jose Silva'!D6:D24)+SUMIF('PROD - Rodolfo Azevedo Andrade'!G6:G24,A81,'PROD - Rodolfo Azevedo Andrade'!D6:D24)</f>
        <v/>
      </c>
    </row>
    <row r="82" ht="15" customHeight="1" s="107">
      <c r="A82" s="148">
        <f>MOTIVO!A11</f>
        <v/>
      </c>
      <c r="B82" s="132">
        <f>IF(MOTIVO!B11="","",MOTIVO!B11)</f>
        <v/>
      </c>
      <c r="C82" s="143">
        <f>SUMIF('PROD - Ana C. C. R. Souza'!G6:G24,A82,'PROD - Ana C. C. R. Souza'!D6:D24)+SUMIF('PROD - Anderson Mello Quimas'!G6:G24,A82,'PROD - Anderson Mello Quimas'!D6:D24)+SUMIF('PROD - Armando Jose Silva'!G6:G24,A82,'PROD - Armando Jose Silva'!D6:D24)+SUMIF('PROD - Arnaldo Silva'!G6:G24,A82,'PROD - Arnaldo Silva'!D6:D24)+SUMIF('PROD - Claudeni R. Xavier'!G6:G24,A82,'PROD - Claudeni R. Xavier'!D6:D24)+SUMIF('PROD - Edson Jose Silva'!G6:G24,A82,'PROD - Edson Jose Silva'!D6:D24)+SUMIF('PROD - Gabriel Adriano Souza'!G6:G24,A82,'PROD - Gabriel Adriano Souza'!D6:D24)+SUMIF('PROD - Gustavo Mello Rodrigues'!G6:G24,A82,'PROD - Gustavo Mello Rodrigues'!D6:D24)+SUMIF('PROD - Joaquim Sergio Lage'!G6:G24,A82,'PROD - Joaquim Sergio Lage'!D6:D24)+SUMIF('PROD - Jorge G. P. Diniz'!G6:G24,A82,'PROD - Jorge G. P. Diniz'!D6:D24)+SUMIF('PROD - Jose G. S. Mello'!G6:G24,A82,'PROD - Jose G. S. Mello'!D6:D24)+SUMIF('PROD - Jose Rodrigues Melo'!G6:G24,A82,'PROD - Jose Rodrigues Melo'!D6:D24)+SUMIF('PROD - Lucio Mauro Felix Silva'!G6:G24,A82,'PROD - Lucio Mauro Felix Silva'!D6:D24)+SUMIF('PROD - Luiz A. O. Pinto'!G6:G24,A82,'PROD - Luiz A. O. Pinto'!D6:D24)+SUMIF('PROD - Marcelo Marcos Delgado'!G6:G24,A82,'PROD - Marcelo Marcos Delgado'!D6:D24)+SUMIF('PROD - Marcio Azevedo Souza'!G6:G24,A82,'PROD - Marcio Azevedo Souza'!D6:D24)+SUMIF('PROD - Marco Antonio Coelho'!G6:G24,A82,'PROD - Marco Antonio Coelho'!D6:D24)+SUMIF('PROD - Marcos Marcelo Delgado'!G6:G24,A82,'PROD - Marcos Marcelo Delgado'!D6:D24)+SUMIF('PROD - Miguel Fernando Almeida'!G6:G24,A82,'PROD - Miguel Fernando Almeida'!D6:D24)+SUMIF('PROD - Nilson Ferreira Silva'!G6:G24,A82,'PROD - Nilson Ferreira Silva'!D6:D24)+SUMIF('PROD - Renato Jose Silva'!G6:G24,A82,'PROD - Renato Jose Silva'!D6:D24)+SUMIF('PROD - Rodolfo Azevedo Andrade'!G6:G24,A82,'PROD - Rodolfo Azevedo Andrade'!D6:D24)</f>
        <v/>
      </c>
    </row>
    <row r="83" ht="15" customHeight="1" s="107">
      <c r="A83" s="148">
        <f>MOTIVO!A12</f>
        <v/>
      </c>
      <c r="B83" s="132">
        <f>IF(MOTIVO!B12="","",MOTIVO!B12)</f>
        <v/>
      </c>
      <c r="C83" s="143">
        <f>SUMIF('PROD - Ana C. C. R. Souza'!G6:G24,A83,'PROD - Ana C. C. R. Souza'!D6:D24)+SUMIF('PROD - Anderson Mello Quimas'!G6:G24,A83,'PROD - Anderson Mello Quimas'!D6:D24)+SUMIF('PROD - Armando Jose Silva'!G6:G24,A83,'PROD - Armando Jose Silva'!D6:D24)+SUMIF('PROD - Arnaldo Silva'!G6:G24,A83,'PROD - Arnaldo Silva'!D6:D24)+SUMIF('PROD - Claudeni R. Xavier'!G6:G24,A83,'PROD - Claudeni R. Xavier'!D6:D24)+SUMIF('PROD - Edson Jose Silva'!G6:G24,A83,'PROD - Edson Jose Silva'!D6:D24)+SUMIF('PROD - Gabriel Adriano Souza'!G6:G24,A83,'PROD - Gabriel Adriano Souza'!D6:D24)+SUMIF('PROD - Gustavo Mello Rodrigues'!G6:G24,A83,'PROD - Gustavo Mello Rodrigues'!D6:D24)+SUMIF('PROD - Joaquim Sergio Lage'!G6:G24,A83,'PROD - Joaquim Sergio Lage'!D6:D24)+SUMIF('PROD - Jorge G. P. Diniz'!G6:G24,A83,'PROD - Jorge G. P. Diniz'!D6:D24)+SUMIF('PROD - Jose G. S. Mello'!G6:G24,A83,'PROD - Jose G. S. Mello'!D6:D24)+SUMIF('PROD - Jose Rodrigues Melo'!G6:G24,A83,'PROD - Jose Rodrigues Melo'!D6:D24)+SUMIF('PROD - Lucio Mauro Felix Silva'!G6:G24,A83,'PROD - Lucio Mauro Felix Silva'!D6:D24)+SUMIF('PROD - Luiz A. O. Pinto'!G6:G24,A83,'PROD - Luiz A. O. Pinto'!D6:D24)+SUMIF('PROD - Marcelo Marcos Delgado'!G6:G24,A83,'PROD - Marcelo Marcos Delgado'!D6:D24)+SUMIF('PROD - Marcio Azevedo Souza'!G6:G24,A83,'PROD - Marcio Azevedo Souza'!D6:D24)+SUMIF('PROD - Marco Antonio Coelho'!G6:G24,A83,'PROD - Marco Antonio Coelho'!D6:D24)+SUMIF('PROD - Marcos Marcelo Delgado'!G6:G24,A83,'PROD - Marcos Marcelo Delgado'!D6:D24)+SUMIF('PROD - Miguel Fernando Almeida'!G6:G24,A83,'PROD - Miguel Fernando Almeida'!D6:D24)+SUMIF('PROD - Nilson Ferreira Silva'!G6:G24,A83,'PROD - Nilson Ferreira Silva'!D6:D24)+SUMIF('PROD - Renato Jose Silva'!G6:G24,A83,'PROD - Renato Jose Silva'!D6:D24)+SUMIF('PROD - Rodolfo Azevedo Andrade'!G6:G24,A83,'PROD - Rodolfo Azevedo Andrade'!D6:D24)</f>
        <v/>
      </c>
    </row>
    <row r="84" ht="15" customHeight="1" s="107">
      <c r="A84" s="148">
        <f>MOTIVO!A13</f>
        <v/>
      </c>
      <c r="B84" s="132">
        <f>IF(MOTIVO!B13="","",MOTIVO!B13)</f>
        <v/>
      </c>
      <c r="C84" s="143">
        <f>SUMIF('PROD - Ana C. C. R. Souza'!G6:G24,A84,'PROD - Ana C. C. R. Souza'!D6:D24)+SUMIF('PROD - Anderson Mello Quimas'!G6:G24,A84,'PROD - Anderson Mello Quimas'!D6:D24)+SUMIF('PROD - Armando Jose Silva'!G6:G24,A84,'PROD - Armando Jose Silva'!D6:D24)+SUMIF('PROD - Arnaldo Silva'!G6:G24,A84,'PROD - Arnaldo Silva'!D6:D24)+SUMIF('PROD - Claudeni R. Xavier'!G6:G24,A84,'PROD - Claudeni R. Xavier'!D6:D24)+SUMIF('PROD - Edson Jose Silva'!G6:G24,A84,'PROD - Edson Jose Silva'!D6:D24)+SUMIF('PROD - Gabriel Adriano Souza'!G6:G24,A84,'PROD - Gabriel Adriano Souza'!D6:D24)+SUMIF('PROD - Gustavo Mello Rodrigues'!G6:G24,A84,'PROD - Gustavo Mello Rodrigues'!D6:D24)+SUMIF('PROD - Joaquim Sergio Lage'!G6:G24,A84,'PROD - Joaquim Sergio Lage'!D6:D24)+SUMIF('PROD - Jorge G. P. Diniz'!G6:G24,A84,'PROD - Jorge G. P. Diniz'!D6:D24)+SUMIF('PROD - Jose G. S. Mello'!G6:G24,A84,'PROD - Jose G. S. Mello'!D6:D24)+SUMIF('PROD - Jose Rodrigues Melo'!G6:G24,A84,'PROD - Jose Rodrigues Melo'!D6:D24)+SUMIF('PROD - Lucio Mauro Felix Silva'!G6:G24,A84,'PROD - Lucio Mauro Felix Silva'!D6:D24)+SUMIF('PROD - Luiz A. O. Pinto'!G6:G24,A84,'PROD - Luiz A. O. Pinto'!D6:D24)+SUMIF('PROD - Marcelo Marcos Delgado'!G6:G24,A84,'PROD - Marcelo Marcos Delgado'!D6:D24)+SUMIF('PROD - Marcio Azevedo Souza'!G6:G24,A84,'PROD - Marcio Azevedo Souza'!D6:D24)+SUMIF('PROD - Marco Antonio Coelho'!G6:G24,A84,'PROD - Marco Antonio Coelho'!D6:D24)+SUMIF('PROD - Marcos Marcelo Delgado'!G6:G24,A84,'PROD - Marcos Marcelo Delgado'!D6:D24)+SUMIF('PROD - Miguel Fernando Almeida'!G6:G24,A84,'PROD - Miguel Fernando Almeida'!D6:D24)+SUMIF('PROD - Nilson Ferreira Silva'!G6:G24,A84,'PROD - Nilson Ferreira Silva'!D6:D24)+SUMIF('PROD - Renato Jose Silva'!G6:G24,A84,'PROD - Renato Jose Silva'!D6:D24)+SUMIF('PROD - Rodolfo Azevedo Andrade'!G6:G24,A84,'PROD - Rodolfo Azevedo Andrade'!D6:D24)</f>
        <v/>
      </c>
    </row>
    <row r="85" ht="15" customHeight="1" s="107">
      <c r="A85" s="148">
        <f>MOTIVO!A14</f>
        <v/>
      </c>
      <c r="B85" s="132">
        <f>IF(MOTIVO!B14="","",MOTIVO!B14)</f>
        <v/>
      </c>
      <c r="C85" s="143">
        <f>SUMIF('PROD - Ana C. C. R. Souza'!G6:G24,A85,'PROD - Ana C. C. R. Souza'!D6:D24)+SUMIF('PROD - Anderson Mello Quimas'!G6:G24,A85,'PROD - Anderson Mello Quimas'!D6:D24)+SUMIF('PROD - Armando Jose Silva'!G6:G24,A85,'PROD - Armando Jose Silva'!D6:D24)+SUMIF('PROD - Arnaldo Silva'!G6:G24,A85,'PROD - Arnaldo Silva'!D6:D24)+SUMIF('PROD - Claudeni R. Xavier'!G6:G24,A85,'PROD - Claudeni R. Xavier'!D6:D24)+SUMIF('PROD - Edson Jose Silva'!G6:G24,A85,'PROD - Edson Jose Silva'!D6:D24)+SUMIF('PROD - Gabriel Adriano Souza'!G6:G24,A85,'PROD - Gabriel Adriano Souza'!D6:D24)+SUMIF('PROD - Gustavo Mello Rodrigues'!G6:G24,A85,'PROD - Gustavo Mello Rodrigues'!D6:D24)+SUMIF('PROD - Joaquim Sergio Lage'!G6:G24,A85,'PROD - Joaquim Sergio Lage'!D6:D24)+SUMIF('PROD - Jorge G. P. Diniz'!G6:G24,A85,'PROD - Jorge G. P. Diniz'!D6:D24)+SUMIF('PROD - Jose G. S. Mello'!G6:G24,A85,'PROD - Jose G. S. Mello'!D6:D24)+SUMIF('PROD - Jose Rodrigues Melo'!G6:G24,A85,'PROD - Jose Rodrigues Melo'!D6:D24)+SUMIF('PROD - Lucio Mauro Felix Silva'!G6:G24,A85,'PROD - Lucio Mauro Felix Silva'!D6:D24)+SUMIF('PROD - Luiz A. O. Pinto'!G6:G24,A85,'PROD - Luiz A. O. Pinto'!D6:D24)+SUMIF('PROD - Marcelo Marcos Delgado'!G6:G24,A85,'PROD - Marcelo Marcos Delgado'!D6:D24)+SUMIF('PROD - Marcio Azevedo Souza'!G6:G24,A85,'PROD - Marcio Azevedo Souza'!D6:D24)+SUMIF('PROD - Marco Antonio Coelho'!G6:G24,A85,'PROD - Marco Antonio Coelho'!D6:D24)+SUMIF('PROD - Marcos Marcelo Delgado'!G6:G24,A85,'PROD - Marcos Marcelo Delgado'!D6:D24)+SUMIF('PROD - Miguel Fernando Almeida'!G6:G24,A85,'PROD - Miguel Fernando Almeida'!D6:D24)+SUMIF('PROD - Nilson Ferreira Silva'!G6:G24,A85,'PROD - Nilson Ferreira Silva'!D6:D24)+SUMIF('PROD - Renato Jose Silva'!G6:G24,A85,'PROD - Renato Jose Silva'!D6:D24)+SUMIF('PROD - Rodolfo Azevedo Andrade'!G6:G24,A85,'PROD - Rodolfo Azevedo Andrade'!D6:D24)</f>
        <v/>
      </c>
    </row>
    <row r="86" ht="15" customHeight="1" s="107">
      <c r="A86" s="148">
        <f>MOTIVO!A15</f>
        <v/>
      </c>
      <c r="B86" s="132">
        <f>IF(MOTIVO!B15="","",MOTIVO!B15)</f>
        <v/>
      </c>
      <c r="C86" s="143">
        <f>SUMIF('PROD - Ana C. C. R. Souza'!G6:G24,A86,'PROD - Ana C. C. R. Souza'!D6:D24)+SUMIF('PROD - Anderson Mello Quimas'!G6:G24,A86,'PROD - Anderson Mello Quimas'!D6:D24)+SUMIF('PROD - Armando Jose Silva'!G6:G24,A86,'PROD - Armando Jose Silva'!D6:D24)+SUMIF('PROD - Arnaldo Silva'!G6:G24,A86,'PROD - Arnaldo Silva'!D6:D24)+SUMIF('PROD - Claudeni R. Xavier'!G6:G24,A86,'PROD - Claudeni R. Xavier'!D6:D24)+SUMIF('PROD - Edson Jose Silva'!G6:G24,A86,'PROD - Edson Jose Silva'!D6:D24)+SUMIF('PROD - Gabriel Adriano Souza'!G6:G24,A86,'PROD - Gabriel Adriano Souza'!D6:D24)+SUMIF('PROD - Gustavo Mello Rodrigues'!G6:G24,A86,'PROD - Gustavo Mello Rodrigues'!D6:D24)+SUMIF('PROD - Joaquim Sergio Lage'!G6:G24,A86,'PROD - Joaquim Sergio Lage'!D6:D24)+SUMIF('PROD - Jorge G. P. Diniz'!G6:G24,A86,'PROD - Jorge G. P. Diniz'!D6:D24)+SUMIF('PROD - Jose G. S. Mello'!G6:G24,A86,'PROD - Jose G. S. Mello'!D6:D24)+SUMIF('PROD - Jose Rodrigues Melo'!G6:G24,A86,'PROD - Jose Rodrigues Melo'!D6:D24)+SUMIF('PROD - Lucio Mauro Felix Silva'!G6:G24,A86,'PROD - Lucio Mauro Felix Silva'!D6:D24)+SUMIF('PROD - Luiz A. O. Pinto'!G6:G24,A86,'PROD - Luiz A. O. Pinto'!D6:D24)+SUMIF('PROD - Marcelo Marcos Delgado'!G6:G24,A86,'PROD - Marcelo Marcos Delgado'!D6:D24)+SUMIF('PROD - Marcio Azevedo Souza'!G6:G24,A86,'PROD - Marcio Azevedo Souza'!D6:D24)+SUMIF('PROD - Marco Antonio Coelho'!G6:G24,A86,'PROD - Marco Antonio Coelho'!D6:D24)+SUMIF('PROD - Marcos Marcelo Delgado'!G6:G24,A86,'PROD - Marcos Marcelo Delgado'!D6:D24)+SUMIF('PROD - Miguel Fernando Almeida'!G6:G24,A86,'PROD - Miguel Fernando Almeida'!D6:D24)+SUMIF('PROD - Nilson Ferreira Silva'!G6:G24,A86,'PROD - Nilson Ferreira Silva'!D6:D24)+SUMIF('PROD - Renato Jose Silva'!G6:G24,A86,'PROD - Renato Jose Silva'!D6:D24)+SUMIF('PROD - Rodolfo Azevedo Andrade'!G6:G24,A86,'PROD - Rodolfo Azevedo Andrade'!D6:D24)</f>
        <v/>
      </c>
    </row>
    <row r="87" ht="15" customHeight="1" s="107">
      <c r="A87" s="148">
        <f>MOTIVO!A16</f>
        <v/>
      </c>
      <c r="B87" s="132">
        <f>IF(MOTIVO!B16="","",MOTIVO!B16)</f>
        <v/>
      </c>
      <c r="C87" s="143">
        <f>SUMIF('PROD - Ana C. C. R. Souza'!G6:G24,A87,'PROD - Ana C. C. R. Souza'!D6:D24)+SUMIF('PROD - Anderson Mello Quimas'!G6:G24,A87,'PROD - Anderson Mello Quimas'!D6:D24)+SUMIF('PROD - Armando Jose Silva'!G6:G24,A87,'PROD - Armando Jose Silva'!D6:D24)+SUMIF('PROD - Arnaldo Silva'!G6:G24,A87,'PROD - Arnaldo Silva'!D6:D24)+SUMIF('PROD - Claudeni R. Xavier'!G6:G24,A87,'PROD - Claudeni R. Xavier'!D6:D24)+SUMIF('PROD - Edson Jose Silva'!G6:G24,A87,'PROD - Edson Jose Silva'!D6:D24)+SUMIF('PROD - Gabriel Adriano Souza'!G6:G24,A87,'PROD - Gabriel Adriano Souza'!D6:D24)+SUMIF('PROD - Gustavo Mello Rodrigues'!G6:G24,A87,'PROD - Gustavo Mello Rodrigues'!D6:D24)+SUMIF('PROD - Joaquim Sergio Lage'!G6:G24,A87,'PROD - Joaquim Sergio Lage'!D6:D24)+SUMIF('PROD - Jorge G. P. Diniz'!G6:G24,A87,'PROD - Jorge G. P. Diniz'!D6:D24)+SUMIF('PROD - Jose G. S. Mello'!G6:G24,A87,'PROD - Jose G. S. Mello'!D6:D24)+SUMIF('PROD - Jose Rodrigues Melo'!G6:G24,A87,'PROD - Jose Rodrigues Melo'!D6:D24)+SUMIF('PROD - Lucio Mauro Felix Silva'!G6:G24,A87,'PROD - Lucio Mauro Felix Silva'!D6:D24)+SUMIF('PROD - Luiz A. O. Pinto'!G6:G24,A87,'PROD - Luiz A. O. Pinto'!D6:D24)+SUMIF('PROD - Marcelo Marcos Delgado'!G6:G24,A87,'PROD - Marcelo Marcos Delgado'!D6:D24)+SUMIF('PROD - Marcio Azevedo Souza'!G6:G24,A87,'PROD - Marcio Azevedo Souza'!D6:D24)+SUMIF('PROD - Marco Antonio Coelho'!G6:G24,A87,'PROD - Marco Antonio Coelho'!D6:D24)+SUMIF('PROD - Marcos Marcelo Delgado'!G6:G24,A87,'PROD - Marcos Marcelo Delgado'!D6:D24)+SUMIF('PROD - Miguel Fernando Almeida'!G6:G24,A87,'PROD - Miguel Fernando Almeida'!D6:D24)+SUMIF('PROD - Nilson Ferreira Silva'!G6:G24,A87,'PROD - Nilson Ferreira Silva'!D6:D24)+SUMIF('PROD - Renato Jose Silva'!G6:G24,A87,'PROD - Renato Jose Silva'!D6:D24)+SUMIF('PROD - Rodolfo Azevedo Andrade'!G6:G24,A87,'PROD - Rodolfo Azevedo Andrade'!D6:D24)</f>
        <v/>
      </c>
    </row>
    <row r="88" ht="15" customHeight="1" s="107">
      <c r="A88" s="148">
        <f>MOTIVO!A17</f>
        <v/>
      </c>
      <c r="B88" s="132">
        <f>IF(MOTIVO!B17="","",MOTIVO!B17)</f>
        <v/>
      </c>
      <c r="C88" s="143">
        <f>SUMIF('PROD - Ana C. C. R. Souza'!G6:G24,A88,'PROD - Ana C. C. R. Souza'!D6:D24)+SUMIF('PROD - Anderson Mello Quimas'!G6:G24,A88,'PROD - Anderson Mello Quimas'!D6:D24)+SUMIF('PROD - Armando Jose Silva'!G6:G24,A88,'PROD - Armando Jose Silva'!D6:D24)+SUMIF('PROD - Arnaldo Silva'!G6:G24,A88,'PROD - Arnaldo Silva'!D6:D24)+SUMIF('PROD - Claudeni R. Xavier'!G6:G24,A88,'PROD - Claudeni R. Xavier'!D6:D24)+SUMIF('PROD - Edson Jose Silva'!G6:G24,A88,'PROD - Edson Jose Silva'!D6:D24)+SUMIF('PROD - Gabriel Adriano Souza'!G6:G24,A88,'PROD - Gabriel Adriano Souza'!D6:D24)+SUMIF('PROD - Gustavo Mello Rodrigues'!G6:G24,A88,'PROD - Gustavo Mello Rodrigues'!D6:D24)+SUMIF('PROD - Joaquim Sergio Lage'!G6:G24,A88,'PROD - Joaquim Sergio Lage'!D6:D24)+SUMIF('PROD - Jorge G. P. Diniz'!G6:G24,A88,'PROD - Jorge G. P. Diniz'!D6:D24)+SUMIF('PROD - Jose G. S. Mello'!G6:G24,A88,'PROD - Jose G. S. Mello'!D6:D24)+SUMIF('PROD - Jose Rodrigues Melo'!G6:G24,A88,'PROD - Jose Rodrigues Melo'!D6:D24)+SUMIF('PROD - Lucio Mauro Felix Silva'!G6:G24,A88,'PROD - Lucio Mauro Felix Silva'!D6:D24)+SUMIF('PROD - Luiz A. O. Pinto'!G6:G24,A88,'PROD - Luiz A. O. Pinto'!D6:D24)+SUMIF('PROD - Marcelo Marcos Delgado'!G6:G24,A88,'PROD - Marcelo Marcos Delgado'!D6:D24)+SUMIF('PROD - Marcio Azevedo Souza'!G6:G24,A88,'PROD - Marcio Azevedo Souza'!D6:D24)+SUMIF('PROD - Marco Antonio Coelho'!G6:G24,A88,'PROD - Marco Antonio Coelho'!D6:D24)+SUMIF('PROD - Marcos Marcelo Delgado'!G6:G24,A88,'PROD - Marcos Marcelo Delgado'!D6:D24)+SUMIF('PROD - Miguel Fernando Almeida'!G6:G24,A88,'PROD - Miguel Fernando Almeida'!D6:D24)+SUMIF('PROD - Nilson Ferreira Silva'!G6:G24,A88,'PROD - Nilson Ferreira Silva'!D6:D24)+SUMIF('PROD - Renato Jose Silva'!G6:G24,A88,'PROD - Renato Jose Silva'!D6:D24)+SUMIF('PROD - Rodolfo Azevedo Andrade'!G6:G24,A88,'PROD - Rodolfo Azevedo Andrade'!D6:D24)</f>
        <v/>
      </c>
    </row>
    <row r="89" ht="15" customHeight="1" s="107">
      <c r="A89" s="148">
        <f>MOTIVO!A18</f>
        <v/>
      </c>
      <c r="B89" s="132">
        <f>IF(MOTIVO!B18="","",MOTIVO!B18)</f>
        <v/>
      </c>
      <c r="C89" s="143">
        <f>SUMIF('PROD - Ana C. C. R. Souza'!G6:G24,A89,'PROD - Ana C. C. R. Souza'!D6:D24)+SUMIF('PROD - Anderson Mello Quimas'!G6:G24,A89,'PROD - Anderson Mello Quimas'!D6:D24)+SUMIF('PROD - Armando Jose Silva'!G6:G24,A89,'PROD - Armando Jose Silva'!D6:D24)+SUMIF('PROD - Arnaldo Silva'!G6:G24,A89,'PROD - Arnaldo Silva'!D6:D24)+SUMIF('PROD - Claudeni R. Xavier'!G6:G24,A89,'PROD - Claudeni R. Xavier'!D6:D24)+SUMIF('PROD - Edson Jose Silva'!G6:G24,A89,'PROD - Edson Jose Silva'!D6:D24)+SUMIF('PROD - Gabriel Adriano Souza'!G6:G24,A89,'PROD - Gabriel Adriano Souza'!D6:D24)+SUMIF('PROD - Gustavo Mello Rodrigues'!G6:G24,A89,'PROD - Gustavo Mello Rodrigues'!D6:D24)+SUMIF('PROD - Joaquim Sergio Lage'!G6:G24,A89,'PROD - Joaquim Sergio Lage'!D6:D24)+SUMIF('PROD - Jorge G. P. Diniz'!G6:G24,A89,'PROD - Jorge G. P. Diniz'!D6:D24)+SUMIF('PROD - Jose G. S. Mello'!G6:G24,A89,'PROD - Jose G. S. Mello'!D6:D24)+SUMIF('PROD - Jose Rodrigues Melo'!G6:G24,A89,'PROD - Jose Rodrigues Melo'!D6:D24)+SUMIF('PROD - Lucio Mauro Felix Silva'!G6:G24,A89,'PROD - Lucio Mauro Felix Silva'!D6:D24)+SUMIF('PROD - Luiz A. O. Pinto'!G6:G24,A89,'PROD - Luiz A. O. Pinto'!D6:D24)+SUMIF('PROD - Marcelo Marcos Delgado'!G6:G24,A89,'PROD - Marcelo Marcos Delgado'!D6:D24)+SUMIF('PROD - Marcio Azevedo Souza'!G6:G24,A89,'PROD - Marcio Azevedo Souza'!D6:D24)+SUMIF('PROD - Marco Antonio Coelho'!G6:G24,A89,'PROD - Marco Antonio Coelho'!D6:D24)+SUMIF('PROD - Marcos Marcelo Delgado'!G6:G24,A89,'PROD - Marcos Marcelo Delgado'!D6:D24)+SUMIF('PROD - Miguel Fernando Almeida'!G6:G24,A89,'PROD - Miguel Fernando Almeida'!D6:D24)+SUMIF('PROD - Nilson Ferreira Silva'!G6:G24,A89,'PROD - Nilson Ferreira Silva'!D6:D24)+SUMIF('PROD - Renato Jose Silva'!G6:G24,A89,'PROD - Renato Jose Silva'!D6:D24)+SUMIF('PROD - Rodolfo Azevedo Andrade'!G6:G24,A89,'PROD - Rodolfo Azevedo Andrade'!D6:D24)</f>
        <v/>
      </c>
    </row>
    <row r="90" ht="15" customHeight="1" s="107">
      <c r="A90" s="148">
        <f>MOTIVO!A19</f>
        <v/>
      </c>
      <c r="B90" s="132">
        <f>IF(MOTIVO!B19="","",MOTIVO!B19)</f>
        <v/>
      </c>
      <c r="C90" s="143">
        <f>SUMIF('PROD - Ana C. C. R. Souza'!G6:G24,A90,'PROD - Ana C. C. R. Souza'!D6:D24)+SUMIF('PROD - Anderson Mello Quimas'!G6:G24,A90,'PROD - Anderson Mello Quimas'!D6:D24)+SUMIF('PROD - Armando Jose Silva'!G6:G24,A90,'PROD - Armando Jose Silva'!D6:D24)+SUMIF('PROD - Arnaldo Silva'!G6:G24,A90,'PROD - Arnaldo Silva'!D6:D24)+SUMIF('PROD - Claudeni R. Xavier'!G6:G24,A90,'PROD - Claudeni R. Xavier'!D6:D24)+SUMIF('PROD - Edson Jose Silva'!G6:G24,A90,'PROD - Edson Jose Silva'!D6:D24)+SUMIF('PROD - Gabriel Adriano Souza'!G6:G24,A90,'PROD - Gabriel Adriano Souza'!D6:D24)+SUMIF('PROD - Gustavo Mello Rodrigues'!G6:G24,A90,'PROD - Gustavo Mello Rodrigues'!D6:D24)+SUMIF('PROD - Joaquim Sergio Lage'!G6:G24,A90,'PROD - Joaquim Sergio Lage'!D6:D24)+SUMIF('PROD - Jorge G. P. Diniz'!G6:G24,A90,'PROD - Jorge G. P. Diniz'!D6:D24)+SUMIF('PROD - Jose G. S. Mello'!G6:G24,A90,'PROD - Jose G. S. Mello'!D6:D24)+SUMIF('PROD - Jose Rodrigues Melo'!G6:G24,A90,'PROD - Jose Rodrigues Melo'!D6:D24)+SUMIF('PROD - Lucio Mauro Felix Silva'!G6:G24,A90,'PROD - Lucio Mauro Felix Silva'!D6:D24)+SUMIF('PROD - Luiz A. O. Pinto'!G6:G24,A90,'PROD - Luiz A. O. Pinto'!D6:D24)+SUMIF('PROD - Marcelo Marcos Delgado'!G6:G24,A90,'PROD - Marcelo Marcos Delgado'!D6:D24)+SUMIF('PROD - Marcio Azevedo Souza'!G6:G24,A90,'PROD - Marcio Azevedo Souza'!D6:D24)+SUMIF('PROD - Marco Antonio Coelho'!G6:G24,A90,'PROD - Marco Antonio Coelho'!D6:D24)+SUMIF('PROD - Marcos Marcelo Delgado'!G6:G24,A90,'PROD - Marcos Marcelo Delgado'!D6:D24)+SUMIF('PROD - Miguel Fernando Almeida'!G6:G24,A90,'PROD - Miguel Fernando Almeida'!D6:D24)+SUMIF('PROD - Nilson Ferreira Silva'!G6:G24,A90,'PROD - Nilson Ferreira Silva'!D6:D24)+SUMIF('PROD - Renato Jose Silva'!G6:G24,A90,'PROD - Renato Jose Silva'!D6:D24)+SUMIF('PROD - Rodolfo Azevedo Andrade'!G6:G24,A90,'PROD - Rodolfo Azevedo Andrade'!D6:D24)</f>
        <v/>
      </c>
    </row>
    <row r="91" ht="15" customHeight="1" s="107">
      <c r="A91" s="148">
        <f>MOTIVO!A20</f>
        <v/>
      </c>
      <c r="B91" s="132">
        <f>IF(MOTIVO!B20="","",MOTIVO!B20)</f>
        <v/>
      </c>
      <c r="C91" s="143">
        <f>SUMIF('PROD - Ana C. C. R. Souza'!G6:G24,A91,'PROD - Ana C. C. R. Souza'!D6:D24)+SUMIF('PROD - Anderson Mello Quimas'!G6:G24,A91,'PROD - Anderson Mello Quimas'!D6:D24)+SUMIF('PROD - Armando Jose Silva'!G6:G24,A91,'PROD - Armando Jose Silva'!D6:D24)+SUMIF('PROD - Arnaldo Silva'!G6:G24,A91,'PROD - Arnaldo Silva'!D6:D24)+SUMIF('PROD - Claudeni R. Xavier'!G6:G24,A91,'PROD - Claudeni R. Xavier'!D6:D24)+SUMIF('PROD - Edson Jose Silva'!G6:G24,A91,'PROD - Edson Jose Silva'!D6:D24)+SUMIF('PROD - Gabriel Adriano Souza'!G6:G24,A91,'PROD - Gabriel Adriano Souza'!D6:D24)+SUMIF('PROD - Gustavo Mello Rodrigues'!G6:G24,A91,'PROD - Gustavo Mello Rodrigues'!D6:D24)+SUMIF('PROD - Joaquim Sergio Lage'!G6:G24,A91,'PROD - Joaquim Sergio Lage'!D6:D24)+SUMIF('PROD - Jorge G. P. Diniz'!G6:G24,A91,'PROD - Jorge G. P. Diniz'!D6:D24)+SUMIF('PROD - Jose G. S. Mello'!G6:G24,A91,'PROD - Jose G. S. Mello'!D6:D24)+SUMIF('PROD - Jose Rodrigues Melo'!G6:G24,A91,'PROD - Jose Rodrigues Melo'!D6:D24)+SUMIF('PROD - Lucio Mauro Felix Silva'!G6:G24,A91,'PROD - Lucio Mauro Felix Silva'!D6:D24)+SUMIF('PROD - Luiz A. O. Pinto'!G6:G24,A91,'PROD - Luiz A. O. Pinto'!D6:D24)+SUMIF('PROD - Marcelo Marcos Delgado'!G6:G24,A91,'PROD - Marcelo Marcos Delgado'!D6:D24)+SUMIF('PROD - Marcio Azevedo Souza'!G6:G24,A91,'PROD - Marcio Azevedo Souza'!D6:D24)+SUMIF('PROD - Marco Antonio Coelho'!G6:G24,A91,'PROD - Marco Antonio Coelho'!D6:D24)+SUMIF('PROD - Marcos Marcelo Delgado'!G6:G24,A91,'PROD - Marcos Marcelo Delgado'!D6:D24)+SUMIF('PROD - Miguel Fernando Almeida'!G6:G24,A91,'PROD - Miguel Fernando Almeida'!D6:D24)+SUMIF('PROD - Nilson Ferreira Silva'!G6:G24,A91,'PROD - Nilson Ferreira Silva'!D6:D24)+SUMIF('PROD - Renato Jose Silva'!G6:G24,A91,'PROD - Renato Jose Silva'!D6:D24)+SUMIF('PROD - Rodolfo Azevedo Andrade'!G6:G24,A91,'PROD - Rodolfo Azevedo Andrade'!D6:D24)</f>
        <v/>
      </c>
    </row>
    <row r="92" ht="15" customHeight="1" s="107">
      <c r="A92" s="148">
        <f>MOTIVO!A21</f>
        <v/>
      </c>
      <c r="B92" s="132">
        <f>IF(MOTIVO!B21="","",MOTIVO!B21)</f>
        <v/>
      </c>
      <c r="C92" s="143">
        <f>SUMIF('PROD - Ana C. C. R. Souza'!G6:G24,A92,'PROD - Ana C. C. R. Souza'!D6:D24)+SUMIF('PROD - Anderson Mello Quimas'!G6:G24,A92,'PROD - Anderson Mello Quimas'!D6:D24)+SUMIF('PROD - Armando Jose Silva'!G6:G24,A92,'PROD - Armando Jose Silva'!D6:D24)+SUMIF('PROD - Arnaldo Silva'!G6:G24,A92,'PROD - Arnaldo Silva'!D6:D24)+SUMIF('PROD - Claudeni R. Xavier'!G6:G24,A92,'PROD - Claudeni R. Xavier'!D6:D24)+SUMIF('PROD - Edson Jose Silva'!G6:G24,A92,'PROD - Edson Jose Silva'!D6:D24)+SUMIF('PROD - Gabriel Adriano Souza'!G6:G24,A92,'PROD - Gabriel Adriano Souza'!D6:D24)+SUMIF('PROD - Gustavo Mello Rodrigues'!G6:G24,A92,'PROD - Gustavo Mello Rodrigues'!D6:D24)+SUMIF('PROD - Joaquim Sergio Lage'!G6:G24,A92,'PROD - Joaquim Sergio Lage'!D6:D24)+SUMIF('PROD - Jorge G. P. Diniz'!G6:G24,A92,'PROD - Jorge G. P. Diniz'!D6:D24)+SUMIF('PROD - Jose G. S. Mello'!G6:G24,A92,'PROD - Jose G. S. Mello'!D6:D24)+SUMIF('PROD - Jose Rodrigues Melo'!G6:G24,A92,'PROD - Jose Rodrigues Melo'!D6:D24)+SUMIF('PROD - Lucio Mauro Felix Silva'!G6:G24,A92,'PROD - Lucio Mauro Felix Silva'!D6:D24)+SUMIF('PROD - Luiz A. O. Pinto'!G6:G24,A92,'PROD - Luiz A. O. Pinto'!D6:D24)+SUMIF('PROD - Marcelo Marcos Delgado'!G6:G24,A92,'PROD - Marcelo Marcos Delgado'!D6:D24)+SUMIF('PROD - Marcio Azevedo Souza'!G6:G24,A92,'PROD - Marcio Azevedo Souza'!D6:D24)+SUMIF('PROD - Marco Antonio Coelho'!G6:G24,A92,'PROD - Marco Antonio Coelho'!D6:D24)+SUMIF('PROD - Marcos Marcelo Delgado'!G6:G24,A92,'PROD - Marcos Marcelo Delgado'!D6:D24)+SUMIF('PROD - Miguel Fernando Almeida'!G6:G24,A92,'PROD - Miguel Fernando Almeida'!D6:D24)+SUMIF('PROD - Nilson Ferreira Silva'!G6:G24,A92,'PROD - Nilson Ferreira Silva'!D6:D24)+SUMIF('PROD - Renato Jose Silva'!G6:G24,A92,'PROD - Renato Jose Silva'!D6:D24)+SUMIF('PROD - Rodolfo Azevedo Andrade'!G6:G24,A92,'PROD - Rodolfo Azevedo Andrade'!D6:D24)</f>
        <v/>
      </c>
    </row>
    <row r="93" ht="15" customHeight="1" s="107">
      <c r="A93" s="148">
        <f>MOTIVO!A22</f>
        <v/>
      </c>
      <c r="B93" s="132">
        <f>IF(MOTIVO!B22="","",MOTIVO!B22)</f>
        <v/>
      </c>
      <c r="C93" s="143">
        <f>SUMIF('PROD - Ana C. C. R. Souza'!G6:G24,A93,'PROD - Ana C. C. R. Souza'!D6:D24)+SUMIF('PROD - Anderson Mello Quimas'!G6:G24,A93,'PROD - Anderson Mello Quimas'!D6:D24)+SUMIF('PROD - Armando Jose Silva'!G6:G24,A93,'PROD - Armando Jose Silva'!D6:D24)+SUMIF('PROD - Arnaldo Silva'!G6:G24,A93,'PROD - Arnaldo Silva'!D6:D24)+SUMIF('PROD - Claudeni R. Xavier'!G6:G24,A93,'PROD - Claudeni R. Xavier'!D6:D24)+SUMIF('PROD - Edson Jose Silva'!G6:G24,A93,'PROD - Edson Jose Silva'!D6:D24)+SUMIF('PROD - Gabriel Adriano Souza'!G6:G24,A93,'PROD - Gabriel Adriano Souza'!D6:D24)+SUMIF('PROD - Gustavo Mello Rodrigues'!G6:G24,A93,'PROD - Gustavo Mello Rodrigues'!D6:D24)+SUMIF('PROD - Joaquim Sergio Lage'!G6:G24,A93,'PROD - Joaquim Sergio Lage'!D6:D24)+SUMIF('PROD - Jorge G. P. Diniz'!G6:G24,A93,'PROD - Jorge G. P. Diniz'!D6:D24)+SUMIF('PROD - Jose G. S. Mello'!G6:G24,A93,'PROD - Jose G. S. Mello'!D6:D24)+SUMIF('PROD - Jose Rodrigues Melo'!G6:G24,A93,'PROD - Jose Rodrigues Melo'!D6:D24)+SUMIF('PROD - Lucio Mauro Felix Silva'!G6:G24,A93,'PROD - Lucio Mauro Felix Silva'!D6:D24)+SUMIF('PROD - Luiz A. O. Pinto'!G6:G24,A93,'PROD - Luiz A. O. Pinto'!D6:D24)+SUMIF('PROD - Marcelo Marcos Delgado'!G6:G24,A93,'PROD - Marcelo Marcos Delgado'!D6:D24)+SUMIF('PROD - Marcio Azevedo Souza'!G6:G24,A93,'PROD - Marcio Azevedo Souza'!D6:D24)+SUMIF('PROD - Marco Antonio Coelho'!G6:G24,A93,'PROD - Marco Antonio Coelho'!D6:D24)+SUMIF('PROD - Marcos Marcelo Delgado'!G6:G24,A93,'PROD - Marcos Marcelo Delgado'!D6:D24)+SUMIF('PROD - Miguel Fernando Almeida'!G6:G24,A93,'PROD - Miguel Fernando Almeida'!D6:D24)+SUMIF('PROD - Nilson Ferreira Silva'!G6:G24,A93,'PROD - Nilson Ferreira Silva'!D6:D24)+SUMIF('PROD - Renato Jose Silva'!G6:G24,A93,'PROD - Renato Jose Silva'!D6:D24)+SUMIF('PROD - Rodolfo Azevedo Andrade'!G6:G24,A93,'PROD - Rodolfo Azevedo Andrade'!D6:D24)</f>
        <v/>
      </c>
    </row>
    <row r="94" ht="15" customHeight="1" s="107">
      <c r="A94" s="148">
        <f>MOTIVO!A23</f>
        <v/>
      </c>
      <c r="B94" s="132">
        <f>IF(MOTIVO!B23="","",MOTIVO!B23)</f>
        <v/>
      </c>
      <c r="C94" s="143">
        <f>SUMIF('PROD - Ana C. C. R. Souza'!G6:G24,A94,'PROD - Ana C. C. R. Souza'!D6:D24)+SUMIF('PROD - Anderson Mello Quimas'!G6:G24,A94,'PROD - Anderson Mello Quimas'!D6:D24)+SUMIF('PROD - Armando Jose Silva'!G6:G24,A94,'PROD - Armando Jose Silva'!D6:D24)+SUMIF('PROD - Arnaldo Silva'!G6:G24,A94,'PROD - Arnaldo Silva'!D6:D24)+SUMIF('PROD - Claudeni R. Xavier'!G6:G24,A94,'PROD - Claudeni R. Xavier'!D6:D24)+SUMIF('PROD - Edson Jose Silva'!G6:G24,A94,'PROD - Edson Jose Silva'!D6:D24)+SUMIF('PROD - Gabriel Adriano Souza'!G6:G24,A94,'PROD - Gabriel Adriano Souza'!D6:D24)+SUMIF('PROD - Gustavo Mello Rodrigues'!G6:G24,A94,'PROD - Gustavo Mello Rodrigues'!D6:D24)+SUMIF('PROD - Joaquim Sergio Lage'!G6:G24,A94,'PROD - Joaquim Sergio Lage'!D6:D24)+SUMIF('PROD - Jorge G. P. Diniz'!G6:G24,A94,'PROD - Jorge G. P. Diniz'!D6:D24)+SUMIF('PROD - Jose G. S. Mello'!G6:G24,A94,'PROD - Jose G. S. Mello'!D6:D24)+SUMIF('PROD - Jose Rodrigues Melo'!G6:G24,A94,'PROD - Jose Rodrigues Melo'!D6:D24)+SUMIF('PROD - Lucio Mauro Felix Silva'!G6:G24,A94,'PROD - Lucio Mauro Felix Silva'!D6:D24)+SUMIF('PROD - Luiz A. O. Pinto'!G6:G24,A94,'PROD - Luiz A. O. Pinto'!D6:D24)+SUMIF('PROD - Marcelo Marcos Delgado'!G6:G24,A94,'PROD - Marcelo Marcos Delgado'!D6:D24)+SUMIF('PROD - Marcio Azevedo Souza'!G6:G24,A94,'PROD - Marcio Azevedo Souza'!D6:D24)+SUMIF('PROD - Marco Antonio Coelho'!G6:G24,A94,'PROD - Marco Antonio Coelho'!D6:D24)+SUMIF('PROD - Marcos Marcelo Delgado'!G6:G24,A94,'PROD - Marcos Marcelo Delgado'!D6:D24)+SUMIF('PROD - Miguel Fernando Almeida'!G6:G24,A94,'PROD - Miguel Fernando Almeida'!D6:D24)+SUMIF('PROD - Nilson Ferreira Silva'!G6:G24,A94,'PROD - Nilson Ferreira Silva'!D6:D24)+SUMIF('PROD - Renato Jose Silva'!G6:G24,A94,'PROD - Renato Jose Silva'!D6:D24)+SUMIF('PROD - Rodolfo Azevedo Andrade'!G6:G24,A94,'PROD - Rodolfo Azevedo Andrade'!D6:D24)</f>
        <v/>
      </c>
    </row>
    <row r="95" ht="15" customHeight="1" s="107">
      <c r="A95" s="129" t="inlineStr">
        <is>
          <t>TOTAL</t>
        </is>
      </c>
      <c r="C95" s="145">
        <f>SUM(C75:C94)</f>
        <v/>
      </c>
    </row>
    <row r="97" ht="24" customHeight="1" s="107">
      <c r="A97" s="142" t="inlineStr">
        <is>
          <t>💰  RESULTADO FINANCEIRO DA COOPERATIVA</t>
        </is>
      </c>
    </row>
    <row r="98" ht="30" customHeight="1" s="107">
      <c r="A98" s="149" t="inlineStr">
        <is>
          <t>VALOR TOTAL A COBRAR DA PREFEITURA</t>
        </is>
      </c>
      <c r="E98" s="150">
        <f>F24</f>
        <v/>
      </c>
    </row>
    <row r="99" ht="30" customHeight="1" s="107">
      <c r="A99" s="149" t="inlineStr">
        <is>
          <t>VALOR TOTAL A PAGAR AOS PRODUTORES</t>
        </is>
      </c>
      <c r="E99" s="150">
        <f>F47</f>
        <v/>
      </c>
    </row>
    <row r="100" ht="30" customHeight="1" s="107">
      <c r="A100" s="151" t="inlineStr">
        <is>
          <t>MARGEM DA COOPERATIVA</t>
        </is>
      </c>
      <c r="E100" s="152">
        <f>E98-E99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0"/>
  <mergeCells count="11">
    <mergeCell ref="A73:F73"/>
    <mergeCell ref="A49:F49"/>
    <mergeCell ref="E99:F99"/>
    <mergeCell ref="E100:F100"/>
    <mergeCell ref="A3:F3"/>
    <mergeCell ref="A100:D100"/>
    <mergeCell ref="E98:F98"/>
    <mergeCell ref="A97:F97"/>
    <mergeCell ref="A26:F26"/>
    <mergeCell ref="A99:D99"/>
    <mergeCell ref="A98:D9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D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06" min="1" max="1"/>
    <col width="14" customWidth="1" style="106" min="2" max="3"/>
    <col width="20" customWidth="1" style="106" min="4" max="4"/>
  </cols>
  <sheetData>
    <row r="1" ht="30" customHeight="1" s="107">
      <c r="A1" s="140" t="inlineStr">
        <is>
          <t>BALANÇO FINANCEIRO SEMANAL</t>
        </is>
      </c>
    </row>
    <row r="2" ht="15" customHeight="1" s="107">
      <c r="A2" s="153" t="inlineStr">
        <is>
          <t>Preencha os custos reais da semana abaixo. Reseta toda semana, junto com o resto da planilha.</t>
        </is>
      </c>
    </row>
    <row r="3" ht="15" customHeight="1" s="107">
      <c r="D3" s="141">
        <f>HYPERLINK("#'ÍNDICE'!A1","◄ Voltar ao Índice")</f>
        <v/>
      </c>
    </row>
    <row r="5" ht="24" customHeight="1" s="107">
      <c r="A5" s="142" t="inlineStr">
        <is>
          <t>1. RESULTADO BRUTO (vem do RESUMO)</t>
        </is>
      </c>
    </row>
    <row r="6" ht="25.5" customHeight="1" s="107">
      <c r="A6" s="149" t="inlineStr">
        <is>
          <t>Valor cobrado da prefeitura</t>
        </is>
      </c>
      <c r="D6" s="150">
        <f>RESUMO!E98</f>
        <v/>
      </c>
    </row>
    <row r="7" ht="25.5" customHeight="1" s="107">
      <c r="A7" s="149" t="inlineStr">
        <is>
          <t>Valor pago aos produtores</t>
        </is>
      </c>
      <c r="D7" s="150">
        <f>RESUMO!E99</f>
        <v/>
      </c>
    </row>
    <row r="8" ht="25.5" customHeight="1" s="107">
      <c r="A8" s="151" t="inlineStr">
        <is>
          <t>MARGEM BRUTA (R$ 3,67/kg)</t>
        </is>
      </c>
      <c r="D8" s="154">
        <f>D6-D7</f>
        <v/>
      </c>
    </row>
    <row r="10" ht="24" customHeight="1" s="107">
      <c r="A10" s="142" t="inlineStr">
        <is>
          <t>2. CUSTOS REAIS DA SEMANA (mesmas categorias do estudo original)</t>
        </is>
      </c>
    </row>
    <row r="11" ht="15" customHeight="1" s="107">
      <c r="A11" s="155" t="inlineStr">
        <is>
          <t>Transporte</t>
        </is>
      </c>
      <c r="B11" s="156" t="n"/>
      <c r="C11" s="136" t="n"/>
      <c r="D11" s="157" t="n">
        <v>0</v>
      </c>
    </row>
    <row r="12" ht="15" customHeight="1" s="107">
      <c r="A12" s="155" t="inlineStr">
        <is>
          <t>Montagem</t>
        </is>
      </c>
      <c r="B12" s="156" t="n"/>
      <c r="C12" s="136" t="n"/>
      <c r="D12" s="157" t="n">
        <v>0</v>
      </c>
    </row>
    <row r="13" ht="15" customHeight="1" s="107">
      <c r="A13" s="155" t="inlineStr">
        <is>
          <t>Administrativo</t>
        </is>
      </c>
      <c r="B13" s="156" t="n"/>
      <c r="C13" s="136" t="n"/>
      <c r="D13" s="157" t="n">
        <v>0</v>
      </c>
    </row>
    <row r="14" ht="15" customHeight="1" s="107">
      <c r="A14" s="155" t="inlineStr">
        <is>
          <t>Embalagens + Mat. Limpeza</t>
        </is>
      </c>
      <c r="B14" s="156" t="n"/>
      <c r="C14" s="136" t="n"/>
      <c r="D14" s="157" t="n">
        <v>0</v>
      </c>
    </row>
    <row r="15" ht="15" customHeight="1" s="107">
      <c r="A15" s="155" t="inlineStr">
        <is>
          <t>Material Escritório</t>
        </is>
      </c>
      <c r="B15" s="156" t="n"/>
      <c r="C15" s="136" t="n"/>
      <c r="D15" s="157" t="n">
        <v>0</v>
      </c>
    </row>
    <row r="16" ht="15" customHeight="1" s="107">
      <c r="A16" s="155" t="inlineStr">
        <is>
          <t>Impostos</t>
        </is>
      </c>
      <c r="B16" s="156" t="n"/>
      <c r="C16" s="136" t="n"/>
      <c r="D16" s="157" t="n">
        <v>0</v>
      </c>
    </row>
    <row r="17" ht="15" customHeight="1" s="107">
      <c r="A17" s="155" t="inlineStr">
        <is>
          <t>Serviço de Contabilidade</t>
        </is>
      </c>
      <c r="B17" s="156" t="n"/>
      <c r="C17" s="136" t="n"/>
      <c r="D17" s="157" t="n">
        <v>0</v>
      </c>
    </row>
    <row r="18" ht="15" customHeight="1" s="107">
      <c r="A18" s="155" t="inlineStr">
        <is>
          <t>Ajuda de Custo Conselho</t>
        </is>
      </c>
      <c r="B18" s="156" t="n"/>
      <c r="C18" s="136" t="n"/>
      <c r="D18" s="157" t="n">
        <v>0</v>
      </c>
    </row>
    <row r="19" ht="15" customHeight="1" s="107">
      <c r="A19" s="158" t="inlineStr">
        <is>
          <t>TOTAL DE CUSTOS DA SEMANA</t>
        </is>
      </c>
      <c r="B19" s="156" t="n"/>
      <c r="C19" s="136" t="n"/>
      <c r="D19" s="159">
        <f>SUM(D11:D18)</f>
        <v/>
      </c>
    </row>
    <row r="21" ht="36" customHeight="1" s="107">
      <c r="A21" s="160" t="inlineStr">
        <is>
          <t>SALDO DA SEMANA (Margem bruta − Custos reais)</t>
        </is>
      </c>
      <c r="D21" s="161">
        <f>D8-D19</f>
        <v/>
      </c>
    </row>
    <row r="24" ht="24" customHeight="1" s="107">
      <c r="A24" s="142" t="inlineStr">
        <is>
          <t>3. VALOR PAGO A CADA PRODUTOR NESTA SEMANA (conferência)</t>
        </is>
      </c>
    </row>
    <row r="25" ht="15" customHeight="1" s="107">
      <c r="A25" s="162" t="inlineStr">
        <is>
          <t>Produtor</t>
        </is>
      </c>
      <c r="B25" s="156" t="n"/>
      <c r="C25" s="156" t="n"/>
      <c r="D25" s="124" t="inlineStr">
        <is>
          <t>Valor Pago (R$)</t>
        </is>
      </c>
    </row>
    <row r="26" ht="15" customHeight="1" s="107">
      <c r="A26" s="155">
        <f>'PROD - Ana C. C. R. Souza'!B2</f>
        <v/>
      </c>
      <c r="B26" s="156" t="n"/>
      <c r="C26" s="136" t="n"/>
      <c r="D26" s="163">
        <f>'PROD - Ana C. C. R. Souza'!F25</f>
        <v/>
      </c>
    </row>
    <row r="27" ht="15" customHeight="1" s="107">
      <c r="A27" s="155">
        <f>'PROD - Anderson Mello Quimas'!B2</f>
        <v/>
      </c>
      <c r="B27" s="156" t="n"/>
      <c r="C27" s="136" t="n"/>
      <c r="D27" s="163">
        <f>'PROD - Anderson Mello Quimas'!F25</f>
        <v/>
      </c>
    </row>
    <row r="28" ht="15" customHeight="1" s="107">
      <c r="A28" s="155">
        <f>'PROD - Armando Jose Silva'!B2</f>
        <v/>
      </c>
      <c r="B28" s="156" t="n"/>
      <c r="C28" s="136" t="n"/>
      <c r="D28" s="163">
        <f>'PROD - Armando Jose Silva'!F25</f>
        <v/>
      </c>
    </row>
    <row r="29" ht="15" customHeight="1" s="107">
      <c r="A29" s="155">
        <f>'PROD - Arnaldo Silva'!B2</f>
        <v/>
      </c>
      <c r="B29" s="156" t="n"/>
      <c r="C29" s="136" t="n"/>
      <c r="D29" s="163">
        <f>'PROD - Arnaldo Silva'!F25</f>
        <v/>
      </c>
    </row>
    <row r="30" ht="15" customHeight="1" s="107">
      <c r="A30" s="155">
        <f>'PROD - Claudeni R. Xavier'!B2</f>
        <v/>
      </c>
      <c r="B30" s="156" t="n"/>
      <c r="C30" s="136" t="n"/>
      <c r="D30" s="163">
        <f>'PROD - Claudeni R. Xavier'!F25</f>
        <v/>
      </c>
    </row>
    <row r="31" ht="15" customHeight="1" s="107">
      <c r="A31" s="155">
        <f>'PROD - Edson Jose Silva'!B2</f>
        <v/>
      </c>
      <c r="B31" s="156" t="n"/>
      <c r="C31" s="136" t="n"/>
      <c r="D31" s="163">
        <f>'PROD - Edson Jose Silva'!F25</f>
        <v/>
      </c>
    </row>
    <row r="32" ht="15" customHeight="1" s="107">
      <c r="A32" s="155">
        <f>'PROD - Gabriel Adriano Souza'!B2</f>
        <v/>
      </c>
      <c r="B32" s="156" t="n"/>
      <c r="C32" s="136" t="n"/>
      <c r="D32" s="163">
        <f>'PROD - Gabriel Adriano Souza'!F25</f>
        <v/>
      </c>
    </row>
    <row r="33" ht="15" customHeight="1" s="107">
      <c r="A33" s="155">
        <f>'PROD - Gustavo Mello Rodrigues'!B2</f>
        <v/>
      </c>
      <c r="B33" s="156" t="n"/>
      <c r="C33" s="136" t="n"/>
      <c r="D33" s="163">
        <f>'PROD - Gustavo Mello Rodrigues'!F25</f>
        <v/>
      </c>
    </row>
    <row r="34" ht="15" customHeight="1" s="107">
      <c r="A34" s="155">
        <f>'PROD - Joaquim Sergio Lage'!B2</f>
        <v/>
      </c>
      <c r="B34" s="156" t="n"/>
      <c r="C34" s="136" t="n"/>
      <c r="D34" s="163">
        <f>'PROD - Joaquim Sergio Lage'!F25</f>
        <v/>
      </c>
    </row>
    <row r="35" ht="15" customHeight="1" s="107">
      <c r="A35" s="155">
        <f>'PROD - Jorge G. P. Diniz'!B2</f>
        <v/>
      </c>
      <c r="B35" s="156" t="n"/>
      <c r="C35" s="136" t="n"/>
      <c r="D35" s="163">
        <f>'PROD - Jorge G. P. Diniz'!F25</f>
        <v/>
      </c>
    </row>
    <row r="36" ht="15" customHeight="1" s="107">
      <c r="A36" s="155">
        <f>'PROD - Jose G. S. Mello'!B2</f>
        <v/>
      </c>
      <c r="B36" s="156" t="n"/>
      <c r="C36" s="136" t="n"/>
      <c r="D36" s="163">
        <f>'PROD - Jose G. S. Mello'!F25</f>
        <v/>
      </c>
    </row>
    <row r="37" ht="15" customHeight="1" s="107">
      <c r="A37" s="155">
        <f>'PROD - Jose Rodrigues Melo'!B2</f>
        <v/>
      </c>
      <c r="B37" s="156" t="n"/>
      <c r="C37" s="136" t="n"/>
      <c r="D37" s="163">
        <f>'PROD - Jose Rodrigues Melo'!F25</f>
        <v/>
      </c>
    </row>
    <row r="38" ht="15" customHeight="1" s="107">
      <c r="A38" s="155">
        <f>'PROD - Lucio Mauro Felix Silva'!B2</f>
        <v/>
      </c>
      <c r="B38" s="156" t="n"/>
      <c r="C38" s="136" t="n"/>
      <c r="D38" s="163">
        <f>'PROD - Lucio Mauro Felix Silva'!F25</f>
        <v/>
      </c>
    </row>
    <row r="39" ht="15" customHeight="1" s="107">
      <c r="A39" s="155">
        <f>'PROD - Luiz A. O. Pinto'!B2</f>
        <v/>
      </c>
      <c r="B39" s="156" t="n"/>
      <c r="C39" s="136" t="n"/>
      <c r="D39" s="163">
        <f>'PROD - Luiz A. O. Pinto'!F25</f>
        <v/>
      </c>
    </row>
    <row r="40" ht="15" customHeight="1" s="107">
      <c r="A40" s="155">
        <f>'PROD - Marcelo Marcos Delgado'!B2</f>
        <v/>
      </c>
      <c r="B40" s="156" t="n"/>
      <c r="C40" s="136" t="n"/>
      <c r="D40" s="163">
        <f>'PROD - Marcelo Marcos Delgado'!F25</f>
        <v/>
      </c>
    </row>
    <row r="41" ht="15" customHeight="1" s="107">
      <c r="A41" s="155">
        <f>'PROD - Marcio Azevedo Souza'!B2</f>
        <v/>
      </c>
      <c r="B41" s="156" t="n"/>
      <c r="C41" s="136" t="n"/>
      <c r="D41" s="163">
        <f>'PROD - Marcio Azevedo Souza'!F25</f>
        <v/>
      </c>
    </row>
    <row r="42" ht="15" customHeight="1" s="107">
      <c r="A42" s="155">
        <f>'PROD - Marco Antonio Coelho'!B2</f>
        <v/>
      </c>
      <c r="B42" s="156" t="n"/>
      <c r="C42" s="136" t="n"/>
      <c r="D42" s="163">
        <f>'PROD - Marco Antonio Coelho'!F25</f>
        <v/>
      </c>
    </row>
    <row r="43" ht="15" customHeight="1" s="107">
      <c r="A43" s="155">
        <f>'PROD - Marcos Marcelo Delgado'!B2</f>
        <v/>
      </c>
      <c r="B43" s="156" t="n"/>
      <c r="C43" s="136" t="n"/>
      <c r="D43" s="163">
        <f>'PROD - Marcos Marcelo Delgado'!F25</f>
        <v/>
      </c>
    </row>
    <row r="44" ht="15" customHeight="1" s="107">
      <c r="A44" s="155">
        <f>'PROD - Miguel Fernando Almeida'!B2</f>
        <v/>
      </c>
      <c r="B44" s="156" t="n"/>
      <c r="C44" s="136" t="n"/>
      <c r="D44" s="163">
        <f>'PROD - Miguel Fernando Almeida'!F25</f>
        <v/>
      </c>
    </row>
    <row r="45" ht="15" customHeight="1" s="107">
      <c r="A45" s="155">
        <f>'PROD - Nilson Ferreira Silva'!B2</f>
        <v/>
      </c>
      <c r="B45" s="156" t="n"/>
      <c r="C45" s="136" t="n"/>
      <c r="D45" s="163">
        <f>'PROD - Nilson Ferreira Silva'!F25</f>
        <v/>
      </c>
    </row>
    <row r="46" ht="15" customHeight="1" s="107">
      <c r="A46" s="155">
        <f>'PROD - Renato Jose Silva'!B2</f>
        <v/>
      </c>
      <c r="B46" s="156" t="n"/>
      <c r="C46" s="136" t="n"/>
      <c r="D46" s="163">
        <f>'PROD - Renato Jose Silva'!F25</f>
        <v/>
      </c>
    </row>
    <row r="47" ht="15" customHeight="1" s="107">
      <c r="A47" s="155">
        <f>'PROD - Rodolfo Azevedo Andrade'!B2</f>
        <v/>
      </c>
      <c r="B47" s="156" t="n"/>
      <c r="C47" s="136" t="n"/>
      <c r="D47" s="163">
        <f>'PROD - Rodolfo Azevedo Andrade'!F25</f>
        <v/>
      </c>
    </row>
    <row r="48" ht="15" customHeight="1" s="107">
      <c r="A48" s="158" t="inlineStr">
        <is>
          <t>TOTAL (deve bater com "Valor pago aos produtores" acima)</t>
        </is>
      </c>
      <c r="B48" s="156" t="n"/>
      <c r="C48" s="136" t="n"/>
      <c r="D48" s="159">
        <f>SUM(D26:D47)</f>
        <v/>
      </c>
    </row>
  </sheetData>
  <mergeCells count="40">
    <mergeCell ref="A5:D5"/>
    <mergeCell ref="A25:C25"/>
    <mergeCell ref="A41:C41"/>
    <mergeCell ref="A37:C37"/>
    <mergeCell ref="A46:C46"/>
    <mergeCell ref="A18:C18"/>
    <mergeCell ref="A27:C27"/>
    <mergeCell ref="A21:C21"/>
    <mergeCell ref="A12:C12"/>
    <mergeCell ref="A10:D10"/>
    <mergeCell ref="A26:C26"/>
    <mergeCell ref="A42:C42"/>
    <mergeCell ref="A33:C33"/>
    <mergeCell ref="A47:C47"/>
    <mergeCell ref="A32:C32"/>
    <mergeCell ref="A8:C8"/>
    <mergeCell ref="A14:C14"/>
    <mergeCell ref="A17:C17"/>
    <mergeCell ref="A24:D24"/>
    <mergeCell ref="A29:C29"/>
    <mergeCell ref="A35:C35"/>
    <mergeCell ref="A43:C43"/>
    <mergeCell ref="A38:C38"/>
    <mergeCell ref="A28:C28"/>
    <mergeCell ref="A13:C13"/>
    <mergeCell ref="A19:C19"/>
    <mergeCell ref="A44:C44"/>
    <mergeCell ref="A31:C31"/>
    <mergeCell ref="A40:C40"/>
    <mergeCell ref="A30:C30"/>
    <mergeCell ref="A39:C39"/>
    <mergeCell ref="A34:C34"/>
    <mergeCell ref="A15:C15"/>
    <mergeCell ref="A48:C48"/>
    <mergeCell ref="A36:C36"/>
    <mergeCell ref="A11:C11"/>
    <mergeCell ref="A45:C45"/>
    <mergeCell ref="A6:C6"/>
    <mergeCell ref="A7:C7"/>
    <mergeCell ref="A16:C16"/>
  </mergeCells>
  <conditionalFormatting sqref="D21">
    <cfRule type="cellIs" rank="0" priority="2" equalAverage="0" operator="lessThan" aboveAverage="0" dxfId="2" text="" percent="0" bottom="0">
      <formula>0</formula>
    </cfRule>
  </conditionalFormatting>
  <conditionalFormatting sqref="A21:C21">
    <cfRule type="expression" rank="0" priority="3" equalAverage="0" aboveAverage="0" dxfId="3" text="" percent="0" bottom="0">
      <formula>$D$21&lt;0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E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0" customWidth="1" style="106" min="1" max="4"/>
    <col width="18" customWidth="1" style="107" min="2" max="2"/>
    <col width="18" customWidth="1" style="107" min="3" max="3"/>
    <col width="16" customWidth="1" style="107" min="4" max="4"/>
    <col width="12" customWidth="1" style="107" min="5" max="5"/>
  </cols>
  <sheetData>
    <row r="1" ht="30" customHeight="1" s="107">
      <c r="A1" s="263" t="inlineStr">
        <is>
          <t>PRODUTO</t>
        </is>
      </c>
      <c r="B1" s="263" t="inlineStr">
        <is>
          <t>TOTAL PEDIDO (kg/dz)</t>
        </is>
      </c>
      <c r="C1" s="263" t="inlineStr">
        <is>
          <t>TOTAL ENTREGUE (kg/dz)</t>
        </is>
      </c>
      <c r="D1" s="263" t="inlineStr">
        <is>
          <t>DIFERENÇA (kg/dz)</t>
        </is>
      </c>
      <c r="E1" s="263" t="inlineStr">
        <is>
          <t>STATUS</t>
        </is>
      </c>
    </row>
    <row r="2" ht="15" customHeight="1" s="107">
      <c r="A2" s="258" t="inlineStr">
        <is>
          <t>Abacate</t>
        </is>
      </c>
      <c r="B2" s="259">
        <f>'Entrada de Dados'!C197</f>
        <v/>
      </c>
      <c r="C2" s="259">
        <f>'Entrada de Dados'!C252</f>
        <v/>
      </c>
      <c r="D2" s="259">
        <f>C2-B2</f>
        <v/>
      </c>
      <c r="E2" s="260">
        <f>IF(D2&lt;0,"FALTA",IF(D2&gt;0,"SOBRA","OK"))</f>
        <v/>
      </c>
    </row>
    <row r="3" ht="15" customHeight="1" s="107">
      <c r="A3" s="261" t="inlineStr">
        <is>
          <t>Abobrinha</t>
        </is>
      </c>
      <c r="B3" s="262">
        <f>'Entrada de Dados'!D197</f>
        <v/>
      </c>
      <c r="C3" s="262">
        <f>'Entrada de Dados'!D252</f>
        <v/>
      </c>
      <c r="D3" s="262">
        <f>C3-B3</f>
        <v/>
      </c>
      <c r="E3" s="260">
        <f>IF(D3&lt;0,"FALTA",IF(D3&gt;0,"SOBRA","OK"))</f>
        <v/>
      </c>
    </row>
    <row r="4" ht="15" customHeight="1" s="107">
      <c r="A4" s="258" t="inlineStr">
        <is>
          <t>Agrião</t>
        </is>
      </c>
      <c r="B4" s="259">
        <f>'Entrada de Dados'!E197</f>
        <v/>
      </c>
      <c r="C4" s="259">
        <f>'Entrada de Dados'!E252</f>
        <v/>
      </c>
      <c r="D4" s="259">
        <f>C4-B4</f>
        <v/>
      </c>
      <c r="E4" s="260">
        <f>IF(D4&lt;0,"FALTA",IF(D4&gt;0,"SOBRA","OK"))</f>
        <v/>
      </c>
    </row>
    <row r="5" ht="15" customHeight="1" s="107">
      <c r="A5" s="261" t="inlineStr">
        <is>
          <t>Alface lisa</t>
        </is>
      </c>
      <c r="B5" s="262">
        <f>'Entrada de Dados'!F197</f>
        <v/>
      </c>
      <c r="C5" s="262">
        <f>'Entrada de Dados'!F252</f>
        <v/>
      </c>
      <c r="D5" s="262">
        <f>C5-B5</f>
        <v/>
      </c>
      <c r="E5" s="260">
        <f>IF(D5&lt;0,"FALTA",IF(D5&gt;0,"SOBRA","OK"))</f>
        <v/>
      </c>
    </row>
    <row r="6" ht="15" customHeight="1" s="107">
      <c r="A6" s="258" t="inlineStr">
        <is>
          <t>Banana prata</t>
        </is>
      </c>
      <c r="B6" s="259">
        <f>'Entrada de Dados'!G197</f>
        <v/>
      </c>
      <c r="C6" s="259">
        <f>'Entrada de Dados'!G252</f>
        <v/>
      </c>
      <c r="D6" s="259">
        <f>C6-B6</f>
        <v/>
      </c>
      <c r="E6" s="260">
        <f>IF(D6&lt;0,"FALTA",IF(D6&gt;0,"SOBRA","OK"))</f>
        <v/>
      </c>
    </row>
    <row r="7" ht="15" customHeight="1" s="107">
      <c r="A7" s="261" t="inlineStr">
        <is>
          <t>Batata inglesa</t>
        </is>
      </c>
      <c r="B7" s="262">
        <f>'Entrada de Dados'!H197</f>
        <v/>
      </c>
      <c r="C7" s="262">
        <f>'Entrada de Dados'!H252</f>
        <v/>
      </c>
      <c r="D7" s="262">
        <f>C7-B7</f>
        <v/>
      </c>
      <c r="E7" s="260">
        <f>IF(D7&lt;0,"FALTA",IF(D7&gt;0,"SOBRA","OK"))</f>
        <v/>
      </c>
    </row>
    <row r="8" ht="15" customHeight="1" s="107">
      <c r="A8" s="258" t="inlineStr">
        <is>
          <t>Beterraba</t>
        </is>
      </c>
      <c r="B8" s="259">
        <f>'Entrada de Dados'!I197</f>
        <v/>
      </c>
      <c r="C8" s="259">
        <f>'Entrada de Dados'!I252</f>
        <v/>
      </c>
      <c r="D8" s="259">
        <f>C8-B8</f>
        <v/>
      </c>
      <c r="E8" s="260">
        <f>IF(D8&lt;0,"FALTA",IF(D8&gt;0,"SOBRA","OK"))</f>
        <v/>
      </c>
    </row>
    <row r="9" ht="15" customHeight="1" s="107">
      <c r="A9" s="261" t="inlineStr">
        <is>
          <t>Brócolis</t>
        </is>
      </c>
      <c r="B9" s="262">
        <f>'Entrada de Dados'!J197</f>
        <v/>
      </c>
      <c r="C9" s="262">
        <f>'Entrada de Dados'!J252</f>
        <v/>
      </c>
      <c r="D9" s="262">
        <f>C9-B9</f>
        <v/>
      </c>
      <c r="E9" s="260">
        <f>IF(D9&lt;0,"FALTA",IF(D9&gt;0,"SOBRA","OK"))</f>
        <v/>
      </c>
    </row>
    <row r="10" ht="15" customHeight="1" s="107">
      <c r="A10" s="258" t="inlineStr">
        <is>
          <t>Cenoura</t>
        </is>
      </c>
      <c r="B10" s="259">
        <f>'Entrada de Dados'!K197</f>
        <v/>
      </c>
      <c r="C10" s="259">
        <f>'Entrada de Dados'!K252</f>
        <v/>
      </c>
      <c r="D10" s="259">
        <f>C10-B10</f>
        <v/>
      </c>
      <c r="E10" s="260">
        <f>IF(D10&lt;0,"FALTA",IF(D10&gt;0,"SOBRA","OK"))</f>
        <v/>
      </c>
    </row>
    <row r="11" ht="15" customHeight="1" s="107">
      <c r="A11" s="261" t="inlineStr">
        <is>
          <t>Cheiro verde</t>
        </is>
      </c>
      <c r="B11" s="262">
        <f>'Entrada de Dados'!L197</f>
        <v/>
      </c>
      <c r="C11" s="262">
        <f>'Entrada de Dados'!L252</f>
        <v/>
      </c>
      <c r="D11" s="262">
        <f>C11-B11</f>
        <v/>
      </c>
      <c r="E11" s="260">
        <f>IF(D11&lt;0,"FALTA",IF(D11&gt;0,"SOBRA","OK"))</f>
        <v/>
      </c>
    </row>
    <row r="12" ht="15" customHeight="1" s="107">
      <c r="A12" s="258" t="inlineStr">
        <is>
          <t>Chuchu</t>
        </is>
      </c>
      <c r="B12" s="259">
        <f>'Entrada de Dados'!M197</f>
        <v/>
      </c>
      <c r="C12" s="259">
        <f>'Entrada de Dados'!M252</f>
        <v/>
      </c>
      <c r="D12" s="259">
        <f>C12-B12</f>
        <v/>
      </c>
      <c r="E12" s="260">
        <f>IF(D12&lt;0,"FALTA",IF(D12&gt;0,"SOBRA","OK"))</f>
        <v/>
      </c>
    </row>
    <row r="13" ht="15" customHeight="1" s="107">
      <c r="A13" s="261" t="inlineStr">
        <is>
          <t>Couve manteiga</t>
        </is>
      </c>
      <c r="B13" s="262">
        <f>'Entrada de Dados'!N197</f>
        <v/>
      </c>
      <c r="C13" s="262">
        <f>'Entrada de Dados'!N252</f>
        <v/>
      </c>
      <c r="D13" s="262">
        <f>C13-B13</f>
        <v/>
      </c>
      <c r="E13" s="260">
        <f>IF(D13&lt;0,"FALTA",IF(D13&gt;0,"SOBRA","OK"))</f>
        <v/>
      </c>
    </row>
    <row r="14" ht="15" customHeight="1" s="107">
      <c r="A14" s="258" t="inlineStr">
        <is>
          <t>Couve-flor</t>
        </is>
      </c>
      <c r="B14" s="259">
        <f>'Entrada de Dados'!O197</f>
        <v/>
      </c>
      <c r="C14" s="259">
        <f>'Entrada de Dados'!O252</f>
        <v/>
      </c>
      <c r="D14" s="259">
        <f>C14-B14</f>
        <v/>
      </c>
      <c r="E14" s="260">
        <f>IF(D14&lt;0,"FALTA",IF(D14&gt;0,"SOBRA","OK"))</f>
        <v/>
      </c>
    </row>
    <row r="15" ht="15" customHeight="1" s="107">
      <c r="A15" s="261" t="inlineStr">
        <is>
          <t>Espinafre</t>
        </is>
      </c>
      <c r="B15" s="262">
        <f>'Entrada de Dados'!P197</f>
        <v/>
      </c>
      <c r="C15" s="262">
        <f>'Entrada de Dados'!P252</f>
        <v/>
      </c>
      <c r="D15" s="262">
        <f>C15-B15</f>
        <v/>
      </c>
      <c r="E15" s="260">
        <f>IF(D15&lt;0,"FALTA",IF(D15&gt;0,"SOBRA","OK"))</f>
        <v/>
      </c>
    </row>
    <row r="16" ht="15" customHeight="1" s="107">
      <c r="A16" s="258" t="inlineStr">
        <is>
          <t>Maçã gala</t>
        </is>
      </c>
      <c r="B16" s="259">
        <f>'Entrada de Dados'!Q197</f>
        <v/>
      </c>
      <c r="C16" s="259">
        <f>'Entrada de Dados'!Q252</f>
        <v/>
      </c>
      <c r="D16" s="259">
        <f>C16-B16</f>
        <v/>
      </c>
      <c r="E16" s="260">
        <f>IF(D16&lt;0,"FALTA",IF(D16&gt;0,"SOBRA","OK"))</f>
        <v/>
      </c>
    </row>
    <row r="17" ht="15" customHeight="1" s="107">
      <c r="A17" s="261" t="inlineStr">
        <is>
          <t>Mel</t>
        </is>
      </c>
      <c r="B17" s="262">
        <f>'Entrada de Dados'!R197</f>
        <v/>
      </c>
      <c r="C17" s="262">
        <f>'Entrada de Dados'!R252</f>
        <v/>
      </c>
      <c r="D17" s="262">
        <f>C17-B17</f>
        <v/>
      </c>
      <c r="E17" s="260">
        <f>IF(D17&lt;0,"FALTA",IF(D17&gt;0,"SOBRA","OK"))</f>
        <v/>
      </c>
    </row>
    <row r="18" ht="15" customHeight="1" s="107">
      <c r="A18" s="258" t="inlineStr">
        <is>
          <t>Ovos (dz)</t>
        </is>
      </c>
      <c r="B18" s="259">
        <f>'Entrada de Dados'!S197</f>
        <v/>
      </c>
      <c r="C18" s="259">
        <f>'Entrada de Dados'!S252</f>
        <v/>
      </c>
      <c r="D18" s="259">
        <f>C18-B18</f>
        <v/>
      </c>
      <c r="E18" s="260">
        <f>IF(D18&lt;0,"FALTA",IF(D18&gt;0,"SOBRA","OK"))</f>
        <v/>
      </c>
    </row>
    <row r="19" ht="15" customHeight="1" s="107">
      <c r="A19" s="261" t="inlineStr">
        <is>
          <t>Repolho</t>
        </is>
      </c>
      <c r="B19" s="262">
        <f>'Entrada de Dados'!T197</f>
        <v/>
      </c>
      <c r="C19" s="262">
        <f>'Entrada de Dados'!T252</f>
        <v/>
      </c>
      <c r="D19" s="262">
        <f>C19-B19</f>
        <v/>
      </c>
      <c r="E19" s="260">
        <f>IF(D19&lt;0,"FALTA",IF(D19&gt;0,"SOBRA","OK"))</f>
        <v/>
      </c>
    </row>
    <row r="20" ht="15" customHeight="1" s="107">
      <c r="A20" s="258" t="inlineStr">
        <is>
          <t>Tangerina ponkan</t>
        </is>
      </c>
      <c r="B20" s="259">
        <f>'Entrada de Dados'!U197</f>
        <v/>
      </c>
      <c r="C20" s="259">
        <f>'Entrada de Dados'!U252</f>
        <v/>
      </c>
      <c r="D20" s="259">
        <f>C20-B20</f>
        <v/>
      </c>
      <c r="E20" s="260">
        <f>IF(D20&lt;0,"FALTA",IF(D20&gt;0,"SOBRA","OK"))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0"/>
  <conditionalFormatting sqref="A2:E20">
    <cfRule type="expression" priority="1" dxfId="8">
      <formula>$D2&lt;0</formula>
    </cfRule>
    <cfRule type="expression" priority="2" dxfId="9">
      <formula>$D2&gt;0</formula>
    </cfRule>
    <cfRule type="expression" priority="3" dxfId="10">
      <formula>$D2=0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X2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71484375" defaultRowHeight="15" zeroHeight="0" outlineLevelRow="0"/>
  <cols>
    <col width="6" customWidth="1" style="106" min="1" max="1"/>
    <col width="5" customWidth="1" style="107" min="2" max="2"/>
    <col width="8" customWidth="1" style="107" min="3" max="3"/>
    <col width="34" customWidth="1" style="107" min="4" max="4"/>
    <col width="16" customWidth="1" style="107" min="5" max="5"/>
    <col width="9.5" customWidth="1" style="107" min="6" max="6"/>
    <col width="9.5" customWidth="1" style="107" min="7" max="7"/>
    <col width="9.5" customWidth="1" style="107" min="8" max="8"/>
    <col width="9.5" customWidth="1" style="107" min="9" max="9"/>
    <col width="9.5" customWidth="1" style="107" min="10" max="10"/>
    <col width="9.5" customWidth="1" style="107" min="11" max="11"/>
    <col width="9.5" customWidth="1" style="107" min="12" max="12"/>
    <col width="9.5" customWidth="1" style="107" min="13" max="13"/>
    <col width="9.5" customWidth="1" style="107" min="14" max="14"/>
    <col width="9.5" customWidth="1" style="107" min="15" max="15"/>
    <col width="9.5" customWidth="1" style="107" min="16" max="16"/>
    <col width="9.5" customWidth="1" style="107" min="17" max="17"/>
    <col width="9.5" customWidth="1" style="107" min="18" max="18"/>
    <col width="9.5" customWidth="1" style="107" min="19" max="19"/>
    <col width="9.5" customWidth="1" style="107" min="20" max="20"/>
    <col width="9.5" customWidth="1" style="107" min="21" max="21"/>
    <col width="9.5" customWidth="1" style="107" min="22" max="22"/>
    <col width="9.5" customWidth="1" style="107" min="23" max="23"/>
    <col width="9.5" customWidth="1" style="107" min="24" max="24"/>
  </cols>
  <sheetData>
    <row r="1" ht="26" customHeight="1" s="107">
      <c r="A1" s="231" t="inlineStr">
        <is>
          <t>MAPA DE MONTAGEM — SEPARAÇÃO DAS CARGAS</t>
        </is>
      </c>
    </row>
    <row r="2" ht="24" customHeight="1" s="107">
      <c r="A2" s="232" t="inlineStr">
        <is>
          <t>Quantidades vêm automaticamente da Entrada de Dados, buscadas pelo código da escola — não digite aqui. Ovos em dúzias; os demais produtos em kg. Ordem das rotas conforme o plano operacional do Galpão de Itaipava.</t>
        </is>
      </c>
    </row>
    <row r="3">
      <c r="A3" s="233">
        <f>HYPERLINK("#'ÍNDICE'!A1","◄ Voltar ao Índice")</f>
        <v/>
      </c>
    </row>
    <row r="5" ht="24" customHeight="1" s="107">
      <c r="A5" s="234" t="inlineStr">
        <is>
          <t>SEGUNDA-FEIRA</t>
        </is>
      </c>
    </row>
    <row r="6" ht="20" customHeight="1" s="107">
      <c r="A6" s="236" t="inlineStr">
        <is>
          <t>ROTA S1 — ITAIPAVA - CUIABÁ - MADAME MACHADO · CAMINHÃO MÉDIO · 12 escolas · 11 paradas físicas</t>
        </is>
      </c>
    </row>
    <row r="7" ht="26" customHeight="1" s="107">
      <c r="A7" s="238" t="inlineStr">
        <is>
          <t>Sequência-base: Galpão Itaipava &gt; Itaipava &gt; Cuiabá &gt; Madame Machado &gt; Galpão   Atenção: Eixo majoritariamente pavimentado. Confirmar manobra apenas nos acessos internos.</t>
        </is>
      </c>
    </row>
    <row r="8" ht="30" customHeight="1" s="107">
      <c r="A8" s="240" t="inlineStr">
        <is>
          <t>PAR.</t>
        </is>
      </c>
      <c r="B8" s="240" t="inlineStr">
        <is>
          <t>SUB</t>
        </is>
      </c>
      <c r="C8" s="240" t="inlineStr">
        <is>
          <t>CÓDIGO</t>
        </is>
      </c>
      <c r="D8" s="240" t="inlineStr">
        <is>
          <t>ESCOLA</t>
        </is>
      </c>
      <c r="E8" s="240" t="inlineStr">
        <is>
          <t>BAIRRO/CORREDOR</t>
        </is>
      </c>
      <c r="F8" s="240" t="inlineStr">
        <is>
          <t>Abacate</t>
        </is>
      </c>
      <c r="G8" s="240" t="inlineStr">
        <is>
          <t>Abobrinha</t>
        </is>
      </c>
      <c r="H8" s="240" t="inlineStr">
        <is>
          <t>Agrião</t>
        </is>
      </c>
      <c r="I8" s="240" t="inlineStr">
        <is>
          <t>Alface lisa</t>
        </is>
      </c>
      <c r="J8" s="240" t="inlineStr">
        <is>
          <t>Banana prata</t>
        </is>
      </c>
      <c r="K8" s="240" t="inlineStr">
        <is>
          <t>Batata inglesa</t>
        </is>
      </c>
      <c r="L8" s="240" t="inlineStr">
        <is>
          <t>Beterraba</t>
        </is>
      </c>
      <c r="M8" s="240" t="inlineStr">
        <is>
          <t>Brócolis</t>
        </is>
      </c>
      <c r="N8" s="240" t="inlineStr">
        <is>
          <t>Cenoura</t>
        </is>
      </c>
      <c r="O8" s="240" t="inlineStr">
        <is>
          <t>Cheiro verde</t>
        </is>
      </c>
      <c r="P8" s="240" t="inlineStr">
        <is>
          <t>Chuchu</t>
        </is>
      </c>
      <c r="Q8" s="240" t="inlineStr">
        <is>
          <t>Couve manteiga</t>
        </is>
      </c>
      <c r="R8" s="240" t="inlineStr">
        <is>
          <t>Couve-flor</t>
        </is>
      </c>
      <c r="S8" s="240" t="inlineStr">
        <is>
          <t>Espinafre</t>
        </is>
      </c>
      <c r="T8" s="240" t="inlineStr">
        <is>
          <t>Maçã gala</t>
        </is>
      </c>
      <c r="U8" s="240" t="inlineStr">
        <is>
          <t>Mel</t>
        </is>
      </c>
      <c r="V8" s="240" t="inlineStr">
        <is>
          <t>Ovos (dz)</t>
        </is>
      </c>
      <c r="W8" s="240" t="inlineStr">
        <is>
          <t>Repolho</t>
        </is>
      </c>
      <c r="X8" s="240" t="inlineStr">
        <is>
          <t>Tangerina ponkan</t>
        </is>
      </c>
    </row>
    <row r="9">
      <c r="A9" s="241" t="n">
        <v>1</v>
      </c>
      <c r="B9" s="241" t="inlineStr"/>
      <c r="C9" s="241" t="inlineStr">
        <is>
          <t>3045</t>
        </is>
      </c>
      <c r="D9" s="242">
        <f>HYPERLINK("#'CEI LUIZ MARCHIORI'!A1","CEI LUIZ MARCHIORI")</f>
        <v/>
      </c>
      <c r="E9" s="242" t="inlineStr">
        <is>
          <t>ITAIPAVA</t>
        </is>
      </c>
      <c r="F9" s="243">
        <f>INDEX('Entrada de Dados'!C$6:C$196,MATCH($C9,'Entrada de Dados'!$A$6:$A$196,0))</f>
        <v/>
      </c>
      <c r="G9" s="243">
        <f>INDEX('Entrada de Dados'!D$6:D$196,MATCH($C9,'Entrada de Dados'!$A$6:$A$196,0))</f>
        <v/>
      </c>
      <c r="H9" s="243">
        <f>INDEX('Entrada de Dados'!E$6:E$196,MATCH($C9,'Entrada de Dados'!$A$6:$A$196,0))</f>
        <v/>
      </c>
      <c r="I9" s="243">
        <f>INDEX('Entrada de Dados'!F$6:F$196,MATCH($C9,'Entrada de Dados'!$A$6:$A$196,0))</f>
        <v/>
      </c>
      <c r="J9" s="243">
        <f>INDEX('Entrada de Dados'!G$6:G$196,MATCH($C9,'Entrada de Dados'!$A$6:$A$196,0))</f>
        <v/>
      </c>
      <c r="K9" s="243">
        <f>INDEX('Entrada de Dados'!H$6:H$196,MATCH($C9,'Entrada de Dados'!$A$6:$A$196,0))</f>
        <v/>
      </c>
      <c r="L9" s="243">
        <f>INDEX('Entrada de Dados'!I$6:I$196,MATCH($C9,'Entrada de Dados'!$A$6:$A$196,0))</f>
        <v/>
      </c>
      <c r="M9" s="243">
        <f>INDEX('Entrada de Dados'!J$6:J$196,MATCH($C9,'Entrada de Dados'!$A$6:$A$196,0))</f>
        <v/>
      </c>
      <c r="N9" s="243">
        <f>INDEX('Entrada de Dados'!K$6:K$196,MATCH($C9,'Entrada de Dados'!$A$6:$A$196,0))</f>
        <v/>
      </c>
      <c r="O9" s="243">
        <f>INDEX('Entrada de Dados'!L$6:L$196,MATCH($C9,'Entrada de Dados'!$A$6:$A$196,0))</f>
        <v/>
      </c>
      <c r="P9" s="243">
        <f>INDEX('Entrada de Dados'!M$6:M$196,MATCH($C9,'Entrada de Dados'!$A$6:$A$196,0))</f>
        <v/>
      </c>
      <c r="Q9" s="243">
        <f>INDEX('Entrada de Dados'!N$6:N$196,MATCH($C9,'Entrada de Dados'!$A$6:$A$196,0))</f>
        <v/>
      </c>
      <c r="R9" s="243">
        <f>INDEX('Entrada de Dados'!O$6:O$196,MATCH($C9,'Entrada de Dados'!$A$6:$A$196,0))</f>
        <v/>
      </c>
      <c r="S9" s="243">
        <f>INDEX('Entrada de Dados'!P$6:P$196,MATCH($C9,'Entrada de Dados'!$A$6:$A$196,0))</f>
        <v/>
      </c>
      <c r="T9" s="243">
        <f>INDEX('Entrada de Dados'!Q$6:Q$196,MATCH($C9,'Entrada de Dados'!$A$6:$A$196,0))</f>
        <v/>
      </c>
      <c r="U9" s="243">
        <f>INDEX('Entrada de Dados'!R$6:R$196,MATCH($C9,'Entrada de Dados'!$A$6:$A$196,0))</f>
        <v/>
      </c>
      <c r="V9" s="243">
        <f>INDEX('Entrada de Dados'!S$6:S$196,MATCH($C9,'Entrada de Dados'!$A$6:$A$196,0))</f>
        <v/>
      </c>
      <c r="W9" s="243">
        <f>INDEX('Entrada de Dados'!T$6:T$196,MATCH($C9,'Entrada de Dados'!$A$6:$A$196,0))</f>
        <v/>
      </c>
      <c r="X9" s="243">
        <f>INDEX('Entrada de Dados'!U$6:U$196,MATCH($C9,'Entrada de Dados'!$A$6:$A$196,0))</f>
        <v/>
      </c>
    </row>
    <row r="10">
      <c r="A10" s="241" t="n">
        <v>2</v>
      </c>
      <c r="B10" s="241" t="inlineStr"/>
      <c r="C10" s="241" t="inlineStr">
        <is>
          <t>1048</t>
        </is>
      </c>
      <c r="D10" s="242">
        <f>HYPERLINK("#'E M DR PAULA BUARQUE'!A1","E M DR PAULA BUARQUE")</f>
        <v/>
      </c>
      <c r="E10" s="242" t="inlineStr">
        <is>
          <t>ITAIPAVA</t>
        </is>
      </c>
      <c r="F10" s="243">
        <f>INDEX('Entrada de Dados'!C$6:C$196,MATCH($C10,'Entrada de Dados'!$A$6:$A$196,0))</f>
        <v/>
      </c>
      <c r="G10" s="243">
        <f>INDEX('Entrada de Dados'!D$6:D$196,MATCH($C10,'Entrada de Dados'!$A$6:$A$196,0))</f>
        <v/>
      </c>
      <c r="H10" s="243">
        <f>INDEX('Entrada de Dados'!E$6:E$196,MATCH($C10,'Entrada de Dados'!$A$6:$A$196,0))</f>
        <v/>
      </c>
      <c r="I10" s="243">
        <f>INDEX('Entrada de Dados'!F$6:F$196,MATCH($C10,'Entrada de Dados'!$A$6:$A$196,0))</f>
        <v/>
      </c>
      <c r="J10" s="243">
        <f>INDEX('Entrada de Dados'!G$6:G$196,MATCH($C10,'Entrada de Dados'!$A$6:$A$196,0))</f>
        <v/>
      </c>
      <c r="K10" s="243">
        <f>INDEX('Entrada de Dados'!H$6:H$196,MATCH($C10,'Entrada de Dados'!$A$6:$A$196,0))</f>
        <v/>
      </c>
      <c r="L10" s="243">
        <f>INDEX('Entrada de Dados'!I$6:I$196,MATCH($C10,'Entrada de Dados'!$A$6:$A$196,0))</f>
        <v/>
      </c>
      <c r="M10" s="243">
        <f>INDEX('Entrada de Dados'!J$6:J$196,MATCH($C10,'Entrada de Dados'!$A$6:$A$196,0))</f>
        <v/>
      </c>
      <c r="N10" s="243">
        <f>INDEX('Entrada de Dados'!K$6:K$196,MATCH($C10,'Entrada de Dados'!$A$6:$A$196,0))</f>
        <v/>
      </c>
      <c r="O10" s="243">
        <f>INDEX('Entrada de Dados'!L$6:L$196,MATCH($C10,'Entrada de Dados'!$A$6:$A$196,0))</f>
        <v/>
      </c>
      <c r="P10" s="243">
        <f>INDEX('Entrada de Dados'!M$6:M$196,MATCH($C10,'Entrada de Dados'!$A$6:$A$196,0))</f>
        <v/>
      </c>
      <c r="Q10" s="243">
        <f>INDEX('Entrada de Dados'!N$6:N$196,MATCH($C10,'Entrada de Dados'!$A$6:$A$196,0))</f>
        <v/>
      </c>
      <c r="R10" s="243">
        <f>INDEX('Entrada de Dados'!O$6:O$196,MATCH($C10,'Entrada de Dados'!$A$6:$A$196,0))</f>
        <v/>
      </c>
      <c r="S10" s="243">
        <f>INDEX('Entrada de Dados'!P$6:P$196,MATCH($C10,'Entrada de Dados'!$A$6:$A$196,0))</f>
        <v/>
      </c>
      <c r="T10" s="243">
        <f>INDEX('Entrada de Dados'!Q$6:Q$196,MATCH($C10,'Entrada de Dados'!$A$6:$A$196,0))</f>
        <v/>
      </c>
      <c r="U10" s="243">
        <f>INDEX('Entrada de Dados'!R$6:R$196,MATCH($C10,'Entrada de Dados'!$A$6:$A$196,0))</f>
        <v/>
      </c>
      <c r="V10" s="243">
        <f>INDEX('Entrada de Dados'!S$6:S$196,MATCH($C10,'Entrada de Dados'!$A$6:$A$196,0))</f>
        <v/>
      </c>
      <c r="W10" s="243">
        <f>INDEX('Entrada de Dados'!T$6:T$196,MATCH($C10,'Entrada de Dados'!$A$6:$A$196,0))</f>
        <v/>
      </c>
      <c r="X10" s="243">
        <f>INDEX('Entrada de Dados'!U$6:U$196,MATCH($C10,'Entrada de Dados'!$A$6:$A$196,0))</f>
        <v/>
      </c>
    </row>
    <row r="11">
      <c r="A11" s="241" t="n">
        <v>3</v>
      </c>
      <c r="B11" s="241" t="inlineStr"/>
      <c r="C11" s="241" t="inlineStr">
        <is>
          <t>1046</t>
        </is>
      </c>
      <c r="D11" s="242">
        <f>HYPERLINK("#'E M DARCY CORREA DA VEIGA'!A1","E M DARCY CORREA DA VEIGA")</f>
        <v/>
      </c>
      <c r="E11" s="242" t="inlineStr">
        <is>
          <t>ITAIPAVA</t>
        </is>
      </c>
      <c r="F11" s="243">
        <f>INDEX('Entrada de Dados'!C$6:C$196,MATCH($C11,'Entrada de Dados'!$A$6:$A$196,0))</f>
        <v/>
      </c>
      <c r="G11" s="243">
        <f>INDEX('Entrada de Dados'!D$6:D$196,MATCH($C11,'Entrada de Dados'!$A$6:$A$196,0))</f>
        <v/>
      </c>
      <c r="H11" s="243">
        <f>INDEX('Entrada de Dados'!E$6:E$196,MATCH($C11,'Entrada de Dados'!$A$6:$A$196,0))</f>
        <v/>
      </c>
      <c r="I11" s="243">
        <f>INDEX('Entrada de Dados'!F$6:F$196,MATCH($C11,'Entrada de Dados'!$A$6:$A$196,0))</f>
        <v/>
      </c>
      <c r="J11" s="243">
        <f>INDEX('Entrada de Dados'!G$6:G$196,MATCH($C11,'Entrada de Dados'!$A$6:$A$196,0))</f>
        <v/>
      </c>
      <c r="K11" s="243">
        <f>INDEX('Entrada de Dados'!H$6:H$196,MATCH($C11,'Entrada de Dados'!$A$6:$A$196,0))</f>
        <v/>
      </c>
      <c r="L11" s="243">
        <f>INDEX('Entrada de Dados'!I$6:I$196,MATCH($C11,'Entrada de Dados'!$A$6:$A$196,0))</f>
        <v/>
      </c>
      <c r="M11" s="243">
        <f>INDEX('Entrada de Dados'!J$6:J$196,MATCH($C11,'Entrada de Dados'!$A$6:$A$196,0))</f>
        <v/>
      </c>
      <c r="N11" s="243">
        <f>INDEX('Entrada de Dados'!K$6:K$196,MATCH($C11,'Entrada de Dados'!$A$6:$A$196,0))</f>
        <v/>
      </c>
      <c r="O11" s="243">
        <f>INDEX('Entrada de Dados'!L$6:L$196,MATCH($C11,'Entrada de Dados'!$A$6:$A$196,0))</f>
        <v/>
      </c>
      <c r="P11" s="243">
        <f>INDEX('Entrada de Dados'!M$6:M$196,MATCH($C11,'Entrada de Dados'!$A$6:$A$196,0))</f>
        <v/>
      </c>
      <c r="Q11" s="243">
        <f>INDEX('Entrada de Dados'!N$6:N$196,MATCH($C11,'Entrada de Dados'!$A$6:$A$196,0))</f>
        <v/>
      </c>
      <c r="R11" s="243">
        <f>INDEX('Entrada de Dados'!O$6:O$196,MATCH($C11,'Entrada de Dados'!$A$6:$A$196,0))</f>
        <v/>
      </c>
      <c r="S11" s="243">
        <f>INDEX('Entrada de Dados'!P$6:P$196,MATCH($C11,'Entrada de Dados'!$A$6:$A$196,0))</f>
        <v/>
      </c>
      <c r="T11" s="243">
        <f>INDEX('Entrada de Dados'!Q$6:Q$196,MATCH($C11,'Entrada de Dados'!$A$6:$A$196,0))</f>
        <v/>
      </c>
      <c r="U11" s="243">
        <f>INDEX('Entrada de Dados'!R$6:R$196,MATCH($C11,'Entrada de Dados'!$A$6:$A$196,0))</f>
        <v/>
      </c>
      <c r="V11" s="243">
        <f>INDEX('Entrada de Dados'!S$6:S$196,MATCH($C11,'Entrada de Dados'!$A$6:$A$196,0))</f>
        <v/>
      </c>
      <c r="W11" s="243">
        <f>INDEX('Entrada de Dados'!T$6:T$196,MATCH($C11,'Entrada de Dados'!$A$6:$A$196,0))</f>
        <v/>
      </c>
      <c r="X11" s="243">
        <f>INDEX('Entrada de Dados'!U$6:U$196,MATCH($C11,'Entrada de Dados'!$A$6:$A$196,0))</f>
        <v/>
      </c>
    </row>
    <row r="12">
      <c r="A12" s="253" t="n">
        <v>4</v>
      </c>
      <c r="B12" s="253" t="inlineStr">
        <is>
          <t>A</t>
        </is>
      </c>
      <c r="C12" s="254" t="inlineStr">
        <is>
          <t>1044</t>
        </is>
      </c>
      <c r="D12" s="255">
        <f>HYPERLINK("#'ESCOLA MUNICIPAL AUGUSTO PUGNAL'!A1","ESCOLA MUNICIPAL AUGUSTO PUGNALONI")</f>
        <v/>
      </c>
      <c r="E12" s="255" t="inlineStr">
        <is>
          <t>ITAIPAVA</t>
        </is>
      </c>
      <c r="F12" s="256">
        <f>INDEX('Entrada de Dados'!C$6:C$196,MATCH($C12,'Entrada de Dados'!$A$6:$A$196,0))</f>
        <v/>
      </c>
      <c r="G12" s="256">
        <f>INDEX('Entrada de Dados'!D$6:D$196,MATCH($C12,'Entrada de Dados'!$A$6:$A$196,0))</f>
        <v/>
      </c>
      <c r="H12" s="256">
        <f>INDEX('Entrada de Dados'!E$6:E$196,MATCH($C12,'Entrada de Dados'!$A$6:$A$196,0))</f>
        <v/>
      </c>
      <c r="I12" s="256">
        <f>INDEX('Entrada de Dados'!F$6:F$196,MATCH($C12,'Entrada de Dados'!$A$6:$A$196,0))</f>
        <v/>
      </c>
      <c r="J12" s="256">
        <f>INDEX('Entrada de Dados'!G$6:G$196,MATCH($C12,'Entrada de Dados'!$A$6:$A$196,0))</f>
        <v/>
      </c>
      <c r="K12" s="256">
        <f>INDEX('Entrada de Dados'!H$6:H$196,MATCH($C12,'Entrada de Dados'!$A$6:$A$196,0))</f>
        <v/>
      </c>
      <c r="L12" s="256">
        <f>INDEX('Entrada de Dados'!I$6:I$196,MATCH($C12,'Entrada de Dados'!$A$6:$A$196,0))</f>
        <v/>
      </c>
      <c r="M12" s="256">
        <f>INDEX('Entrada de Dados'!J$6:J$196,MATCH($C12,'Entrada de Dados'!$A$6:$A$196,0))</f>
        <v/>
      </c>
      <c r="N12" s="256">
        <f>INDEX('Entrada de Dados'!K$6:K$196,MATCH($C12,'Entrada de Dados'!$A$6:$A$196,0))</f>
        <v/>
      </c>
      <c r="O12" s="256">
        <f>INDEX('Entrada de Dados'!L$6:L$196,MATCH($C12,'Entrada de Dados'!$A$6:$A$196,0))</f>
        <v/>
      </c>
      <c r="P12" s="256">
        <f>INDEX('Entrada de Dados'!M$6:M$196,MATCH($C12,'Entrada de Dados'!$A$6:$A$196,0))</f>
        <v/>
      </c>
      <c r="Q12" s="256">
        <f>INDEX('Entrada de Dados'!N$6:N$196,MATCH($C12,'Entrada de Dados'!$A$6:$A$196,0))</f>
        <v/>
      </c>
      <c r="R12" s="256">
        <f>INDEX('Entrada de Dados'!O$6:O$196,MATCH($C12,'Entrada de Dados'!$A$6:$A$196,0))</f>
        <v/>
      </c>
      <c r="S12" s="256">
        <f>INDEX('Entrada de Dados'!P$6:P$196,MATCH($C12,'Entrada de Dados'!$A$6:$A$196,0))</f>
        <v/>
      </c>
      <c r="T12" s="256">
        <f>INDEX('Entrada de Dados'!Q$6:Q$196,MATCH($C12,'Entrada de Dados'!$A$6:$A$196,0))</f>
        <v/>
      </c>
      <c r="U12" s="256">
        <f>INDEX('Entrada de Dados'!R$6:R$196,MATCH($C12,'Entrada de Dados'!$A$6:$A$196,0))</f>
        <v/>
      </c>
      <c r="V12" s="256">
        <f>INDEX('Entrada de Dados'!S$6:S$196,MATCH($C12,'Entrada de Dados'!$A$6:$A$196,0))</f>
        <v/>
      </c>
      <c r="W12" s="256">
        <f>INDEX('Entrada de Dados'!T$6:T$196,MATCH($C12,'Entrada de Dados'!$A$6:$A$196,0))</f>
        <v/>
      </c>
      <c r="X12" s="256">
        <f>INDEX('Entrada de Dados'!U$6:U$196,MATCH($C12,'Entrada de Dados'!$A$6:$A$196,0))</f>
        <v/>
      </c>
    </row>
    <row r="13">
      <c r="A13" s="253" t="n">
        <v>4</v>
      </c>
      <c r="B13" s="253" t="inlineStr">
        <is>
          <t>B</t>
        </is>
      </c>
      <c r="C13" s="254" t="inlineStr">
        <is>
          <t>3075</t>
        </is>
      </c>
      <c r="D13" s="255">
        <f>HYPERLINK("#'CENTRO DE EDUCAÇÃO INFANTIL AUG'!A1","CENTRO DE EDUCAÇÃO INFANTIL AUGUSTO PUGNALONI")</f>
        <v/>
      </c>
      <c r="E13" s="255" t="inlineStr">
        <is>
          <t>ITAIPAVA</t>
        </is>
      </c>
      <c r="F13" s="256">
        <f>INDEX('Entrada de Dados'!C$6:C$196,MATCH($C13,'Entrada de Dados'!$A$6:$A$196,0))</f>
        <v/>
      </c>
      <c r="G13" s="256">
        <f>INDEX('Entrada de Dados'!D$6:D$196,MATCH($C13,'Entrada de Dados'!$A$6:$A$196,0))</f>
        <v/>
      </c>
      <c r="H13" s="256">
        <f>INDEX('Entrada de Dados'!E$6:E$196,MATCH($C13,'Entrada de Dados'!$A$6:$A$196,0))</f>
        <v/>
      </c>
      <c r="I13" s="256">
        <f>INDEX('Entrada de Dados'!F$6:F$196,MATCH($C13,'Entrada de Dados'!$A$6:$A$196,0))</f>
        <v/>
      </c>
      <c r="J13" s="256">
        <f>INDEX('Entrada de Dados'!G$6:G$196,MATCH($C13,'Entrada de Dados'!$A$6:$A$196,0))</f>
        <v/>
      </c>
      <c r="K13" s="256">
        <f>INDEX('Entrada de Dados'!H$6:H$196,MATCH($C13,'Entrada de Dados'!$A$6:$A$196,0))</f>
        <v/>
      </c>
      <c r="L13" s="256">
        <f>INDEX('Entrada de Dados'!I$6:I$196,MATCH($C13,'Entrada de Dados'!$A$6:$A$196,0))</f>
        <v/>
      </c>
      <c r="M13" s="256">
        <f>INDEX('Entrada de Dados'!J$6:J$196,MATCH($C13,'Entrada de Dados'!$A$6:$A$196,0))</f>
        <v/>
      </c>
      <c r="N13" s="256">
        <f>INDEX('Entrada de Dados'!K$6:K$196,MATCH($C13,'Entrada de Dados'!$A$6:$A$196,0))</f>
        <v/>
      </c>
      <c r="O13" s="256">
        <f>INDEX('Entrada de Dados'!L$6:L$196,MATCH($C13,'Entrada de Dados'!$A$6:$A$196,0))</f>
        <v/>
      </c>
      <c r="P13" s="256">
        <f>INDEX('Entrada de Dados'!M$6:M$196,MATCH($C13,'Entrada de Dados'!$A$6:$A$196,0))</f>
        <v/>
      </c>
      <c r="Q13" s="256">
        <f>INDEX('Entrada de Dados'!N$6:N$196,MATCH($C13,'Entrada de Dados'!$A$6:$A$196,0))</f>
        <v/>
      </c>
      <c r="R13" s="256">
        <f>INDEX('Entrada de Dados'!O$6:O$196,MATCH($C13,'Entrada de Dados'!$A$6:$A$196,0))</f>
        <v/>
      </c>
      <c r="S13" s="256">
        <f>INDEX('Entrada de Dados'!P$6:P$196,MATCH($C13,'Entrada de Dados'!$A$6:$A$196,0))</f>
        <v/>
      </c>
      <c r="T13" s="256">
        <f>INDEX('Entrada de Dados'!Q$6:Q$196,MATCH($C13,'Entrada de Dados'!$A$6:$A$196,0))</f>
        <v/>
      </c>
      <c r="U13" s="256">
        <f>INDEX('Entrada de Dados'!R$6:R$196,MATCH($C13,'Entrada de Dados'!$A$6:$A$196,0))</f>
        <v/>
      </c>
      <c r="V13" s="256">
        <f>INDEX('Entrada de Dados'!S$6:S$196,MATCH($C13,'Entrada de Dados'!$A$6:$A$196,0))</f>
        <v/>
      </c>
      <c r="W13" s="256">
        <f>INDEX('Entrada de Dados'!T$6:T$196,MATCH($C13,'Entrada de Dados'!$A$6:$A$196,0))</f>
        <v/>
      </c>
      <c r="X13" s="256">
        <f>INDEX('Entrada de Dados'!U$6:U$196,MATCH($C13,'Entrada de Dados'!$A$6:$A$196,0))</f>
        <v/>
      </c>
    </row>
    <row r="14">
      <c r="A14" s="241" t="n">
        <v>5</v>
      </c>
      <c r="B14" s="241" t="inlineStr"/>
      <c r="C14" s="241" t="inlineStr">
        <is>
          <t>2045</t>
        </is>
      </c>
      <c r="D14" s="242">
        <f>HYPERLINK("#'LICEU SÃO JOSÉ DE ITAIPAVA'!A1","LICEU SÃO JOSÉ DE ITAIPAVA")</f>
        <v/>
      </c>
      <c r="E14" s="242" t="inlineStr">
        <is>
          <t>ITAIPAVA</t>
        </is>
      </c>
      <c r="F14" s="243">
        <f>INDEX('Entrada de Dados'!C$6:C$196,MATCH($C14,'Entrada de Dados'!$A$6:$A$196,0))</f>
        <v/>
      </c>
      <c r="G14" s="243">
        <f>INDEX('Entrada de Dados'!D$6:D$196,MATCH($C14,'Entrada de Dados'!$A$6:$A$196,0))</f>
        <v/>
      </c>
      <c r="H14" s="243">
        <f>INDEX('Entrada de Dados'!E$6:E$196,MATCH($C14,'Entrada de Dados'!$A$6:$A$196,0))</f>
        <v/>
      </c>
      <c r="I14" s="243">
        <f>INDEX('Entrada de Dados'!F$6:F$196,MATCH($C14,'Entrada de Dados'!$A$6:$A$196,0))</f>
        <v/>
      </c>
      <c r="J14" s="243">
        <f>INDEX('Entrada de Dados'!G$6:G$196,MATCH($C14,'Entrada de Dados'!$A$6:$A$196,0))</f>
        <v/>
      </c>
      <c r="K14" s="243">
        <f>INDEX('Entrada de Dados'!H$6:H$196,MATCH($C14,'Entrada de Dados'!$A$6:$A$196,0))</f>
        <v/>
      </c>
      <c r="L14" s="243">
        <f>INDEX('Entrada de Dados'!I$6:I$196,MATCH($C14,'Entrada de Dados'!$A$6:$A$196,0))</f>
        <v/>
      </c>
      <c r="M14" s="243">
        <f>INDEX('Entrada de Dados'!J$6:J$196,MATCH($C14,'Entrada de Dados'!$A$6:$A$196,0))</f>
        <v/>
      </c>
      <c r="N14" s="243">
        <f>INDEX('Entrada de Dados'!K$6:K$196,MATCH($C14,'Entrada de Dados'!$A$6:$A$196,0))</f>
        <v/>
      </c>
      <c r="O14" s="243">
        <f>INDEX('Entrada de Dados'!L$6:L$196,MATCH($C14,'Entrada de Dados'!$A$6:$A$196,0))</f>
        <v/>
      </c>
      <c r="P14" s="243">
        <f>INDEX('Entrada de Dados'!M$6:M$196,MATCH($C14,'Entrada de Dados'!$A$6:$A$196,0))</f>
        <v/>
      </c>
      <c r="Q14" s="243">
        <f>INDEX('Entrada de Dados'!N$6:N$196,MATCH($C14,'Entrada de Dados'!$A$6:$A$196,0))</f>
        <v/>
      </c>
      <c r="R14" s="243">
        <f>INDEX('Entrada de Dados'!O$6:O$196,MATCH($C14,'Entrada de Dados'!$A$6:$A$196,0))</f>
        <v/>
      </c>
      <c r="S14" s="243">
        <f>INDEX('Entrada de Dados'!P$6:P$196,MATCH($C14,'Entrada de Dados'!$A$6:$A$196,0))</f>
        <v/>
      </c>
      <c r="T14" s="243">
        <f>INDEX('Entrada de Dados'!Q$6:Q$196,MATCH($C14,'Entrada de Dados'!$A$6:$A$196,0))</f>
        <v/>
      </c>
      <c r="U14" s="243">
        <f>INDEX('Entrada de Dados'!R$6:R$196,MATCH($C14,'Entrada de Dados'!$A$6:$A$196,0))</f>
        <v/>
      </c>
      <c r="V14" s="243">
        <f>INDEX('Entrada de Dados'!S$6:S$196,MATCH($C14,'Entrada de Dados'!$A$6:$A$196,0))</f>
        <v/>
      </c>
      <c r="W14" s="243">
        <f>INDEX('Entrada de Dados'!T$6:T$196,MATCH($C14,'Entrada de Dados'!$A$6:$A$196,0))</f>
        <v/>
      </c>
      <c r="X14" s="243">
        <f>INDEX('Entrada de Dados'!U$6:U$196,MATCH($C14,'Entrada de Dados'!$A$6:$A$196,0))</f>
        <v/>
      </c>
    </row>
    <row r="15">
      <c r="A15" s="241" t="n">
        <v>6</v>
      </c>
      <c r="B15" s="241" t="inlineStr"/>
      <c r="C15" s="241" t="inlineStr">
        <is>
          <t>1045</t>
        </is>
      </c>
      <c r="D15" s="242">
        <f>HYPERLINK("#'ESCOLA MUNICIPAL CELINA SCHECHN'!A1","ESCOLA MUNICIPAL CELINA SCHECHNER")</f>
        <v/>
      </c>
      <c r="E15" s="242" t="inlineStr">
        <is>
          <t>ITAIPAVA</t>
        </is>
      </c>
      <c r="F15" s="243">
        <f>INDEX('Entrada de Dados'!C$6:C$196,MATCH($C15,'Entrada de Dados'!$A$6:$A$196,0))</f>
        <v/>
      </c>
      <c r="G15" s="243">
        <f>INDEX('Entrada de Dados'!D$6:D$196,MATCH($C15,'Entrada de Dados'!$A$6:$A$196,0))</f>
        <v/>
      </c>
      <c r="H15" s="243">
        <f>INDEX('Entrada de Dados'!E$6:E$196,MATCH($C15,'Entrada de Dados'!$A$6:$A$196,0))</f>
        <v/>
      </c>
      <c r="I15" s="243">
        <f>INDEX('Entrada de Dados'!F$6:F$196,MATCH($C15,'Entrada de Dados'!$A$6:$A$196,0))</f>
        <v/>
      </c>
      <c r="J15" s="243">
        <f>INDEX('Entrada de Dados'!G$6:G$196,MATCH($C15,'Entrada de Dados'!$A$6:$A$196,0))</f>
        <v/>
      </c>
      <c r="K15" s="243">
        <f>INDEX('Entrada de Dados'!H$6:H$196,MATCH($C15,'Entrada de Dados'!$A$6:$A$196,0))</f>
        <v/>
      </c>
      <c r="L15" s="243">
        <f>INDEX('Entrada de Dados'!I$6:I$196,MATCH($C15,'Entrada de Dados'!$A$6:$A$196,0))</f>
        <v/>
      </c>
      <c r="M15" s="243">
        <f>INDEX('Entrada de Dados'!J$6:J$196,MATCH($C15,'Entrada de Dados'!$A$6:$A$196,0))</f>
        <v/>
      </c>
      <c r="N15" s="243">
        <f>INDEX('Entrada de Dados'!K$6:K$196,MATCH($C15,'Entrada de Dados'!$A$6:$A$196,0))</f>
        <v/>
      </c>
      <c r="O15" s="243">
        <f>INDEX('Entrada de Dados'!L$6:L$196,MATCH($C15,'Entrada de Dados'!$A$6:$A$196,0))</f>
        <v/>
      </c>
      <c r="P15" s="243">
        <f>INDEX('Entrada de Dados'!M$6:M$196,MATCH($C15,'Entrada de Dados'!$A$6:$A$196,0))</f>
        <v/>
      </c>
      <c r="Q15" s="243">
        <f>INDEX('Entrada de Dados'!N$6:N$196,MATCH($C15,'Entrada de Dados'!$A$6:$A$196,0))</f>
        <v/>
      </c>
      <c r="R15" s="243">
        <f>INDEX('Entrada de Dados'!O$6:O$196,MATCH($C15,'Entrada de Dados'!$A$6:$A$196,0))</f>
        <v/>
      </c>
      <c r="S15" s="243">
        <f>INDEX('Entrada de Dados'!P$6:P$196,MATCH($C15,'Entrada de Dados'!$A$6:$A$196,0))</f>
        <v/>
      </c>
      <c r="T15" s="243">
        <f>INDEX('Entrada de Dados'!Q$6:Q$196,MATCH($C15,'Entrada de Dados'!$A$6:$A$196,0))</f>
        <v/>
      </c>
      <c r="U15" s="243">
        <f>INDEX('Entrada de Dados'!R$6:R$196,MATCH($C15,'Entrada de Dados'!$A$6:$A$196,0))</f>
        <v/>
      </c>
      <c r="V15" s="243">
        <f>INDEX('Entrada de Dados'!S$6:S$196,MATCH($C15,'Entrada de Dados'!$A$6:$A$196,0))</f>
        <v/>
      </c>
      <c r="W15" s="243">
        <f>INDEX('Entrada de Dados'!T$6:T$196,MATCH($C15,'Entrada de Dados'!$A$6:$A$196,0))</f>
        <v/>
      </c>
      <c r="X15" s="243">
        <f>INDEX('Entrada de Dados'!U$6:U$196,MATCH($C15,'Entrada de Dados'!$A$6:$A$196,0))</f>
        <v/>
      </c>
    </row>
    <row r="16">
      <c r="A16" s="241" t="n">
        <v>7</v>
      </c>
      <c r="B16" s="241" t="inlineStr"/>
      <c r="C16" s="241" t="inlineStr">
        <is>
          <t>3078</t>
        </is>
      </c>
      <c r="D16" s="242">
        <f>HYPERLINK("#'CEI PROFª ADRIANA CONSTÂNCIO TR'!A1","CEI PROFª ADRIANA CONSTÂNCIO TRINDADE")</f>
        <v/>
      </c>
      <c r="E16" s="242" t="inlineStr">
        <is>
          <t>ITAIPAVA</t>
        </is>
      </c>
      <c r="F16" s="243">
        <f>INDEX('Entrada de Dados'!C$6:C$196,MATCH($C16,'Entrada de Dados'!$A$6:$A$196,0))</f>
        <v/>
      </c>
      <c r="G16" s="243">
        <f>INDEX('Entrada de Dados'!D$6:D$196,MATCH($C16,'Entrada de Dados'!$A$6:$A$196,0))</f>
        <v/>
      </c>
      <c r="H16" s="243">
        <f>INDEX('Entrada de Dados'!E$6:E$196,MATCH($C16,'Entrada de Dados'!$A$6:$A$196,0))</f>
        <v/>
      </c>
      <c r="I16" s="243">
        <f>INDEX('Entrada de Dados'!F$6:F$196,MATCH($C16,'Entrada de Dados'!$A$6:$A$196,0))</f>
        <v/>
      </c>
      <c r="J16" s="243">
        <f>INDEX('Entrada de Dados'!G$6:G$196,MATCH($C16,'Entrada de Dados'!$A$6:$A$196,0))</f>
        <v/>
      </c>
      <c r="K16" s="243">
        <f>INDEX('Entrada de Dados'!H$6:H$196,MATCH($C16,'Entrada de Dados'!$A$6:$A$196,0))</f>
        <v/>
      </c>
      <c r="L16" s="243">
        <f>INDEX('Entrada de Dados'!I$6:I$196,MATCH($C16,'Entrada de Dados'!$A$6:$A$196,0))</f>
        <v/>
      </c>
      <c r="M16" s="243">
        <f>INDEX('Entrada de Dados'!J$6:J$196,MATCH($C16,'Entrada de Dados'!$A$6:$A$196,0))</f>
        <v/>
      </c>
      <c r="N16" s="243">
        <f>INDEX('Entrada de Dados'!K$6:K$196,MATCH($C16,'Entrada de Dados'!$A$6:$A$196,0))</f>
        <v/>
      </c>
      <c r="O16" s="243">
        <f>INDEX('Entrada de Dados'!L$6:L$196,MATCH($C16,'Entrada de Dados'!$A$6:$A$196,0))</f>
        <v/>
      </c>
      <c r="P16" s="243">
        <f>INDEX('Entrada de Dados'!M$6:M$196,MATCH($C16,'Entrada de Dados'!$A$6:$A$196,0))</f>
        <v/>
      </c>
      <c r="Q16" s="243">
        <f>INDEX('Entrada de Dados'!N$6:N$196,MATCH($C16,'Entrada de Dados'!$A$6:$A$196,0))</f>
        <v/>
      </c>
      <c r="R16" s="243">
        <f>INDEX('Entrada de Dados'!O$6:O$196,MATCH($C16,'Entrada de Dados'!$A$6:$A$196,0))</f>
        <v/>
      </c>
      <c r="S16" s="243">
        <f>INDEX('Entrada de Dados'!P$6:P$196,MATCH($C16,'Entrada de Dados'!$A$6:$A$196,0))</f>
        <v/>
      </c>
      <c r="T16" s="243">
        <f>INDEX('Entrada de Dados'!Q$6:Q$196,MATCH($C16,'Entrada de Dados'!$A$6:$A$196,0))</f>
        <v/>
      </c>
      <c r="U16" s="243">
        <f>INDEX('Entrada de Dados'!R$6:R$196,MATCH($C16,'Entrada de Dados'!$A$6:$A$196,0))</f>
        <v/>
      </c>
      <c r="V16" s="243">
        <f>INDEX('Entrada de Dados'!S$6:S$196,MATCH($C16,'Entrada de Dados'!$A$6:$A$196,0))</f>
        <v/>
      </c>
      <c r="W16" s="243">
        <f>INDEX('Entrada de Dados'!T$6:T$196,MATCH($C16,'Entrada de Dados'!$A$6:$A$196,0))</f>
        <v/>
      </c>
      <c r="X16" s="243">
        <f>INDEX('Entrada de Dados'!U$6:U$196,MATCH($C16,'Entrada de Dados'!$A$6:$A$196,0))</f>
        <v/>
      </c>
    </row>
    <row r="17">
      <c r="A17" s="241" t="n">
        <v>8</v>
      </c>
      <c r="B17" s="241" t="inlineStr"/>
      <c r="C17" s="241" t="inlineStr">
        <is>
          <t>2044</t>
        </is>
      </c>
      <c r="D17" s="242">
        <f>HYPERLINK("#'ESCOLA SANTO ANTÔNIO'!A1","ESCOLA SANTO ANTÔNIO")</f>
        <v/>
      </c>
      <c r="E17" s="242" t="inlineStr">
        <is>
          <t>CUIABÁ</t>
        </is>
      </c>
      <c r="F17" s="243">
        <f>INDEX('Entrada de Dados'!C$6:C$196,MATCH($C17,'Entrada de Dados'!$A$6:$A$196,0))</f>
        <v/>
      </c>
      <c r="G17" s="243">
        <f>INDEX('Entrada de Dados'!D$6:D$196,MATCH($C17,'Entrada de Dados'!$A$6:$A$196,0))</f>
        <v/>
      </c>
      <c r="H17" s="243">
        <f>INDEX('Entrada de Dados'!E$6:E$196,MATCH($C17,'Entrada de Dados'!$A$6:$A$196,0))</f>
        <v/>
      </c>
      <c r="I17" s="243">
        <f>INDEX('Entrada de Dados'!F$6:F$196,MATCH($C17,'Entrada de Dados'!$A$6:$A$196,0))</f>
        <v/>
      </c>
      <c r="J17" s="243">
        <f>INDEX('Entrada de Dados'!G$6:G$196,MATCH($C17,'Entrada de Dados'!$A$6:$A$196,0))</f>
        <v/>
      </c>
      <c r="K17" s="243">
        <f>INDEX('Entrada de Dados'!H$6:H$196,MATCH($C17,'Entrada de Dados'!$A$6:$A$196,0))</f>
        <v/>
      </c>
      <c r="L17" s="243">
        <f>INDEX('Entrada de Dados'!I$6:I$196,MATCH($C17,'Entrada de Dados'!$A$6:$A$196,0))</f>
        <v/>
      </c>
      <c r="M17" s="243">
        <f>INDEX('Entrada de Dados'!J$6:J$196,MATCH($C17,'Entrada de Dados'!$A$6:$A$196,0))</f>
        <v/>
      </c>
      <c r="N17" s="243">
        <f>INDEX('Entrada de Dados'!K$6:K$196,MATCH($C17,'Entrada de Dados'!$A$6:$A$196,0))</f>
        <v/>
      </c>
      <c r="O17" s="243">
        <f>INDEX('Entrada de Dados'!L$6:L$196,MATCH($C17,'Entrada de Dados'!$A$6:$A$196,0))</f>
        <v/>
      </c>
      <c r="P17" s="243">
        <f>INDEX('Entrada de Dados'!M$6:M$196,MATCH($C17,'Entrada de Dados'!$A$6:$A$196,0))</f>
        <v/>
      </c>
      <c r="Q17" s="243">
        <f>INDEX('Entrada de Dados'!N$6:N$196,MATCH($C17,'Entrada de Dados'!$A$6:$A$196,0))</f>
        <v/>
      </c>
      <c r="R17" s="243">
        <f>INDEX('Entrada de Dados'!O$6:O$196,MATCH($C17,'Entrada de Dados'!$A$6:$A$196,0))</f>
        <v/>
      </c>
      <c r="S17" s="243">
        <f>INDEX('Entrada de Dados'!P$6:P$196,MATCH($C17,'Entrada de Dados'!$A$6:$A$196,0))</f>
        <v/>
      </c>
      <c r="T17" s="243">
        <f>INDEX('Entrada de Dados'!Q$6:Q$196,MATCH($C17,'Entrada de Dados'!$A$6:$A$196,0))</f>
        <v/>
      </c>
      <c r="U17" s="243">
        <f>INDEX('Entrada de Dados'!R$6:R$196,MATCH($C17,'Entrada de Dados'!$A$6:$A$196,0))</f>
        <v/>
      </c>
      <c r="V17" s="243">
        <f>INDEX('Entrada de Dados'!S$6:S$196,MATCH($C17,'Entrada de Dados'!$A$6:$A$196,0))</f>
        <v/>
      </c>
      <c r="W17" s="243">
        <f>INDEX('Entrada de Dados'!T$6:T$196,MATCH($C17,'Entrada de Dados'!$A$6:$A$196,0))</f>
        <v/>
      </c>
      <c r="X17" s="243">
        <f>INDEX('Entrada de Dados'!U$6:U$196,MATCH($C17,'Entrada de Dados'!$A$6:$A$196,0))</f>
        <v/>
      </c>
    </row>
    <row r="18">
      <c r="A18" s="241" t="n">
        <v>9</v>
      </c>
      <c r="B18" s="241" t="inlineStr"/>
      <c r="C18" s="241" t="inlineStr">
        <is>
          <t>1049</t>
        </is>
      </c>
      <c r="D18" s="242">
        <f>HYPERLINK("#'E M DR THEODORO MACHADO'!A1","E M DR THEODORO MACHADO")</f>
        <v/>
      </c>
      <c r="E18" s="242" t="inlineStr">
        <is>
          <t>CUIABÁ</t>
        </is>
      </c>
      <c r="F18" s="243">
        <f>INDEX('Entrada de Dados'!C$6:C$196,MATCH($C18,'Entrada de Dados'!$A$6:$A$196,0))</f>
        <v/>
      </c>
      <c r="G18" s="243">
        <f>INDEX('Entrada de Dados'!D$6:D$196,MATCH($C18,'Entrada de Dados'!$A$6:$A$196,0))</f>
        <v/>
      </c>
      <c r="H18" s="243">
        <f>INDEX('Entrada de Dados'!E$6:E$196,MATCH($C18,'Entrada de Dados'!$A$6:$A$196,0))</f>
        <v/>
      </c>
      <c r="I18" s="243">
        <f>INDEX('Entrada de Dados'!F$6:F$196,MATCH($C18,'Entrada de Dados'!$A$6:$A$196,0))</f>
        <v/>
      </c>
      <c r="J18" s="243">
        <f>INDEX('Entrada de Dados'!G$6:G$196,MATCH($C18,'Entrada de Dados'!$A$6:$A$196,0))</f>
        <v/>
      </c>
      <c r="K18" s="243">
        <f>INDEX('Entrada de Dados'!H$6:H$196,MATCH($C18,'Entrada de Dados'!$A$6:$A$196,0))</f>
        <v/>
      </c>
      <c r="L18" s="243">
        <f>INDEX('Entrada de Dados'!I$6:I$196,MATCH($C18,'Entrada de Dados'!$A$6:$A$196,0))</f>
        <v/>
      </c>
      <c r="M18" s="243">
        <f>INDEX('Entrada de Dados'!J$6:J$196,MATCH($C18,'Entrada de Dados'!$A$6:$A$196,0))</f>
        <v/>
      </c>
      <c r="N18" s="243">
        <f>INDEX('Entrada de Dados'!K$6:K$196,MATCH($C18,'Entrada de Dados'!$A$6:$A$196,0))</f>
        <v/>
      </c>
      <c r="O18" s="243">
        <f>INDEX('Entrada de Dados'!L$6:L$196,MATCH($C18,'Entrada de Dados'!$A$6:$A$196,0))</f>
        <v/>
      </c>
      <c r="P18" s="243">
        <f>INDEX('Entrada de Dados'!M$6:M$196,MATCH($C18,'Entrada de Dados'!$A$6:$A$196,0))</f>
        <v/>
      </c>
      <c r="Q18" s="243">
        <f>INDEX('Entrada de Dados'!N$6:N$196,MATCH($C18,'Entrada de Dados'!$A$6:$A$196,0))</f>
        <v/>
      </c>
      <c r="R18" s="243">
        <f>INDEX('Entrada de Dados'!O$6:O$196,MATCH($C18,'Entrada de Dados'!$A$6:$A$196,0))</f>
        <v/>
      </c>
      <c r="S18" s="243">
        <f>INDEX('Entrada de Dados'!P$6:P$196,MATCH($C18,'Entrada de Dados'!$A$6:$A$196,0))</f>
        <v/>
      </c>
      <c r="T18" s="243">
        <f>INDEX('Entrada de Dados'!Q$6:Q$196,MATCH($C18,'Entrada de Dados'!$A$6:$A$196,0))</f>
        <v/>
      </c>
      <c r="U18" s="243">
        <f>INDEX('Entrada de Dados'!R$6:R$196,MATCH($C18,'Entrada de Dados'!$A$6:$A$196,0))</f>
        <v/>
      </c>
      <c r="V18" s="243">
        <f>INDEX('Entrada de Dados'!S$6:S$196,MATCH($C18,'Entrada de Dados'!$A$6:$A$196,0))</f>
        <v/>
      </c>
      <c r="W18" s="243">
        <f>INDEX('Entrada de Dados'!T$6:T$196,MATCH($C18,'Entrada de Dados'!$A$6:$A$196,0))</f>
        <v/>
      </c>
      <c r="X18" s="243">
        <f>INDEX('Entrada de Dados'!U$6:U$196,MATCH($C18,'Entrada de Dados'!$A$6:$A$196,0))</f>
        <v/>
      </c>
    </row>
    <row r="19">
      <c r="A19" s="241" t="n">
        <v>10</v>
      </c>
      <c r="B19" s="241" t="inlineStr"/>
      <c r="C19" s="241" t="inlineStr">
        <is>
          <t>3033</t>
        </is>
      </c>
      <c r="D19" s="242">
        <f>HYPERLINK("#'CEI PREFEITO SÉRGIO FADEL'!A1","CEI PREFEITO SÉRGIO FADEL")</f>
        <v/>
      </c>
      <c r="E19" s="242" t="inlineStr">
        <is>
          <t>MADAME MACHADO</t>
        </is>
      </c>
      <c r="F19" s="243">
        <f>INDEX('Entrada de Dados'!C$6:C$196,MATCH($C19,'Entrada de Dados'!$A$6:$A$196,0))</f>
        <v/>
      </c>
      <c r="G19" s="243">
        <f>INDEX('Entrada de Dados'!D$6:D$196,MATCH($C19,'Entrada de Dados'!$A$6:$A$196,0))</f>
        <v/>
      </c>
      <c r="H19" s="243">
        <f>INDEX('Entrada de Dados'!E$6:E$196,MATCH($C19,'Entrada de Dados'!$A$6:$A$196,0))</f>
        <v/>
      </c>
      <c r="I19" s="243">
        <f>INDEX('Entrada de Dados'!F$6:F$196,MATCH($C19,'Entrada de Dados'!$A$6:$A$196,0))</f>
        <v/>
      </c>
      <c r="J19" s="243">
        <f>INDEX('Entrada de Dados'!G$6:G$196,MATCH($C19,'Entrada de Dados'!$A$6:$A$196,0))</f>
        <v/>
      </c>
      <c r="K19" s="243">
        <f>INDEX('Entrada de Dados'!H$6:H$196,MATCH($C19,'Entrada de Dados'!$A$6:$A$196,0))</f>
        <v/>
      </c>
      <c r="L19" s="243">
        <f>INDEX('Entrada de Dados'!I$6:I$196,MATCH($C19,'Entrada de Dados'!$A$6:$A$196,0))</f>
        <v/>
      </c>
      <c r="M19" s="243">
        <f>INDEX('Entrada de Dados'!J$6:J$196,MATCH($C19,'Entrada de Dados'!$A$6:$A$196,0))</f>
        <v/>
      </c>
      <c r="N19" s="243">
        <f>INDEX('Entrada de Dados'!K$6:K$196,MATCH($C19,'Entrada de Dados'!$A$6:$A$196,0))</f>
        <v/>
      </c>
      <c r="O19" s="243">
        <f>INDEX('Entrada de Dados'!L$6:L$196,MATCH($C19,'Entrada de Dados'!$A$6:$A$196,0))</f>
        <v/>
      </c>
      <c r="P19" s="243">
        <f>INDEX('Entrada de Dados'!M$6:M$196,MATCH($C19,'Entrada de Dados'!$A$6:$A$196,0))</f>
        <v/>
      </c>
      <c r="Q19" s="243">
        <f>INDEX('Entrada de Dados'!N$6:N$196,MATCH($C19,'Entrada de Dados'!$A$6:$A$196,0))</f>
        <v/>
      </c>
      <c r="R19" s="243">
        <f>INDEX('Entrada de Dados'!O$6:O$196,MATCH($C19,'Entrada de Dados'!$A$6:$A$196,0))</f>
        <v/>
      </c>
      <c r="S19" s="243">
        <f>INDEX('Entrada de Dados'!P$6:P$196,MATCH($C19,'Entrada de Dados'!$A$6:$A$196,0))</f>
        <v/>
      </c>
      <c r="T19" s="243">
        <f>INDEX('Entrada de Dados'!Q$6:Q$196,MATCH($C19,'Entrada de Dados'!$A$6:$A$196,0))</f>
        <v/>
      </c>
      <c r="U19" s="243">
        <f>INDEX('Entrada de Dados'!R$6:R$196,MATCH($C19,'Entrada de Dados'!$A$6:$A$196,0))</f>
        <v/>
      </c>
      <c r="V19" s="243">
        <f>INDEX('Entrada de Dados'!S$6:S$196,MATCH($C19,'Entrada de Dados'!$A$6:$A$196,0))</f>
        <v/>
      </c>
      <c r="W19" s="243">
        <f>INDEX('Entrada de Dados'!T$6:T$196,MATCH($C19,'Entrada de Dados'!$A$6:$A$196,0))</f>
        <v/>
      </c>
      <c r="X19" s="243">
        <f>INDEX('Entrada de Dados'!U$6:U$196,MATCH($C19,'Entrada de Dados'!$A$6:$A$196,0))</f>
        <v/>
      </c>
    </row>
    <row r="20">
      <c r="A20" s="241" t="n">
        <v>11</v>
      </c>
      <c r="B20" s="241" t="inlineStr"/>
      <c r="C20" s="241" t="inlineStr">
        <is>
          <t>1043</t>
        </is>
      </c>
      <c r="D20" s="242">
        <f>HYPERLINK("#'E M AMÉLIA ANTUNES RABELLO'!A1","E M AMÉLIA ANTUNES RABELLO")</f>
        <v/>
      </c>
      <c r="E20" s="242" t="inlineStr">
        <is>
          <t>MADAME MACHADO</t>
        </is>
      </c>
      <c r="F20" s="243">
        <f>INDEX('Entrada de Dados'!C$6:C$196,MATCH($C20,'Entrada de Dados'!$A$6:$A$196,0))</f>
        <v/>
      </c>
      <c r="G20" s="243">
        <f>INDEX('Entrada de Dados'!D$6:D$196,MATCH($C20,'Entrada de Dados'!$A$6:$A$196,0))</f>
        <v/>
      </c>
      <c r="H20" s="243">
        <f>INDEX('Entrada de Dados'!E$6:E$196,MATCH($C20,'Entrada de Dados'!$A$6:$A$196,0))</f>
        <v/>
      </c>
      <c r="I20" s="243">
        <f>INDEX('Entrada de Dados'!F$6:F$196,MATCH($C20,'Entrada de Dados'!$A$6:$A$196,0))</f>
        <v/>
      </c>
      <c r="J20" s="243">
        <f>INDEX('Entrada de Dados'!G$6:G$196,MATCH($C20,'Entrada de Dados'!$A$6:$A$196,0))</f>
        <v/>
      </c>
      <c r="K20" s="243">
        <f>INDEX('Entrada de Dados'!H$6:H$196,MATCH($C20,'Entrada de Dados'!$A$6:$A$196,0))</f>
        <v/>
      </c>
      <c r="L20" s="243">
        <f>INDEX('Entrada de Dados'!I$6:I$196,MATCH($C20,'Entrada de Dados'!$A$6:$A$196,0))</f>
        <v/>
      </c>
      <c r="M20" s="243">
        <f>INDEX('Entrada de Dados'!J$6:J$196,MATCH($C20,'Entrada de Dados'!$A$6:$A$196,0))</f>
        <v/>
      </c>
      <c r="N20" s="243">
        <f>INDEX('Entrada de Dados'!K$6:K$196,MATCH($C20,'Entrada de Dados'!$A$6:$A$196,0))</f>
        <v/>
      </c>
      <c r="O20" s="243">
        <f>INDEX('Entrada de Dados'!L$6:L$196,MATCH($C20,'Entrada de Dados'!$A$6:$A$196,0))</f>
        <v/>
      </c>
      <c r="P20" s="243">
        <f>INDEX('Entrada de Dados'!M$6:M$196,MATCH($C20,'Entrada de Dados'!$A$6:$A$196,0))</f>
        <v/>
      </c>
      <c r="Q20" s="243">
        <f>INDEX('Entrada de Dados'!N$6:N$196,MATCH($C20,'Entrada de Dados'!$A$6:$A$196,0))</f>
        <v/>
      </c>
      <c r="R20" s="243">
        <f>INDEX('Entrada de Dados'!O$6:O$196,MATCH($C20,'Entrada de Dados'!$A$6:$A$196,0))</f>
        <v/>
      </c>
      <c r="S20" s="243">
        <f>INDEX('Entrada de Dados'!P$6:P$196,MATCH($C20,'Entrada de Dados'!$A$6:$A$196,0))</f>
        <v/>
      </c>
      <c r="T20" s="243">
        <f>INDEX('Entrada de Dados'!Q$6:Q$196,MATCH($C20,'Entrada de Dados'!$A$6:$A$196,0))</f>
        <v/>
      </c>
      <c r="U20" s="243">
        <f>INDEX('Entrada de Dados'!R$6:R$196,MATCH($C20,'Entrada de Dados'!$A$6:$A$196,0))</f>
        <v/>
      </c>
      <c r="V20" s="243">
        <f>INDEX('Entrada de Dados'!S$6:S$196,MATCH($C20,'Entrada de Dados'!$A$6:$A$196,0))</f>
        <v/>
      </c>
      <c r="W20" s="243">
        <f>INDEX('Entrada de Dados'!T$6:T$196,MATCH($C20,'Entrada de Dados'!$A$6:$A$196,0))</f>
        <v/>
      </c>
      <c r="X20" s="243">
        <f>INDEX('Entrada de Dados'!U$6:U$196,MATCH($C20,'Entrada de Dados'!$A$6:$A$196,0))</f>
        <v/>
      </c>
    </row>
    <row r="21" ht="22" customHeight="1" s="107">
      <c r="A21" s="248" t="inlineStr">
        <is>
          <t>Peso previsto:</t>
        </is>
      </c>
      <c r="C21" s="249">
        <f>SUM(F9:F20)+SUM(G9:G20)+SUM(H9:H20)+SUM(I9:I20)+SUM(J9:J20)+SUM(K9:K20)+SUM(L9:L20)+SUM(M9:M20)+SUM(N9:N20)+SUM(O9:O20)+SUM(P9:P20)+SUM(Q9:Q20)+SUM(R9:R20)+SUM(S9:S20)+SUM(T9:T20)+SUM(U9:U20)+SUM(W9:W20)+SUM(X9:X20)</f>
        <v/>
      </c>
      <c r="D21" s="248" t="inlineStr">
        <is>
          <t>Peso embarcado (kg):</t>
        </is>
      </c>
      <c r="F21" s="250" t="n"/>
      <c r="G21" s="248" t="inlineStr">
        <is>
          <t>Veículo:</t>
        </is>
      </c>
      <c r="I21" s="250" t="n"/>
      <c r="J21" s="251" t="n"/>
      <c r="K21" s="248" t="inlineStr">
        <is>
          <t>Motorista:</t>
        </is>
      </c>
      <c r="M21" s="250" t="n"/>
      <c r="N21" s="252" t="n"/>
      <c r="O21" s="252" t="n"/>
      <c r="P21" s="252" t="n"/>
      <c r="Q21" s="252" t="n"/>
      <c r="R21" s="252" t="n"/>
      <c r="S21" s="252" t="n"/>
      <c r="T21" s="252" t="n"/>
      <c r="U21" s="252" t="n"/>
      <c r="V21" s="252" t="n"/>
      <c r="W21" s="252" t="n"/>
      <c r="X21" s="251" t="n"/>
    </row>
    <row r="23" ht="20" customHeight="1" s="107">
      <c r="A23" s="236" t="inlineStr">
        <is>
          <t>ROTA S2 — ARARAS - VALE DAS VIDEIRAS · KOMBI · 7 escolas · 7 paradas físicas</t>
        </is>
      </c>
    </row>
    <row r="24" ht="26" customHeight="1" s="107">
      <c r="A24" s="238" t="inlineStr">
        <is>
          <t>Sequência-base: Galpão Itaipava &gt; Araras &gt; Vale das Videiras &gt; Galpão   Atenção: Trechos sinuosos e serranos. Moto somente para último trecho confirmado e carga muito pequena.</t>
        </is>
      </c>
    </row>
    <row r="25" ht="30" customHeight="1" s="107">
      <c r="A25" s="240" t="inlineStr">
        <is>
          <t>PAR.</t>
        </is>
      </c>
      <c r="B25" s="240" t="inlineStr">
        <is>
          <t>SUB</t>
        </is>
      </c>
      <c r="C25" s="240" t="inlineStr">
        <is>
          <t>CÓDIGO</t>
        </is>
      </c>
      <c r="D25" s="240" t="inlineStr">
        <is>
          <t>ESCOLA</t>
        </is>
      </c>
      <c r="E25" s="240" t="inlineStr">
        <is>
          <t>BAIRRO/CORREDOR</t>
        </is>
      </c>
      <c r="F25" s="240" t="inlineStr">
        <is>
          <t>Abacate</t>
        </is>
      </c>
      <c r="G25" s="240" t="inlineStr">
        <is>
          <t>Abobrinha</t>
        </is>
      </c>
      <c r="H25" s="240" t="inlineStr">
        <is>
          <t>Agrião</t>
        </is>
      </c>
      <c r="I25" s="240" t="inlineStr">
        <is>
          <t>Alface lisa</t>
        </is>
      </c>
      <c r="J25" s="240" t="inlineStr">
        <is>
          <t>Banana prata</t>
        </is>
      </c>
      <c r="K25" s="240" t="inlineStr">
        <is>
          <t>Batata inglesa</t>
        </is>
      </c>
      <c r="L25" s="240" t="inlineStr">
        <is>
          <t>Beterraba</t>
        </is>
      </c>
      <c r="M25" s="240" t="inlineStr">
        <is>
          <t>Brócolis</t>
        </is>
      </c>
      <c r="N25" s="240" t="inlineStr">
        <is>
          <t>Cenoura</t>
        </is>
      </c>
      <c r="O25" s="240" t="inlineStr">
        <is>
          <t>Cheiro verde</t>
        </is>
      </c>
      <c r="P25" s="240" t="inlineStr">
        <is>
          <t>Chuchu</t>
        </is>
      </c>
      <c r="Q25" s="240" t="inlineStr">
        <is>
          <t>Couve manteiga</t>
        </is>
      </c>
      <c r="R25" s="240" t="inlineStr">
        <is>
          <t>Couve-flor</t>
        </is>
      </c>
      <c r="S25" s="240" t="inlineStr">
        <is>
          <t>Espinafre</t>
        </is>
      </c>
      <c r="T25" s="240" t="inlineStr">
        <is>
          <t>Maçã gala</t>
        </is>
      </c>
      <c r="U25" s="240" t="inlineStr">
        <is>
          <t>Mel</t>
        </is>
      </c>
      <c r="V25" s="240" t="inlineStr">
        <is>
          <t>Ovos (dz)</t>
        </is>
      </c>
      <c r="W25" s="240" t="inlineStr">
        <is>
          <t>Repolho</t>
        </is>
      </c>
      <c r="X25" s="240" t="inlineStr">
        <is>
          <t>Tangerina ponkan</t>
        </is>
      </c>
    </row>
    <row r="26">
      <c r="A26" s="241" t="n">
        <v>1</v>
      </c>
      <c r="B26" s="241" t="inlineStr"/>
      <c r="C26" s="241" t="inlineStr">
        <is>
          <t>3025</t>
        </is>
      </c>
      <c r="D26" s="242">
        <f>HYPERLINK("#'CEI VISTA ALEGRE'!A1","CEI VISTA ALEGRE")</f>
        <v/>
      </c>
      <c r="E26" s="242" t="inlineStr">
        <is>
          <t>ARARAS</t>
        </is>
      </c>
      <c r="F26" s="243">
        <f>INDEX('Entrada de Dados'!C$6:C$196,MATCH($C26,'Entrada de Dados'!$A$6:$A$196,0))</f>
        <v/>
      </c>
      <c r="G26" s="243">
        <f>INDEX('Entrada de Dados'!D$6:D$196,MATCH($C26,'Entrada de Dados'!$A$6:$A$196,0))</f>
        <v/>
      </c>
      <c r="H26" s="243">
        <f>INDEX('Entrada de Dados'!E$6:E$196,MATCH($C26,'Entrada de Dados'!$A$6:$A$196,0))</f>
        <v/>
      </c>
      <c r="I26" s="243">
        <f>INDEX('Entrada de Dados'!F$6:F$196,MATCH($C26,'Entrada de Dados'!$A$6:$A$196,0))</f>
        <v/>
      </c>
      <c r="J26" s="243">
        <f>INDEX('Entrada de Dados'!G$6:G$196,MATCH($C26,'Entrada de Dados'!$A$6:$A$196,0))</f>
        <v/>
      </c>
      <c r="K26" s="243">
        <f>INDEX('Entrada de Dados'!H$6:H$196,MATCH($C26,'Entrada de Dados'!$A$6:$A$196,0))</f>
        <v/>
      </c>
      <c r="L26" s="243">
        <f>INDEX('Entrada de Dados'!I$6:I$196,MATCH($C26,'Entrada de Dados'!$A$6:$A$196,0))</f>
        <v/>
      </c>
      <c r="M26" s="243">
        <f>INDEX('Entrada de Dados'!J$6:J$196,MATCH($C26,'Entrada de Dados'!$A$6:$A$196,0))</f>
        <v/>
      </c>
      <c r="N26" s="243">
        <f>INDEX('Entrada de Dados'!K$6:K$196,MATCH($C26,'Entrada de Dados'!$A$6:$A$196,0))</f>
        <v/>
      </c>
      <c r="O26" s="243">
        <f>INDEX('Entrada de Dados'!L$6:L$196,MATCH($C26,'Entrada de Dados'!$A$6:$A$196,0))</f>
        <v/>
      </c>
      <c r="P26" s="243">
        <f>INDEX('Entrada de Dados'!M$6:M$196,MATCH($C26,'Entrada de Dados'!$A$6:$A$196,0))</f>
        <v/>
      </c>
      <c r="Q26" s="243">
        <f>INDEX('Entrada de Dados'!N$6:N$196,MATCH($C26,'Entrada de Dados'!$A$6:$A$196,0))</f>
        <v/>
      </c>
      <c r="R26" s="243">
        <f>INDEX('Entrada de Dados'!O$6:O$196,MATCH($C26,'Entrada de Dados'!$A$6:$A$196,0))</f>
        <v/>
      </c>
      <c r="S26" s="243">
        <f>INDEX('Entrada de Dados'!P$6:P$196,MATCH($C26,'Entrada de Dados'!$A$6:$A$196,0))</f>
        <v/>
      </c>
      <c r="T26" s="243">
        <f>INDEX('Entrada de Dados'!Q$6:Q$196,MATCH($C26,'Entrada de Dados'!$A$6:$A$196,0))</f>
        <v/>
      </c>
      <c r="U26" s="243">
        <f>INDEX('Entrada de Dados'!R$6:R$196,MATCH($C26,'Entrada de Dados'!$A$6:$A$196,0))</f>
        <v/>
      </c>
      <c r="V26" s="243">
        <f>INDEX('Entrada de Dados'!S$6:S$196,MATCH($C26,'Entrada de Dados'!$A$6:$A$196,0))</f>
        <v/>
      </c>
      <c r="W26" s="243">
        <f>INDEX('Entrada de Dados'!T$6:T$196,MATCH($C26,'Entrada de Dados'!$A$6:$A$196,0))</f>
        <v/>
      </c>
      <c r="X26" s="243">
        <f>INDEX('Entrada de Dados'!U$6:U$196,MATCH($C26,'Entrada de Dados'!$A$6:$A$196,0))</f>
        <v/>
      </c>
    </row>
    <row r="27">
      <c r="A27" s="241" t="n">
        <v>2</v>
      </c>
      <c r="B27" s="241" t="inlineStr"/>
      <c r="C27" s="241" t="inlineStr">
        <is>
          <t>3077</t>
        </is>
      </c>
      <c r="D27" s="242">
        <f>HYPERLINK("#'CEI VIDEIRINHA'!A1","CEI VIDEIRINHA")</f>
        <v/>
      </c>
      <c r="E27" s="242" t="inlineStr">
        <is>
          <t>ARARAS</t>
        </is>
      </c>
      <c r="F27" s="243">
        <f>INDEX('Entrada de Dados'!C$6:C$196,MATCH($C27,'Entrada de Dados'!$A$6:$A$196,0))</f>
        <v/>
      </c>
      <c r="G27" s="243">
        <f>INDEX('Entrada de Dados'!D$6:D$196,MATCH($C27,'Entrada de Dados'!$A$6:$A$196,0))</f>
        <v/>
      </c>
      <c r="H27" s="243">
        <f>INDEX('Entrada de Dados'!E$6:E$196,MATCH($C27,'Entrada de Dados'!$A$6:$A$196,0))</f>
        <v/>
      </c>
      <c r="I27" s="243">
        <f>INDEX('Entrada de Dados'!F$6:F$196,MATCH($C27,'Entrada de Dados'!$A$6:$A$196,0))</f>
        <v/>
      </c>
      <c r="J27" s="243">
        <f>INDEX('Entrada de Dados'!G$6:G$196,MATCH($C27,'Entrada de Dados'!$A$6:$A$196,0))</f>
        <v/>
      </c>
      <c r="K27" s="243">
        <f>INDEX('Entrada de Dados'!H$6:H$196,MATCH($C27,'Entrada de Dados'!$A$6:$A$196,0))</f>
        <v/>
      </c>
      <c r="L27" s="243">
        <f>INDEX('Entrada de Dados'!I$6:I$196,MATCH($C27,'Entrada de Dados'!$A$6:$A$196,0))</f>
        <v/>
      </c>
      <c r="M27" s="243">
        <f>INDEX('Entrada de Dados'!J$6:J$196,MATCH($C27,'Entrada de Dados'!$A$6:$A$196,0))</f>
        <v/>
      </c>
      <c r="N27" s="243">
        <f>INDEX('Entrada de Dados'!K$6:K$196,MATCH($C27,'Entrada de Dados'!$A$6:$A$196,0))</f>
        <v/>
      </c>
      <c r="O27" s="243">
        <f>INDEX('Entrada de Dados'!L$6:L$196,MATCH($C27,'Entrada de Dados'!$A$6:$A$196,0))</f>
        <v/>
      </c>
      <c r="P27" s="243">
        <f>INDEX('Entrada de Dados'!M$6:M$196,MATCH($C27,'Entrada de Dados'!$A$6:$A$196,0))</f>
        <v/>
      </c>
      <c r="Q27" s="243">
        <f>INDEX('Entrada de Dados'!N$6:N$196,MATCH($C27,'Entrada de Dados'!$A$6:$A$196,0))</f>
        <v/>
      </c>
      <c r="R27" s="243">
        <f>INDEX('Entrada de Dados'!O$6:O$196,MATCH($C27,'Entrada de Dados'!$A$6:$A$196,0))</f>
        <v/>
      </c>
      <c r="S27" s="243">
        <f>INDEX('Entrada de Dados'!P$6:P$196,MATCH($C27,'Entrada de Dados'!$A$6:$A$196,0))</f>
        <v/>
      </c>
      <c r="T27" s="243">
        <f>INDEX('Entrada de Dados'!Q$6:Q$196,MATCH($C27,'Entrada de Dados'!$A$6:$A$196,0))</f>
        <v/>
      </c>
      <c r="U27" s="243">
        <f>INDEX('Entrada de Dados'!R$6:R$196,MATCH($C27,'Entrada de Dados'!$A$6:$A$196,0))</f>
        <v/>
      </c>
      <c r="V27" s="243">
        <f>INDEX('Entrada de Dados'!S$6:S$196,MATCH($C27,'Entrada de Dados'!$A$6:$A$196,0))</f>
        <v/>
      </c>
      <c r="W27" s="243">
        <f>INDEX('Entrada de Dados'!T$6:T$196,MATCH($C27,'Entrada de Dados'!$A$6:$A$196,0))</f>
        <v/>
      </c>
      <c r="X27" s="243">
        <f>INDEX('Entrada de Dados'!U$6:U$196,MATCH($C27,'Entrada de Dados'!$A$6:$A$196,0))</f>
        <v/>
      </c>
    </row>
    <row r="28">
      <c r="A28" s="241" t="n">
        <v>3</v>
      </c>
      <c r="B28" s="241" t="inlineStr"/>
      <c r="C28" s="241" t="inlineStr">
        <is>
          <t>3056</t>
        </is>
      </c>
      <c r="D28" s="242">
        <f>HYPERLINK("#'CEI DENISE BESSA DE OLIVA MAYA'!A1","CEI DENISE BESSA DE OLIVA MAYA")</f>
        <v/>
      </c>
      <c r="E28" s="242" t="inlineStr">
        <is>
          <t>ARARAS</t>
        </is>
      </c>
      <c r="F28" s="243">
        <f>INDEX('Entrada de Dados'!C$6:C$196,MATCH($C28,'Entrada de Dados'!$A$6:$A$196,0))</f>
        <v/>
      </c>
      <c r="G28" s="243">
        <f>INDEX('Entrada de Dados'!D$6:D$196,MATCH($C28,'Entrada de Dados'!$A$6:$A$196,0))</f>
        <v/>
      </c>
      <c r="H28" s="243">
        <f>INDEX('Entrada de Dados'!E$6:E$196,MATCH($C28,'Entrada de Dados'!$A$6:$A$196,0))</f>
        <v/>
      </c>
      <c r="I28" s="243">
        <f>INDEX('Entrada de Dados'!F$6:F$196,MATCH($C28,'Entrada de Dados'!$A$6:$A$196,0))</f>
        <v/>
      </c>
      <c r="J28" s="243">
        <f>INDEX('Entrada de Dados'!G$6:G$196,MATCH($C28,'Entrada de Dados'!$A$6:$A$196,0))</f>
        <v/>
      </c>
      <c r="K28" s="243">
        <f>INDEX('Entrada de Dados'!H$6:H$196,MATCH($C28,'Entrada de Dados'!$A$6:$A$196,0))</f>
        <v/>
      </c>
      <c r="L28" s="243">
        <f>INDEX('Entrada de Dados'!I$6:I$196,MATCH($C28,'Entrada de Dados'!$A$6:$A$196,0))</f>
        <v/>
      </c>
      <c r="M28" s="243">
        <f>INDEX('Entrada de Dados'!J$6:J$196,MATCH($C28,'Entrada de Dados'!$A$6:$A$196,0))</f>
        <v/>
      </c>
      <c r="N28" s="243">
        <f>INDEX('Entrada de Dados'!K$6:K$196,MATCH($C28,'Entrada de Dados'!$A$6:$A$196,0))</f>
        <v/>
      </c>
      <c r="O28" s="243">
        <f>INDEX('Entrada de Dados'!L$6:L$196,MATCH($C28,'Entrada de Dados'!$A$6:$A$196,0))</f>
        <v/>
      </c>
      <c r="P28" s="243">
        <f>INDEX('Entrada de Dados'!M$6:M$196,MATCH($C28,'Entrada de Dados'!$A$6:$A$196,0))</f>
        <v/>
      </c>
      <c r="Q28" s="243">
        <f>INDEX('Entrada de Dados'!N$6:N$196,MATCH($C28,'Entrada de Dados'!$A$6:$A$196,0))</f>
        <v/>
      </c>
      <c r="R28" s="243">
        <f>INDEX('Entrada de Dados'!O$6:O$196,MATCH($C28,'Entrada de Dados'!$A$6:$A$196,0))</f>
        <v/>
      </c>
      <c r="S28" s="243">
        <f>INDEX('Entrada de Dados'!P$6:P$196,MATCH($C28,'Entrada de Dados'!$A$6:$A$196,0))</f>
        <v/>
      </c>
      <c r="T28" s="243">
        <f>INDEX('Entrada de Dados'!Q$6:Q$196,MATCH($C28,'Entrada de Dados'!$A$6:$A$196,0))</f>
        <v/>
      </c>
      <c r="U28" s="243">
        <f>INDEX('Entrada de Dados'!R$6:R$196,MATCH($C28,'Entrada de Dados'!$A$6:$A$196,0))</f>
        <v/>
      </c>
      <c r="V28" s="243">
        <f>INDEX('Entrada de Dados'!S$6:S$196,MATCH($C28,'Entrada de Dados'!$A$6:$A$196,0))</f>
        <v/>
      </c>
      <c r="W28" s="243">
        <f>INDEX('Entrada de Dados'!T$6:T$196,MATCH($C28,'Entrada de Dados'!$A$6:$A$196,0))</f>
        <v/>
      </c>
      <c r="X28" s="243">
        <f>INDEX('Entrada de Dados'!U$6:U$196,MATCH($C28,'Entrada de Dados'!$A$6:$A$196,0))</f>
        <v/>
      </c>
    </row>
    <row r="29">
      <c r="A29" s="241" t="n">
        <v>4</v>
      </c>
      <c r="B29" s="241" t="inlineStr"/>
      <c r="C29" s="241" t="inlineStr">
        <is>
          <t>2033</t>
        </is>
      </c>
      <c r="D29" s="242">
        <f>HYPERLINK("#'COLÉGIO ANGLICANO DE ARARAS'!A1","COLÉGIO ANGLICANO DE ARARAS")</f>
        <v/>
      </c>
      <c r="E29" s="242" t="inlineStr">
        <is>
          <t>ARARAS</t>
        </is>
      </c>
      <c r="F29" s="243">
        <f>INDEX('Entrada de Dados'!C$6:C$196,MATCH($C29,'Entrada de Dados'!$A$6:$A$196,0))</f>
        <v/>
      </c>
      <c r="G29" s="243">
        <f>INDEX('Entrada de Dados'!D$6:D$196,MATCH($C29,'Entrada de Dados'!$A$6:$A$196,0))</f>
        <v/>
      </c>
      <c r="H29" s="243">
        <f>INDEX('Entrada de Dados'!E$6:E$196,MATCH($C29,'Entrada de Dados'!$A$6:$A$196,0))</f>
        <v/>
      </c>
      <c r="I29" s="243">
        <f>INDEX('Entrada de Dados'!F$6:F$196,MATCH($C29,'Entrada de Dados'!$A$6:$A$196,0))</f>
        <v/>
      </c>
      <c r="J29" s="243">
        <f>INDEX('Entrada de Dados'!G$6:G$196,MATCH($C29,'Entrada de Dados'!$A$6:$A$196,0))</f>
        <v/>
      </c>
      <c r="K29" s="243">
        <f>INDEX('Entrada de Dados'!H$6:H$196,MATCH($C29,'Entrada de Dados'!$A$6:$A$196,0))</f>
        <v/>
      </c>
      <c r="L29" s="243">
        <f>INDEX('Entrada de Dados'!I$6:I$196,MATCH($C29,'Entrada de Dados'!$A$6:$A$196,0))</f>
        <v/>
      </c>
      <c r="M29" s="243">
        <f>INDEX('Entrada de Dados'!J$6:J$196,MATCH($C29,'Entrada de Dados'!$A$6:$A$196,0))</f>
        <v/>
      </c>
      <c r="N29" s="243">
        <f>INDEX('Entrada de Dados'!K$6:K$196,MATCH($C29,'Entrada de Dados'!$A$6:$A$196,0))</f>
        <v/>
      </c>
      <c r="O29" s="243">
        <f>INDEX('Entrada de Dados'!L$6:L$196,MATCH($C29,'Entrada de Dados'!$A$6:$A$196,0))</f>
        <v/>
      </c>
      <c r="P29" s="243">
        <f>INDEX('Entrada de Dados'!M$6:M$196,MATCH($C29,'Entrada de Dados'!$A$6:$A$196,0))</f>
        <v/>
      </c>
      <c r="Q29" s="243">
        <f>INDEX('Entrada de Dados'!N$6:N$196,MATCH($C29,'Entrada de Dados'!$A$6:$A$196,0))</f>
        <v/>
      </c>
      <c r="R29" s="243">
        <f>INDEX('Entrada de Dados'!O$6:O$196,MATCH($C29,'Entrada de Dados'!$A$6:$A$196,0))</f>
        <v/>
      </c>
      <c r="S29" s="243">
        <f>INDEX('Entrada de Dados'!P$6:P$196,MATCH($C29,'Entrada de Dados'!$A$6:$A$196,0))</f>
        <v/>
      </c>
      <c r="T29" s="243">
        <f>INDEX('Entrada de Dados'!Q$6:Q$196,MATCH($C29,'Entrada de Dados'!$A$6:$A$196,0))</f>
        <v/>
      </c>
      <c r="U29" s="243">
        <f>INDEX('Entrada de Dados'!R$6:R$196,MATCH($C29,'Entrada de Dados'!$A$6:$A$196,0))</f>
        <v/>
      </c>
      <c r="V29" s="243">
        <f>INDEX('Entrada de Dados'!S$6:S$196,MATCH($C29,'Entrada de Dados'!$A$6:$A$196,0))</f>
        <v/>
      </c>
      <c r="W29" s="243">
        <f>INDEX('Entrada de Dados'!T$6:T$196,MATCH($C29,'Entrada de Dados'!$A$6:$A$196,0))</f>
        <v/>
      </c>
      <c r="X29" s="243">
        <f>INDEX('Entrada de Dados'!U$6:U$196,MATCH($C29,'Entrada de Dados'!$A$6:$A$196,0))</f>
        <v/>
      </c>
    </row>
    <row r="30">
      <c r="A30" s="241" t="n">
        <v>5</v>
      </c>
      <c r="B30" s="241" t="inlineStr"/>
      <c r="C30" s="241" t="inlineStr">
        <is>
          <t>1040</t>
        </is>
      </c>
      <c r="D30" s="242">
        <f>HYPERLINK("#'ESCOLA MUNICIPAL PROFESSOR PAUL'!A1","ESCOLA MUNICIPAL PROFESSOR PAULO MONTE")</f>
        <v/>
      </c>
      <c r="E30" s="242" t="inlineStr">
        <is>
          <t>ARARAS</t>
        </is>
      </c>
      <c r="F30" s="243">
        <f>INDEX('Entrada de Dados'!C$6:C$196,MATCH($C30,'Entrada de Dados'!$A$6:$A$196,0))</f>
        <v/>
      </c>
      <c r="G30" s="243">
        <f>INDEX('Entrada de Dados'!D$6:D$196,MATCH($C30,'Entrada de Dados'!$A$6:$A$196,0))</f>
        <v/>
      </c>
      <c r="H30" s="243">
        <f>INDEX('Entrada de Dados'!E$6:E$196,MATCH($C30,'Entrada de Dados'!$A$6:$A$196,0))</f>
        <v/>
      </c>
      <c r="I30" s="243">
        <f>INDEX('Entrada de Dados'!F$6:F$196,MATCH($C30,'Entrada de Dados'!$A$6:$A$196,0))</f>
        <v/>
      </c>
      <c r="J30" s="243">
        <f>INDEX('Entrada de Dados'!G$6:G$196,MATCH($C30,'Entrada de Dados'!$A$6:$A$196,0))</f>
        <v/>
      </c>
      <c r="K30" s="243">
        <f>INDEX('Entrada de Dados'!H$6:H$196,MATCH($C30,'Entrada de Dados'!$A$6:$A$196,0))</f>
        <v/>
      </c>
      <c r="L30" s="243">
        <f>INDEX('Entrada de Dados'!I$6:I$196,MATCH($C30,'Entrada de Dados'!$A$6:$A$196,0))</f>
        <v/>
      </c>
      <c r="M30" s="243">
        <f>INDEX('Entrada de Dados'!J$6:J$196,MATCH($C30,'Entrada de Dados'!$A$6:$A$196,0))</f>
        <v/>
      </c>
      <c r="N30" s="243">
        <f>INDEX('Entrada de Dados'!K$6:K$196,MATCH($C30,'Entrada de Dados'!$A$6:$A$196,0))</f>
        <v/>
      </c>
      <c r="O30" s="243">
        <f>INDEX('Entrada de Dados'!L$6:L$196,MATCH($C30,'Entrada de Dados'!$A$6:$A$196,0))</f>
        <v/>
      </c>
      <c r="P30" s="243">
        <f>INDEX('Entrada de Dados'!M$6:M$196,MATCH($C30,'Entrada de Dados'!$A$6:$A$196,0))</f>
        <v/>
      </c>
      <c r="Q30" s="243">
        <f>INDEX('Entrada de Dados'!N$6:N$196,MATCH($C30,'Entrada de Dados'!$A$6:$A$196,0))</f>
        <v/>
      </c>
      <c r="R30" s="243">
        <f>INDEX('Entrada de Dados'!O$6:O$196,MATCH($C30,'Entrada de Dados'!$A$6:$A$196,0))</f>
        <v/>
      </c>
      <c r="S30" s="243">
        <f>INDEX('Entrada de Dados'!P$6:P$196,MATCH($C30,'Entrada de Dados'!$A$6:$A$196,0))</f>
        <v/>
      </c>
      <c r="T30" s="243">
        <f>INDEX('Entrada de Dados'!Q$6:Q$196,MATCH($C30,'Entrada de Dados'!$A$6:$A$196,0))</f>
        <v/>
      </c>
      <c r="U30" s="243">
        <f>INDEX('Entrada de Dados'!R$6:R$196,MATCH($C30,'Entrada de Dados'!$A$6:$A$196,0))</f>
        <v/>
      </c>
      <c r="V30" s="243">
        <f>INDEX('Entrada de Dados'!S$6:S$196,MATCH($C30,'Entrada de Dados'!$A$6:$A$196,0))</f>
        <v/>
      </c>
      <c r="W30" s="243">
        <f>INDEX('Entrada de Dados'!T$6:T$196,MATCH($C30,'Entrada de Dados'!$A$6:$A$196,0))</f>
        <v/>
      </c>
      <c r="X30" s="243">
        <f>INDEX('Entrada de Dados'!U$6:U$196,MATCH($C30,'Entrada de Dados'!$A$6:$A$196,0))</f>
        <v/>
      </c>
    </row>
    <row r="31">
      <c r="A31" s="241" t="n">
        <v>6</v>
      </c>
      <c r="B31" s="241" t="inlineStr"/>
      <c r="C31" s="241" t="inlineStr">
        <is>
          <t>2039</t>
        </is>
      </c>
      <c r="D31" s="242">
        <f>HYPERLINK("#'ESCOLA PAROQUIAL SANTA BERNADET'!A1","ESCOLA PAROQUIAL SANTA BERNADETE")</f>
        <v/>
      </c>
      <c r="E31" s="242" t="inlineStr">
        <is>
          <t>ARARAS</t>
        </is>
      </c>
      <c r="F31" s="243">
        <f>INDEX('Entrada de Dados'!C$6:C$196,MATCH($C31,'Entrada de Dados'!$A$6:$A$196,0))</f>
        <v/>
      </c>
      <c r="G31" s="243">
        <f>INDEX('Entrada de Dados'!D$6:D$196,MATCH($C31,'Entrada de Dados'!$A$6:$A$196,0))</f>
        <v/>
      </c>
      <c r="H31" s="243">
        <f>INDEX('Entrada de Dados'!E$6:E$196,MATCH($C31,'Entrada de Dados'!$A$6:$A$196,0))</f>
        <v/>
      </c>
      <c r="I31" s="243">
        <f>INDEX('Entrada de Dados'!F$6:F$196,MATCH($C31,'Entrada de Dados'!$A$6:$A$196,0))</f>
        <v/>
      </c>
      <c r="J31" s="243">
        <f>INDEX('Entrada de Dados'!G$6:G$196,MATCH($C31,'Entrada de Dados'!$A$6:$A$196,0))</f>
        <v/>
      </c>
      <c r="K31" s="243">
        <f>INDEX('Entrada de Dados'!H$6:H$196,MATCH($C31,'Entrada de Dados'!$A$6:$A$196,0))</f>
        <v/>
      </c>
      <c r="L31" s="243">
        <f>INDEX('Entrada de Dados'!I$6:I$196,MATCH($C31,'Entrada de Dados'!$A$6:$A$196,0))</f>
        <v/>
      </c>
      <c r="M31" s="243">
        <f>INDEX('Entrada de Dados'!J$6:J$196,MATCH($C31,'Entrada de Dados'!$A$6:$A$196,0))</f>
        <v/>
      </c>
      <c r="N31" s="243">
        <f>INDEX('Entrada de Dados'!K$6:K$196,MATCH($C31,'Entrada de Dados'!$A$6:$A$196,0))</f>
        <v/>
      </c>
      <c r="O31" s="243">
        <f>INDEX('Entrada de Dados'!L$6:L$196,MATCH($C31,'Entrada de Dados'!$A$6:$A$196,0))</f>
        <v/>
      </c>
      <c r="P31" s="243">
        <f>INDEX('Entrada de Dados'!M$6:M$196,MATCH($C31,'Entrada de Dados'!$A$6:$A$196,0))</f>
        <v/>
      </c>
      <c r="Q31" s="243">
        <f>INDEX('Entrada de Dados'!N$6:N$196,MATCH($C31,'Entrada de Dados'!$A$6:$A$196,0))</f>
        <v/>
      </c>
      <c r="R31" s="243">
        <f>INDEX('Entrada de Dados'!O$6:O$196,MATCH($C31,'Entrada de Dados'!$A$6:$A$196,0))</f>
        <v/>
      </c>
      <c r="S31" s="243">
        <f>INDEX('Entrada de Dados'!P$6:P$196,MATCH($C31,'Entrada de Dados'!$A$6:$A$196,0))</f>
        <v/>
      </c>
      <c r="T31" s="243">
        <f>INDEX('Entrada de Dados'!Q$6:Q$196,MATCH($C31,'Entrada de Dados'!$A$6:$A$196,0))</f>
        <v/>
      </c>
      <c r="U31" s="243">
        <f>INDEX('Entrada de Dados'!R$6:R$196,MATCH($C31,'Entrada de Dados'!$A$6:$A$196,0))</f>
        <v/>
      </c>
      <c r="V31" s="243">
        <f>INDEX('Entrada de Dados'!S$6:S$196,MATCH($C31,'Entrada de Dados'!$A$6:$A$196,0))</f>
        <v/>
      </c>
      <c r="W31" s="243">
        <f>INDEX('Entrada de Dados'!T$6:T$196,MATCH($C31,'Entrada de Dados'!$A$6:$A$196,0))</f>
        <v/>
      </c>
      <c r="X31" s="243">
        <f>INDEX('Entrada de Dados'!U$6:U$196,MATCH($C31,'Entrada de Dados'!$A$6:$A$196,0))</f>
        <v/>
      </c>
    </row>
    <row r="32">
      <c r="A32" s="241" t="n">
        <v>7</v>
      </c>
      <c r="B32" s="241" t="inlineStr"/>
      <c r="C32" s="241" t="inlineStr">
        <is>
          <t>1097</t>
        </is>
      </c>
      <c r="D32" s="242">
        <f>HYPERLINK("#'E M AMÉRICO FERNANDES RIBEIRO'!A1","E M AMÉRICO FERNANDES RIBEIRO")</f>
        <v/>
      </c>
      <c r="E32" s="242" t="inlineStr">
        <is>
          <t>VALE DAS VIDEIRAS</t>
        </is>
      </c>
      <c r="F32" s="243">
        <f>INDEX('Entrada de Dados'!C$6:C$196,MATCH($C32,'Entrada de Dados'!$A$6:$A$196,0))</f>
        <v/>
      </c>
      <c r="G32" s="243">
        <f>INDEX('Entrada de Dados'!D$6:D$196,MATCH($C32,'Entrada de Dados'!$A$6:$A$196,0))</f>
        <v/>
      </c>
      <c r="H32" s="243">
        <f>INDEX('Entrada de Dados'!E$6:E$196,MATCH($C32,'Entrada de Dados'!$A$6:$A$196,0))</f>
        <v/>
      </c>
      <c r="I32" s="243">
        <f>INDEX('Entrada de Dados'!F$6:F$196,MATCH($C32,'Entrada de Dados'!$A$6:$A$196,0))</f>
        <v/>
      </c>
      <c r="J32" s="243">
        <f>INDEX('Entrada de Dados'!G$6:G$196,MATCH($C32,'Entrada de Dados'!$A$6:$A$196,0))</f>
        <v/>
      </c>
      <c r="K32" s="243">
        <f>INDEX('Entrada de Dados'!H$6:H$196,MATCH($C32,'Entrada de Dados'!$A$6:$A$196,0))</f>
        <v/>
      </c>
      <c r="L32" s="243">
        <f>INDEX('Entrada de Dados'!I$6:I$196,MATCH($C32,'Entrada de Dados'!$A$6:$A$196,0))</f>
        <v/>
      </c>
      <c r="M32" s="243">
        <f>INDEX('Entrada de Dados'!J$6:J$196,MATCH($C32,'Entrada de Dados'!$A$6:$A$196,0))</f>
        <v/>
      </c>
      <c r="N32" s="243">
        <f>INDEX('Entrada de Dados'!K$6:K$196,MATCH($C32,'Entrada de Dados'!$A$6:$A$196,0))</f>
        <v/>
      </c>
      <c r="O32" s="243">
        <f>INDEX('Entrada de Dados'!L$6:L$196,MATCH($C32,'Entrada de Dados'!$A$6:$A$196,0))</f>
        <v/>
      </c>
      <c r="P32" s="243">
        <f>INDEX('Entrada de Dados'!M$6:M$196,MATCH($C32,'Entrada de Dados'!$A$6:$A$196,0))</f>
        <v/>
      </c>
      <c r="Q32" s="243">
        <f>INDEX('Entrada de Dados'!N$6:N$196,MATCH($C32,'Entrada de Dados'!$A$6:$A$196,0))</f>
        <v/>
      </c>
      <c r="R32" s="243">
        <f>INDEX('Entrada de Dados'!O$6:O$196,MATCH($C32,'Entrada de Dados'!$A$6:$A$196,0))</f>
        <v/>
      </c>
      <c r="S32" s="243">
        <f>INDEX('Entrada de Dados'!P$6:P$196,MATCH($C32,'Entrada de Dados'!$A$6:$A$196,0))</f>
        <v/>
      </c>
      <c r="T32" s="243">
        <f>INDEX('Entrada de Dados'!Q$6:Q$196,MATCH($C32,'Entrada de Dados'!$A$6:$A$196,0))</f>
        <v/>
      </c>
      <c r="U32" s="243">
        <f>INDEX('Entrada de Dados'!R$6:R$196,MATCH($C32,'Entrada de Dados'!$A$6:$A$196,0))</f>
        <v/>
      </c>
      <c r="V32" s="243">
        <f>INDEX('Entrada de Dados'!S$6:S$196,MATCH($C32,'Entrada de Dados'!$A$6:$A$196,0))</f>
        <v/>
      </c>
      <c r="W32" s="243">
        <f>INDEX('Entrada de Dados'!T$6:T$196,MATCH($C32,'Entrada de Dados'!$A$6:$A$196,0))</f>
        <v/>
      </c>
      <c r="X32" s="243">
        <f>INDEX('Entrada de Dados'!U$6:U$196,MATCH($C32,'Entrada de Dados'!$A$6:$A$196,0))</f>
        <v/>
      </c>
    </row>
    <row r="33" ht="22" customHeight="1" s="107">
      <c r="A33" s="248" t="inlineStr">
        <is>
          <t>Peso previsto:</t>
        </is>
      </c>
      <c r="C33" s="249">
        <f>SUM(F26:F32)+SUM(G26:G32)+SUM(H26:H32)+SUM(I26:I32)+SUM(J26:J32)+SUM(K26:K32)+SUM(L26:L32)+SUM(M26:M32)+SUM(N26:N32)+SUM(O26:O32)+SUM(P26:P32)+SUM(Q26:Q32)+SUM(R26:R32)+SUM(S26:S32)+SUM(T26:T32)+SUM(U26:U32)+SUM(W26:W32)+SUM(X26:X32)</f>
        <v/>
      </c>
      <c r="D33" s="248" t="inlineStr">
        <is>
          <t>Peso embarcado (kg):</t>
        </is>
      </c>
      <c r="F33" s="250" t="n"/>
      <c r="G33" s="248" t="inlineStr">
        <is>
          <t>Veículo:</t>
        </is>
      </c>
      <c r="I33" s="250" t="n"/>
      <c r="J33" s="251" t="n"/>
      <c r="K33" s="248" t="inlineStr">
        <is>
          <t>Motorista:</t>
        </is>
      </c>
      <c r="M33" s="250" t="n"/>
      <c r="N33" s="252" t="n"/>
      <c r="O33" s="252" t="n"/>
      <c r="P33" s="252" t="n"/>
      <c r="Q33" s="252" t="n"/>
      <c r="R33" s="252" t="n"/>
      <c r="S33" s="252" t="n"/>
      <c r="T33" s="252" t="n"/>
      <c r="U33" s="252" t="n"/>
      <c r="V33" s="252" t="n"/>
      <c r="W33" s="252" t="n"/>
      <c r="X33" s="251" t="n"/>
    </row>
    <row r="35" ht="20" customHeight="1" s="107">
      <c r="A35" s="236" t="inlineStr">
        <is>
          <t>ROTA S3 — NOGUEIRA - CORRÊAS - CASTELO SÃO MANOEL · CAMINHÃO MÉDIO · 16 escolas · 16 paradas físicas</t>
        </is>
      </c>
    </row>
    <row r="36" ht="26" customHeight="1" s="107">
      <c r="A36" s="238" t="inlineStr">
        <is>
          <t>Sequência-base: Galpão Itaipava &gt; Nogueira &gt; Corrêas &gt; Castelo São Manoel &gt; Galpão   Atenção: O CEI Therezinha de Jesus Lima foi transferido para este bloco porque o endereço fica em Corrêas.</t>
        </is>
      </c>
    </row>
    <row r="37" ht="30" customHeight="1" s="107">
      <c r="A37" s="240" t="inlineStr">
        <is>
          <t>PAR.</t>
        </is>
      </c>
      <c r="B37" s="240" t="inlineStr">
        <is>
          <t>SUB</t>
        </is>
      </c>
      <c r="C37" s="240" t="inlineStr">
        <is>
          <t>CÓDIGO</t>
        </is>
      </c>
      <c r="D37" s="240" t="inlineStr">
        <is>
          <t>ESCOLA</t>
        </is>
      </c>
      <c r="E37" s="240" t="inlineStr">
        <is>
          <t>BAIRRO/CORREDOR</t>
        </is>
      </c>
      <c r="F37" s="240" t="inlineStr">
        <is>
          <t>Abacate</t>
        </is>
      </c>
      <c r="G37" s="240" t="inlineStr">
        <is>
          <t>Abobrinha</t>
        </is>
      </c>
      <c r="H37" s="240" t="inlineStr">
        <is>
          <t>Agrião</t>
        </is>
      </c>
      <c r="I37" s="240" t="inlineStr">
        <is>
          <t>Alface lisa</t>
        </is>
      </c>
      <c r="J37" s="240" t="inlineStr">
        <is>
          <t>Banana prata</t>
        </is>
      </c>
      <c r="K37" s="240" t="inlineStr">
        <is>
          <t>Batata inglesa</t>
        </is>
      </c>
      <c r="L37" s="240" t="inlineStr">
        <is>
          <t>Beterraba</t>
        </is>
      </c>
      <c r="M37" s="240" t="inlineStr">
        <is>
          <t>Brócolis</t>
        </is>
      </c>
      <c r="N37" s="240" t="inlineStr">
        <is>
          <t>Cenoura</t>
        </is>
      </c>
      <c r="O37" s="240" t="inlineStr">
        <is>
          <t>Cheiro verde</t>
        </is>
      </c>
      <c r="P37" s="240" t="inlineStr">
        <is>
          <t>Chuchu</t>
        </is>
      </c>
      <c r="Q37" s="240" t="inlineStr">
        <is>
          <t>Couve manteiga</t>
        </is>
      </c>
      <c r="R37" s="240" t="inlineStr">
        <is>
          <t>Couve-flor</t>
        </is>
      </c>
      <c r="S37" s="240" t="inlineStr">
        <is>
          <t>Espinafre</t>
        </is>
      </c>
      <c r="T37" s="240" t="inlineStr">
        <is>
          <t>Maçã gala</t>
        </is>
      </c>
      <c r="U37" s="240" t="inlineStr">
        <is>
          <t>Mel</t>
        </is>
      </c>
      <c r="V37" s="240" t="inlineStr">
        <is>
          <t>Ovos (dz)</t>
        </is>
      </c>
      <c r="W37" s="240" t="inlineStr">
        <is>
          <t>Repolho</t>
        </is>
      </c>
      <c r="X37" s="240" t="inlineStr">
        <is>
          <t>Tangerina ponkan</t>
        </is>
      </c>
    </row>
    <row r="38">
      <c r="A38" s="241" t="n">
        <v>1</v>
      </c>
      <c r="B38" s="241" t="inlineStr"/>
      <c r="C38" s="241" t="inlineStr">
        <is>
          <t>1116</t>
        </is>
      </c>
      <c r="D38" s="242">
        <f>HYPERLINK("#'E M PROF NILTON COSTA PEREIRA D'!A1","E M PROF NILTON COSTA PEREIRA DE SÃO THIAGO")</f>
        <v/>
      </c>
      <c r="E38" s="242" t="inlineStr">
        <is>
          <t>NOGUEIRA</t>
        </is>
      </c>
      <c r="F38" s="243">
        <f>INDEX('Entrada de Dados'!C$6:C$196,MATCH($C38,'Entrada de Dados'!$A$6:$A$196,0))</f>
        <v/>
      </c>
      <c r="G38" s="243">
        <f>INDEX('Entrada de Dados'!D$6:D$196,MATCH($C38,'Entrada de Dados'!$A$6:$A$196,0))</f>
        <v/>
      </c>
      <c r="H38" s="243">
        <f>INDEX('Entrada de Dados'!E$6:E$196,MATCH($C38,'Entrada de Dados'!$A$6:$A$196,0))</f>
        <v/>
      </c>
      <c r="I38" s="243">
        <f>INDEX('Entrada de Dados'!F$6:F$196,MATCH($C38,'Entrada de Dados'!$A$6:$A$196,0))</f>
        <v/>
      </c>
      <c r="J38" s="243">
        <f>INDEX('Entrada de Dados'!G$6:G$196,MATCH($C38,'Entrada de Dados'!$A$6:$A$196,0))</f>
        <v/>
      </c>
      <c r="K38" s="243">
        <f>INDEX('Entrada de Dados'!H$6:H$196,MATCH($C38,'Entrada de Dados'!$A$6:$A$196,0))</f>
        <v/>
      </c>
      <c r="L38" s="243">
        <f>INDEX('Entrada de Dados'!I$6:I$196,MATCH($C38,'Entrada de Dados'!$A$6:$A$196,0))</f>
        <v/>
      </c>
      <c r="M38" s="243">
        <f>INDEX('Entrada de Dados'!J$6:J$196,MATCH($C38,'Entrada de Dados'!$A$6:$A$196,0))</f>
        <v/>
      </c>
      <c r="N38" s="243">
        <f>INDEX('Entrada de Dados'!K$6:K$196,MATCH($C38,'Entrada de Dados'!$A$6:$A$196,0))</f>
        <v/>
      </c>
      <c r="O38" s="243">
        <f>INDEX('Entrada de Dados'!L$6:L$196,MATCH($C38,'Entrada de Dados'!$A$6:$A$196,0))</f>
        <v/>
      </c>
      <c r="P38" s="243">
        <f>INDEX('Entrada de Dados'!M$6:M$196,MATCH($C38,'Entrada de Dados'!$A$6:$A$196,0))</f>
        <v/>
      </c>
      <c r="Q38" s="243">
        <f>INDEX('Entrada de Dados'!N$6:N$196,MATCH($C38,'Entrada de Dados'!$A$6:$A$196,0))</f>
        <v/>
      </c>
      <c r="R38" s="243">
        <f>INDEX('Entrada de Dados'!O$6:O$196,MATCH($C38,'Entrada de Dados'!$A$6:$A$196,0))</f>
        <v/>
      </c>
      <c r="S38" s="243">
        <f>INDEX('Entrada de Dados'!P$6:P$196,MATCH($C38,'Entrada de Dados'!$A$6:$A$196,0))</f>
        <v/>
      </c>
      <c r="T38" s="243">
        <f>INDEX('Entrada de Dados'!Q$6:Q$196,MATCH($C38,'Entrada de Dados'!$A$6:$A$196,0))</f>
        <v/>
      </c>
      <c r="U38" s="243">
        <f>INDEX('Entrada de Dados'!R$6:R$196,MATCH($C38,'Entrada de Dados'!$A$6:$A$196,0))</f>
        <v/>
      </c>
      <c r="V38" s="243">
        <f>INDEX('Entrada de Dados'!S$6:S$196,MATCH($C38,'Entrada de Dados'!$A$6:$A$196,0))</f>
        <v/>
      </c>
      <c r="W38" s="243">
        <f>INDEX('Entrada de Dados'!T$6:T$196,MATCH($C38,'Entrada de Dados'!$A$6:$A$196,0))</f>
        <v/>
      </c>
      <c r="X38" s="243">
        <f>INDEX('Entrada de Dados'!U$6:U$196,MATCH($C38,'Entrada de Dados'!$A$6:$A$196,0))</f>
        <v/>
      </c>
    </row>
    <row r="39">
      <c r="A39" s="241" t="n">
        <v>2</v>
      </c>
      <c r="B39" s="241" t="inlineStr"/>
      <c r="C39" s="241" t="inlineStr">
        <is>
          <t>3079</t>
        </is>
      </c>
      <c r="D39" s="242">
        <f>HYPERLINK("#'CENTRO DE EDUCAÇÃO INFANTIL SÉR'!A1","CENTRO DE EDUCAÇÃO INFANTIL SÉRGIO RIBEIRO ROCHA")</f>
        <v/>
      </c>
      <c r="E39" s="242" t="inlineStr">
        <is>
          <t>NOGUEIRA</t>
        </is>
      </c>
      <c r="F39" s="243">
        <f>INDEX('Entrada de Dados'!C$6:C$196,MATCH($C39,'Entrada de Dados'!$A$6:$A$196,0))</f>
        <v/>
      </c>
      <c r="G39" s="243">
        <f>INDEX('Entrada de Dados'!D$6:D$196,MATCH($C39,'Entrada de Dados'!$A$6:$A$196,0))</f>
        <v/>
      </c>
      <c r="H39" s="243">
        <f>INDEX('Entrada de Dados'!E$6:E$196,MATCH($C39,'Entrada de Dados'!$A$6:$A$196,0))</f>
        <v/>
      </c>
      <c r="I39" s="243">
        <f>INDEX('Entrada de Dados'!F$6:F$196,MATCH($C39,'Entrada de Dados'!$A$6:$A$196,0))</f>
        <v/>
      </c>
      <c r="J39" s="243">
        <f>INDEX('Entrada de Dados'!G$6:G$196,MATCH($C39,'Entrada de Dados'!$A$6:$A$196,0))</f>
        <v/>
      </c>
      <c r="K39" s="243">
        <f>INDEX('Entrada de Dados'!H$6:H$196,MATCH($C39,'Entrada de Dados'!$A$6:$A$196,0))</f>
        <v/>
      </c>
      <c r="L39" s="243">
        <f>INDEX('Entrada de Dados'!I$6:I$196,MATCH($C39,'Entrada de Dados'!$A$6:$A$196,0))</f>
        <v/>
      </c>
      <c r="M39" s="243">
        <f>INDEX('Entrada de Dados'!J$6:J$196,MATCH($C39,'Entrada de Dados'!$A$6:$A$196,0))</f>
        <v/>
      </c>
      <c r="N39" s="243">
        <f>INDEX('Entrada de Dados'!K$6:K$196,MATCH($C39,'Entrada de Dados'!$A$6:$A$196,0))</f>
        <v/>
      </c>
      <c r="O39" s="243">
        <f>INDEX('Entrada de Dados'!L$6:L$196,MATCH($C39,'Entrada de Dados'!$A$6:$A$196,0))</f>
        <v/>
      </c>
      <c r="P39" s="243">
        <f>INDEX('Entrada de Dados'!M$6:M$196,MATCH($C39,'Entrada de Dados'!$A$6:$A$196,0))</f>
        <v/>
      </c>
      <c r="Q39" s="243">
        <f>INDEX('Entrada de Dados'!N$6:N$196,MATCH($C39,'Entrada de Dados'!$A$6:$A$196,0))</f>
        <v/>
      </c>
      <c r="R39" s="243">
        <f>INDEX('Entrada de Dados'!O$6:O$196,MATCH($C39,'Entrada de Dados'!$A$6:$A$196,0))</f>
        <v/>
      </c>
      <c r="S39" s="243">
        <f>INDEX('Entrada de Dados'!P$6:P$196,MATCH($C39,'Entrada de Dados'!$A$6:$A$196,0))</f>
        <v/>
      </c>
      <c r="T39" s="243">
        <f>INDEX('Entrada de Dados'!Q$6:Q$196,MATCH($C39,'Entrada de Dados'!$A$6:$A$196,0))</f>
        <v/>
      </c>
      <c r="U39" s="243">
        <f>INDEX('Entrada de Dados'!R$6:R$196,MATCH($C39,'Entrada de Dados'!$A$6:$A$196,0))</f>
        <v/>
      </c>
      <c r="V39" s="243">
        <f>INDEX('Entrada de Dados'!S$6:S$196,MATCH($C39,'Entrada de Dados'!$A$6:$A$196,0))</f>
        <v/>
      </c>
      <c r="W39" s="243">
        <f>INDEX('Entrada de Dados'!T$6:T$196,MATCH($C39,'Entrada de Dados'!$A$6:$A$196,0))</f>
        <v/>
      </c>
      <c r="X39" s="243">
        <f>INDEX('Entrada de Dados'!U$6:U$196,MATCH($C39,'Entrada de Dados'!$A$6:$A$196,0))</f>
        <v/>
      </c>
    </row>
    <row r="40">
      <c r="A40" s="241" t="n">
        <v>3</v>
      </c>
      <c r="B40" s="241" t="inlineStr"/>
      <c r="C40" s="241" t="inlineStr">
        <is>
          <t>4003</t>
        </is>
      </c>
      <c r="D40" s="242">
        <f>HYPERLINK("#'CEI SANTO ANTÔNIO AGOSTINHO'!A1","CEI SANTO ANTÔNIO AGOSTINHO")</f>
        <v/>
      </c>
      <c r="E40" s="242" t="inlineStr">
        <is>
          <t>NOGUEIRA</t>
        </is>
      </c>
      <c r="F40" s="243">
        <f>INDEX('Entrada de Dados'!C$6:C$196,MATCH($C40,'Entrada de Dados'!$A$6:$A$196,0))</f>
        <v/>
      </c>
      <c r="G40" s="243">
        <f>INDEX('Entrada de Dados'!D$6:D$196,MATCH($C40,'Entrada de Dados'!$A$6:$A$196,0))</f>
        <v/>
      </c>
      <c r="H40" s="243">
        <f>INDEX('Entrada de Dados'!E$6:E$196,MATCH($C40,'Entrada de Dados'!$A$6:$A$196,0))</f>
        <v/>
      </c>
      <c r="I40" s="243">
        <f>INDEX('Entrada de Dados'!F$6:F$196,MATCH($C40,'Entrada de Dados'!$A$6:$A$196,0))</f>
        <v/>
      </c>
      <c r="J40" s="243">
        <f>INDEX('Entrada de Dados'!G$6:G$196,MATCH($C40,'Entrada de Dados'!$A$6:$A$196,0))</f>
        <v/>
      </c>
      <c r="K40" s="243">
        <f>INDEX('Entrada de Dados'!H$6:H$196,MATCH($C40,'Entrada de Dados'!$A$6:$A$196,0))</f>
        <v/>
      </c>
      <c r="L40" s="243">
        <f>INDEX('Entrada de Dados'!I$6:I$196,MATCH($C40,'Entrada de Dados'!$A$6:$A$196,0))</f>
        <v/>
      </c>
      <c r="M40" s="243">
        <f>INDEX('Entrada de Dados'!J$6:J$196,MATCH($C40,'Entrada de Dados'!$A$6:$A$196,0))</f>
        <v/>
      </c>
      <c r="N40" s="243">
        <f>INDEX('Entrada de Dados'!K$6:K$196,MATCH($C40,'Entrada de Dados'!$A$6:$A$196,0))</f>
        <v/>
      </c>
      <c r="O40" s="243">
        <f>INDEX('Entrada de Dados'!L$6:L$196,MATCH($C40,'Entrada de Dados'!$A$6:$A$196,0))</f>
        <v/>
      </c>
      <c r="P40" s="243">
        <f>INDEX('Entrada de Dados'!M$6:M$196,MATCH($C40,'Entrada de Dados'!$A$6:$A$196,0))</f>
        <v/>
      </c>
      <c r="Q40" s="243">
        <f>INDEX('Entrada de Dados'!N$6:N$196,MATCH($C40,'Entrada de Dados'!$A$6:$A$196,0))</f>
        <v/>
      </c>
      <c r="R40" s="243">
        <f>INDEX('Entrada de Dados'!O$6:O$196,MATCH($C40,'Entrada de Dados'!$A$6:$A$196,0))</f>
        <v/>
      </c>
      <c r="S40" s="243">
        <f>INDEX('Entrada de Dados'!P$6:P$196,MATCH($C40,'Entrada de Dados'!$A$6:$A$196,0))</f>
        <v/>
      </c>
      <c r="T40" s="243">
        <f>INDEX('Entrada de Dados'!Q$6:Q$196,MATCH($C40,'Entrada de Dados'!$A$6:$A$196,0))</f>
        <v/>
      </c>
      <c r="U40" s="243">
        <f>INDEX('Entrada de Dados'!R$6:R$196,MATCH($C40,'Entrada de Dados'!$A$6:$A$196,0))</f>
        <v/>
      </c>
      <c r="V40" s="243">
        <f>INDEX('Entrada de Dados'!S$6:S$196,MATCH($C40,'Entrada de Dados'!$A$6:$A$196,0))</f>
        <v/>
      </c>
      <c r="W40" s="243">
        <f>INDEX('Entrada de Dados'!T$6:T$196,MATCH($C40,'Entrada de Dados'!$A$6:$A$196,0))</f>
        <v/>
      </c>
      <c r="X40" s="243">
        <f>INDEX('Entrada de Dados'!U$6:U$196,MATCH($C40,'Entrada de Dados'!$A$6:$A$196,0))</f>
        <v/>
      </c>
    </row>
    <row r="41">
      <c r="A41" s="241" t="n">
        <v>4</v>
      </c>
      <c r="B41" s="241" t="inlineStr"/>
      <c r="C41" s="241" t="inlineStr">
        <is>
          <t>1037</t>
        </is>
      </c>
      <c r="D41" s="242">
        <f>HYPERLINK("#'ESCOLA MUNICIPAL ODETTE YOUNG M'!A1","ESCOLA MUNICIPAL ODETTE YOUNG MONTEIRO")</f>
        <v/>
      </c>
      <c r="E41" s="242" t="inlineStr">
        <is>
          <t>CORRÊAS</t>
        </is>
      </c>
      <c r="F41" s="243">
        <f>INDEX('Entrada de Dados'!C$6:C$196,MATCH($C41,'Entrada de Dados'!$A$6:$A$196,0))</f>
        <v/>
      </c>
      <c r="G41" s="243">
        <f>INDEX('Entrada de Dados'!D$6:D$196,MATCH($C41,'Entrada de Dados'!$A$6:$A$196,0))</f>
        <v/>
      </c>
      <c r="H41" s="243">
        <f>INDEX('Entrada de Dados'!E$6:E$196,MATCH($C41,'Entrada de Dados'!$A$6:$A$196,0))</f>
        <v/>
      </c>
      <c r="I41" s="243">
        <f>INDEX('Entrada de Dados'!F$6:F$196,MATCH($C41,'Entrada de Dados'!$A$6:$A$196,0))</f>
        <v/>
      </c>
      <c r="J41" s="243">
        <f>INDEX('Entrada de Dados'!G$6:G$196,MATCH($C41,'Entrada de Dados'!$A$6:$A$196,0))</f>
        <v/>
      </c>
      <c r="K41" s="243">
        <f>INDEX('Entrada de Dados'!H$6:H$196,MATCH($C41,'Entrada de Dados'!$A$6:$A$196,0))</f>
        <v/>
      </c>
      <c r="L41" s="243">
        <f>INDEX('Entrada de Dados'!I$6:I$196,MATCH($C41,'Entrada de Dados'!$A$6:$A$196,0))</f>
        <v/>
      </c>
      <c r="M41" s="243">
        <f>INDEX('Entrada de Dados'!J$6:J$196,MATCH($C41,'Entrada de Dados'!$A$6:$A$196,0))</f>
        <v/>
      </c>
      <c r="N41" s="243">
        <f>INDEX('Entrada de Dados'!K$6:K$196,MATCH($C41,'Entrada de Dados'!$A$6:$A$196,0))</f>
        <v/>
      </c>
      <c r="O41" s="243">
        <f>INDEX('Entrada de Dados'!L$6:L$196,MATCH($C41,'Entrada de Dados'!$A$6:$A$196,0))</f>
        <v/>
      </c>
      <c r="P41" s="243">
        <f>INDEX('Entrada de Dados'!M$6:M$196,MATCH($C41,'Entrada de Dados'!$A$6:$A$196,0))</f>
        <v/>
      </c>
      <c r="Q41" s="243">
        <f>INDEX('Entrada de Dados'!N$6:N$196,MATCH($C41,'Entrada de Dados'!$A$6:$A$196,0))</f>
        <v/>
      </c>
      <c r="R41" s="243">
        <f>INDEX('Entrada de Dados'!O$6:O$196,MATCH($C41,'Entrada de Dados'!$A$6:$A$196,0))</f>
        <v/>
      </c>
      <c r="S41" s="243">
        <f>INDEX('Entrada de Dados'!P$6:P$196,MATCH($C41,'Entrada de Dados'!$A$6:$A$196,0))</f>
        <v/>
      </c>
      <c r="T41" s="243">
        <f>INDEX('Entrada de Dados'!Q$6:Q$196,MATCH($C41,'Entrada de Dados'!$A$6:$A$196,0))</f>
        <v/>
      </c>
      <c r="U41" s="243">
        <f>INDEX('Entrada de Dados'!R$6:R$196,MATCH($C41,'Entrada de Dados'!$A$6:$A$196,0))</f>
        <v/>
      </c>
      <c r="V41" s="243">
        <f>INDEX('Entrada de Dados'!S$6:S$196,MATCH($C41,'Entrada de Dados'!$A$6:$A$196,0))</f>
        <v/>
      </c>
      <c r="W41" s="243">
        <f>INDEX('Entrada de Dados'!T$6:T$196,MATCH($C41,'Entrada de Dados'!$A$6:$A$196,0))</f>
        <v/>
      </c>
      <c r="X41" s="243">
        <f>INDEX('Entrada de Dados'!U$6:U$196,MATCH($C41,'Entrada de Dados'!$A$6:$A$196,0))</f>
        <v/>
      </c>
    </row>
    <row r="42">
      <c r="A42" s="241" t="n">
        <v>5</v>
      </c>
      <c r="B42" s="241" t="inlineStr"/>
      <c r="C42" s="241" t="inlineStr">
        <is>
          <t>3076</t>
        </is>
      </c>
      <c r="D42" s="242">
        <f>HYPERLINK("#'CEI THEREZINHA DE JESUS LIMA'!A1","CEI THEREZINHA DE JESUS LIMA")</f>
        <v/>
      </c>
      <c r="E42" s="242" t="inlineStr">
        <is>
          <t>BONFIM</t>
        </is>
      </c>
      <c r="F42" s="243">
        <f>INDEX('Entrada de Dados'!C$6:C$196,MATCH($C42,'Entrada de Dados'!$A$6:$A$196,0))</f>
        <v/>
      </c>
      <c r="G42" s="243">
        <f>INDEX('Entrada de Dados'!D$6:D$196,MATCH($C42,'Entrada de Dados'!$A$6:$A$196,0))</f>
        <v/>
      </c>
      <c r="H42" s="243">
        <f>INDEX('Entrada de Dados'!E$6:E$196,MATCH($C42,'Entrada de Dados'!$A$6:$A$196,0))</f>
        <v/>
      </c>
      <c r="I42" s="243">
        <f>INDEX('Entrada de Dados'!F$6:F$196,MATCH($C42,'Entrada de Dados'!$A$6:$A$196,0))</f>
        <v/>
      </c>
      <c r="J42" s="243">
        <f>INDEX('Entrada de Dados'!G$6:G$196,MATCH($C42,'Entrada de Dados'!$A$6:$A$196,0))</f>
        <v/>
      </c>
      <c r="K42" s="243">
        <f>INDEX('Entrada de Dados'!H$6:H$196,MATCH($C42,'Entrada de Dados'!$A$6:$A$196,0))</f>
        <v/>
      </c>
      <c r="L42" s="243">
        <f>INDEX('Entrada de Dados'!I$6:I$196,MATCH($C42,'Entrada de Dados'!$A$6:$A$196,0))</f>
        <v/>
      </c>
      <c r="M42" s="243">
        <f>INDEX('Entrada de Dados'!J$6:J$196,MATCH($C42,'Entrada de Dados'!$A$6:$A$196,0))</f>
        <v/>
      </c>
      <c r="N42" s="243">
        <f>INDEX('Entrada de Dados'!K$6:K$196,MATCH($C42,'Entrada de Dados'!$A$6:$A$196,0))</f>
        <v/>
      </c>
      <c r="O42" s="243">
        <f>INDEX('Entrada de Dados'!L$6:L$196,MATCH($C42,'Entrada de Dados'!$A$6:$A$196,0))</f>
        <v/>
      </c>
      <c r="P42" s="243">
        <f>INDEX('Entrada de Dados'!M$6:M$196,MATCH($C42,'Entrada de Dados'!$A$6:$A$196,0))</f>
        <v/>
      </c>
      <c r="Q42" s="243">
        <f>INDEX('Entrada de Dados'!N$6:N$196,MATCH($C42,'Entrada de Dados'!$A$6:$A$196,0))</f>
        <v/>
      </c>
      <c r="R42" s="243">
        <f>INDEX('Entrada de Dados'!O$6:O$196,MATCH($C42,'Entrada de Dados'!$A$6:$A$196,0))</f>
        <v/>
      </c>
      <c r="S42" s="243">
        <f>INDEX('Entrada de Dados'!P$6:P$196,MATCH($C42,'Entrada de Dados'!$A$6:$A$196,0))</f>
        <v/>
      </c>
      <c r="T42" s="243">
        <f>INDEX('Entrada de Dados'!Q$6:Q$196,MATCH($C42,'Entrada de Dados'!$A$6:$A$196,0))</f>
        <v/>
      </c>
      <c r="U42" s="243">
        <f>INDEX('Entrada de Dados'!R$6:R$196,MATCH($C42,'Entrada de Dados'!$A$6:$A$196,0))</f>
        <v/>
      </c>
      <c r="V42" s="243">
        <f>INDEX('Entrada de Dados'!S$6:S$196,MATCH($C42,'Entrada de Dados'!$A$6:$A$196,0))</f>
        <v/>
      </c>
      <c r="W42" s="243">
        <f>INDEX('Entrada de Dados'!T$6:T$196,MATCH($C42,'Entrada de Dados'!$A$6:$A$196,0))</f>
        <v/>
      </c>
      <c r="X42" s="243">
        <f>INDEX('Entrada de Dados'!U$6:U$196,MATCH($C42,'Entrada de Dados'!$A$6:$A$196,0))</f>
        <v/>
      </c>
    </row>
    <row r="43">
      <c r="A43" s="241" t="n">
        <v>6</v>
      </c>
      <c r="B43" s="241" t="inlineStr"/>
      <c r="C43" s="241" t="inlineStr">
        <is>
          <t>2034</t>
        </is>
      </c>
      <c r="D43" s="242">
        <f>HYPERLINK("#'COLEGIO VICENTINO PADRE CORRÊA'!A1","COLEGIO VICENTINO PADRE CORRÊA")</f>
        <v/>
      </c>
      <c r="E43" s="242" t="inlineStr">
        <is>
          <t>CORRÊAS</t>
        </is>
      </c>
      <c r="F43" s="243">
        <f>INDEX('Entrada de Dados'!C$6:C$196,MATCH($C43,'Entrada de Dados'!$A$6:$A$196,0))</f>
        <v/>
      </c>
      <c r="G43" s="243">
        <f>INDEX('Entrada de Dados'!D$6:D$196,MATCH($C43,'Entrada de Dados'!$A$6:$A$196,0))</f>
        <v/>
      </c>
      <c r="H43" s="243">
        <f>INDEX('Entrada de Dados'!E$6:E$196,MATCH($C43,'Entrada de Dados'!$A$6:$A$196,0))</f>
        <v/>
      </c>
      <c r="I43" s="243">
        <f>INDEX('Entrada de Dados'!F$6:F$196,MATCH($C43,'Entrada de Dados'!$A$6:$A$196,0))</f>
        <v/>
      </c>
      <c r="J43" s="243">
        <f>INDEX('Entrada de Dados'!G$6:G$196,MATCH($C43,'Entrada de Dados'!$A$6:$A$196,0))</f>
        <v/>
      </c>
      <c r="K43" s="243">
        <f>INDEX('Entrada de Dados'!H$6:H$196,MATCH($C43,'Entrada de Dados'!$A$6:$A$196,0))</f>
        <v/>
      </c>
      <c r="L43" s="243">
        <f>INDEX('Entrada de Dados'!I$6:I$196,MATCH($C43,'Entrada de Dados'!$A$6:$A$196,0))</f>
        <v/>
      </c>
      <c r="M43" s="243">
        <f>INDEX('Entrada de Dados'!J$6:J$196,MATCH($C43,'Entrada de Dados'!$A$6:$A$196,0))</f>
        <v/>
      </c>
      <c r="N43" s="243">
        <f>INDEX('Entrada de Dados'!K$6:K$196,MATCH($C43,'Entrada de Dados'!$A$6:$A$196,0))</f>
        <v/>
      </c>
      <c r="O43" s="243">
        <f>INDEX('Entrada de Dados'!L$6:L$196,MATCH($C43,'Entrada de Dados'!$A$6:$A$196,0))</f>
        <v/>
      </c>
      <c r="P43" s="243">
        <f>INDEX('Entrada de Dados'!M$6:M$196,MATCH($C43,'Entrada de Dados'!$A$6:$A$196,0))</f>
        <v/>
      </c>
      <c r="Q43" s="243">
        <f>INDEX('Entrada de Dados'!N$6:N$196,MATCH($C43,'Entrada de Dados'!$A$6:$A$196,0))</f>
        <v/>
      </c>
      <c r="R43" s="243">
        <f>INDEX('Entrada de Dados'!O$6:O$196,MATCH($C43,'Entrada de Dados'!$A$6:$A$196,0))</f>
        <v/>
      </c>
      <c r="S43" s="243">
        <f>INDEX('Entrada de Dados'!P$6:P$196,MATCH($C43,'Entrada de Dados'!$A$6:$A$196,0))</f>
        <v/>
      </c>
      <c r="T43" s="243">
        <f>INDEX('Entrada de Dados'!Q$6:Q$196,MATCH($C43,'Entrada de Dados'!$A$6:$A$196,0))</f>
        <v/>
      </c>
      <c r="U43" s="243">
        <f>INDEX('Entrada de Dados'!R$6:R$196,MATCH($C43,'Entrada de Dados'!$A$6:$A$196,0))</f>
        <v/>
      </c>
      <c r="V43" s="243">
        <f>INDEX('Entrada de Dados'!S$6:S$196,MATCH($C43,'Entrada de Dados'!$A$6:$A$196,0))</f>
        <v/>
      </c>
      <c r="W43" s="243">
        <f>INDEX('Entrada de Dados'!T$6:T$196,MATCH($C43,'Entrada de Dados'!$A$6:$A$196,0))</f>
        <v/>
      </c>
      <c r="X43" s="243">
        <f>INDEX('Entrada de Dados'!U$6:U$196,MATCH($C43,'Entrada de Dados'!$A$6:$A$196,0))</f>
        <v/>
      </c>
    </row>
    <row r="44">
      <c r="A44" s="241" t="n">
        <v>7</v>
      </c>
      <c r="B44" s="241" t="inlineStr"/>
      <c r="C44" s="241" t="inlineStr">
        <is>
          <t>3059</t>
        </is>
      </c>
      <c r="D44" s="242">
        <f>HYPERLINK("#'CEI IRINEU MARINHO'!A1","CEI IRINEU MARINHO")</f>
        <v/>
      </c>
      <c r="E44" s="242" t="inlineStr">
        <is>
          <t>CORRÊAS</t>
        </is>
      </c>
      <c r="F44" s="243">
        <f>INDEX('Entrada de Dados'!C$6:C$196,MATCH($C44,'Entrada de Dados'!$A$6:$A$196,0))</f>
        <v/>
      </c>
      <c r="G44" s="243">
        <f>INDEX('Entrada de Dados'!D$6:D$196,MATCH($C44,'Entrada de Dados'!$A$6:$A$196,0))</f>
        <v/>
      </c>
      <c r="H44" s="243">
        <f>INDEX('Entrada de Dados'!E$6:E$196,MATCH($C44,'Entrada de Dados'!$A$6:$A$196,0))</f>
        <v/>
      </c>
      <c r="I44" s="243">
        <f>INDEX('Entrada de Dados'!F$6:F$196,MATCH($C44,'Entrada de Dados'!$A$6:$A$196,0))</f>
        <v/>
      </c>
      <c r="J44" s="243">
        <f>INDEX('Entrada de Dados'!G$6:G$196,MATCH($C44,'Entrada de Dados'!$A$6:$A$196,0))</f>
        <v/>
      </c>
      <c r="K44" s="243">
        <f>INDEX('Entrada de Dados'!H$6:H$196,MATCH($C44,'Entrada de Dados'!$A$6:$A$196,0))</f>
        <v/>
      </c>
      <c r="L44" s="243">
        <f>INDEX('Entrada de Dados'!I$6:I$196,MATCH($C44,'Entrada de Dados'!$A$6:$A$196,0))</f>
        <v/>
      </c>
      <c r="M44" s="243">
        <f>INDEX('Entrada de Dados'!J$6:J$196,MATCH($C44,'Entrada de Dados'!$A$6:$A$196,0))</f>
        <v/>
      </c>
      <c r="N44" s="243">
        <f>INDEX('Entrada de Dados'!K$6:K$196,MATCH($C44,'Entrada de Dados'!$A$6:$A$196,0))</f>
        <v/>
      </c>
      <c r="O44" s="243">
        <f>INDEX('Entrada de Dados'!L$6:L$196,MATCH($C44,'Entrada de Dados'!$A$6:$A$196,0))</f>
        <v/>
      </c>
      <c r="P44" s="243">
        <f>INDEX('Entrada de Dados'!M$6:M$196,MATCH($C44,'Entrada de Dados'!$A$6:$A$196,0))</f>
        <v/>
      </c>
      <c r="Q44" s="243">
        <f>INDEX('Entrada de Dados'!N$6:N$196,MATCH($C44,'Entrada de Dados'!$A$6:$A$196,0))</f>
        <v/>
      </c>
      <c r="R44" s="243">
        <f>INDEX('Entrada de Dados'!O$6:O$196,MATCH($C44,'Entrada de Dados'!$A$6:$A$196,0))</f>
        <v/>
      </c>
      <c r="S44" s="243">
        <f>INDEX('Entrada de Dados'!P$6:P$196,MATCH($C44,'Entrada de Dados'!$A$6:$A$196,0))</f>
        <v/>
      </c>
      <c r="T44" s="243">
        <f>INDEX('Entrada de Dados'!Q$6:Q$196,MATCH($C44,'Entrada de Dados'!$A$6:$A$196,0))</f>
        <v/>
      </c>
      <c r="U44" s="243">
        <f>INDEX('Entrada de Dados'!R$6:R$196,MATCH($C44,'Entrada de Dados'!$A$6:$A$196,0))</f>
        <v/>
      </c>
      <c r="V44" s="243">
        <f>INDEX('Entrada de Dados'!S$6:S$196,MATCH($C44,'Entrada de Dados'!$A$6:$A$196,0))</f>
        <v/>
      </c>
      <c r="W44" s="243">
        <f>INDEX('Entrada de Dados'!T$6:T$196,MATCH($C44,'Entrada de Dados'!$A$6:$A$196,0))</f>
        <v/>
      </c>
      <c r="X44" s="243">
        <f>INDEX('Entrada de Dados'!U$6:U$196,MATCH($C44,'Entrada de Dados'!$A$6:$A$196,0))</f>
        <v/>
      </c>
    </row>
    <row r="45">
      <c r="A45" s="241" t="n">
        <v>8</v>
      </c>
      <c r="B45" s="241" t="inlineStr"/>
      <c r="C45" s="241" t="inlineStr">
        <is>
          <t>3047</t>
        </is>
      </c>
      <c r="D45" s="242">
        <f>HYPERLINK("#'CEI PROFª MARLUCE DE SOUZA PEST'!A1","CEI PROFª MARLUCE DE SOUZA PESTANA")</f>
        <v/>
      </c>
      <c r="E45" s="242" t="inlineStr">
        <is>
          <t>CORRÊAS</t>
        </is>
      </c>
      <c r="F45" s="243">
        <f>INDEX('Entrada de Dados'!C$6:C$196,MATCH($C45,'Entrada de Dados'!$A$6:$A$196,0))</f>
        <v/>
      </c>
      <c r="G45" s="243">
        <f>INDEX('Entrada de Dados'!D$6:D$196,MATCH($C45,'Entrada de Dados'!$A$6:$A$196,0))</f>
        <v/>
      </c>
      <c r="H45" s="243">
        <f>INDEX('Entrada de Dados'!E$6:E$196,MATCH($C45,'Entrada de Dados'!$A$6:$A$196,0))</f>
        <v/>
      </c>
      <c r="I45" s="243">
        <f>INDEX('Entrada de Dados'!F$6:F$196,MATCH($C45,'Entrada de Dados'!$A$6:$A$196,0))</f>
        <v/>
      </c>
      <c r="J45" s="243">
        <f>INDEX('Entrada de Dados'!G$6:G$196,MATCH($C45,'Entrada de Dados'!$A$6:$A$196,0))</f>
        <v/>
      </c>
      <c r="K45" s="243">
        <f>INDEX('Entrada de Dados'!H$6:H$196,MATCH($C45,'Entrada de Dados'!$A$6:$A$196,0))</f>
        <v/>
      </c>
      <c r="L45" s="243">
        <f>INDEX('Entrada de Dados'!I$6:I$196,MATCH($C45,'Entrada de Dados'!$A$6:$A$196,0))</f>
        <v/>
      </c>
      <c r="M45" s="243">
        <f>INDEX('Entrada de Dados'!J$6:J$196,MATCH($C45,'Entrada de Dados'!$A$6:$A$196,0))</f>
        <v/>
      </c>
      <c r="N45" s="243">
        <f>INDEX('Entrada de Dados'!K$6:K$196,MATCH($C45,'Entrada de Dados'!$A$6:$A$196,0))</f>
        <v/>
      </c>
      <c r="O45" s="243">
        <f>INDEX('Entrada de Dados'!L$6:L$196,MATCH($C45,'Entrada de Dados'!$A$6:$A$196,0))</f>
        <v/>
      </c>
      <c r="P45" s="243">
        <f>INDEX('Entrada de Dados'!M$6:M$196,MATCH($C45,'Entrada de Dados'!$A$6:$A$196,0))</f>
        <v/>
      </c>
      <c r="Q45" s="243">
        <f>INDEX('Entrada de Dados'!N$6:N$196,MATCH($C45,'Entrada de Dados'!$A$6:$A$196,0))</f>
        <v/>
      </c>
      <c r="R45" s="243">
        <f>INDEX('Entrada de Dados'!O$6:O$196,MATCH($C45,'Entrada de Dados'!$A$6:$A$196,0))</f>
        <v/>
      </c>
      <c r="S45" s="243">
        <f>INDEX('Entrada de Dados'!P$6:P$196,MATCH($C45,'Entrada de Dados'!$A$6:$A$196,0))</f>
        <v/>
      </c>
      <c r="T45" s="243">
        <f>INDEX('Entrada de Dados'!Q$6:Q$196,MATCH($C45,'Entrada de Dados'!$A$6:$A$196,0))</f>
        <v/>
      </c>
      <c r="U45" s="243">
        <f>INDEX('Entrada de Dados'!R$6:R$196,MATCH($C45,'Entrada de Dados'!$A$6:$A$196,0))</f>
        <v/>
      </c>
      <c r="V45" s="243">
        <f>INDEX('Entrada de Dados'!S$6:S$196,MATCH($C45,'Entrada de Dados'!$A$6:$A$196,0))</f>
        <v/>
      </c>
      <c r="W45" s="243">
        <f>INDEX('Entrada de Dados'!T$6:T$196,MATCH($C45,'Entrada de Dados'!$A$6:$A$196,0))</f>
        <v/>
      </c>
      <c r="X45" s="243">
        <f>INDEX('Entrada de Dados'!U$6:U$196,MATCH($C45,'Entrada de Dados'!$A$6:$A$196,0))</f>
        <v/>
      </c>
    </row>
    <row r="46">
      <c r="A46" s="241" t="n">
        <v>9</v>
      </c>
      <c r="B46" s="241" t="inlineStr"/>
      <c r="C46" s="241" t="inlineStr">
        <is>
          <t>3069</t>
        </is>
      </c>
      <c r="D46" s="242">
        <f>HYPERLINK("#'CEI DAGMAR ROLANDO DE OLIVEIRA'!A1","CEI DAGMAR ROLANDO DE OLIVEIRA")</f>
        <v/>
      </c>
      <c r="E46" s="242" t="inlineStr">
        <is>
          <t>CORRÊAS</t>
        </is>
      </c>
      <c r="F46" s="243">
        <f>INDEX('Entrada de Dados'!C$6:C$196,MATCH($C46,'Entrada de Dados'!$A$6:$A$196,0))</f>
        <v/>
      </c>
      <c r="G46" s="243">
        <f>INDEX('Entrada de Dados'!D$6:D$196,MATCH($C46,'Entrada de Dados'!$A$6:$A$196,0))</f>
        <v/>
      </c>
      <c r="H46" s="243">
        <f>INDEX('Entrada de Dados'!E$6:E$196,MATCH($C46,'Entrada de Dados'!$A$6:$A$196,0))</f>
        <v/>
      </c>
      <c r="I46" s="243">
        <f>INDEX('Entrada de Dados'!F$6:F$196,MATCH($C46,'Entrada de Dados'!$A$6:$A$196,0))</f>
        <v/>
      </c>
      <c r="J46" s="243">
        <f>INDEX('Entrada de Dados'!G$6:G$196,MATCH($C46,'Entrada de Dados'!$A$6:$A$196,0))</f>
        <v/>
      </c>
      <c r="K46" s="243">
        <f>INDEX('Entrada de Dados'!H$6:H$196,MATCH($C46,'Entrada de Dados'!$A$6:$A$196,0))</f>
        <v/>
      </c>
      <c r="L46" s="243">
        <f>INDEX('Entrada de Dados'!I$6:I$196,MATCH($C46,'Entrada de Dados'!$A$6:$A$196,0))</f>
        <v/>
      </c>
      <c r="M46" s="243">
        <f>INDEX('Entrada de Dados'!J$6:J$196,MATCH($C46,'Entrada de Dados'!$A$6:$A$196,0))</f>
        <v/>
      </c>
      <c r="N46" s="243">
        <f>INDEX('Entrada de Dados'!K$6:K$196,MATCH($C46,'Entrada de Dados'!$A$6:$A$196,0))</f>
        <v/>
      </c>
      <c r="O46" s="243">
        <f>INDEX('Entrada de Dados'!L$6:L$196,MATCH($C46,'Entrada de Dados'!$A$6:$A$196,0))</f>
        <v/>
      </c>
      <c r="P46" s="243">
        <f>INDEX('Entrada de Dados'!M$6:M$196,MATCH($C46,'Entrada de Dados'!$A$6:$A$196,0))</f>
        <v/>
      </c>
      <c r="Q46" s="243">
        <f>INDEX('Entrada de Dados'!N$6:N$196,MATCH($C46,'Entrada de Dados'!$A$6:$A$196,0))</f>
        <v/>
      </c>
      <c r="R46" s="243">
        <f>INDEX('Entrada de Dados'!O$6:O$196,MATCH($C46,'Entrada de Dados'!$A$6:$A$196,0))</f>
        <v/>
      </c>
      <c r="S46" s="243">
        <f>INDEX('Entrada de Dados'!P$6:P$196,MATCH($C46,'Entrada de Dados'!$A$6:$A$196,0))</f>
        <v/>
      </c>
      <c r="T46" s="243">
        <f>INDEX('Entrada de Dados'!Q$6:Q$196,MATCH($C46,'Entrada de Dados'!$A$6:$A$196,0))</f>
        <v/>
      </c>
      <c r="U46" s="243">
        <f>INDEX('Entrada de Dados'!R$6:R$196,MATCH($C46,'Entrada de Dados'!$A$6:$A$196,0))</f>
        <v/>
      </c>
      <c r="V46" s="243">
        <f>INDEX('Entrada de Dados'!S$6:S$196,MATCH($C46,'Entrada de Dados'!$A$6:$A$196,0))</f>
        <v/>
      </c>
      <c r="W46" s="243">
        <f>INDEX('Entrada de Dados'!T$6:T$196,MATCH($C46,'Entrada de Dados'!$A$6:$A$196,0))</f>
        <v/>
      </c>
      <c r="X46" s="243">
        <f>INDEX('Entrada de Dados'!U$6:U$196,MATCH($C46,'Entrada de Dados'!$A$6:$A$196,0))</f>
        <v/>
      </c>
    </row>
    <row r="47">
      <c r="A47" s="241" t="n">
        <v>10</v>
      </c>
      <c r="B47" s="241" t="inlineStr"/>
      <c r="C47" s="241" t="inlineStr">
        <is>
          <t>1095</t>
        </is>
      </c>
      <c r="D47" s="242">
        <f>HYPERLINK("#'ESCOLA MUNICIPAL PROFESSOR JOSE'!A1","ESCOLA MUNICIPAL PROFESSOR JOSEMAR CONTAGE")</f>
        <v/>
      </c>
      <c r="E47" s="242" t="inlineStr">
        <is>
          <t>CORRÊAS</t>
        </is>
      </c>
      <c r="F47" s="243">
        <f>INDEX('Entrada de Dados'!C$6:C$196,MATCH($C47,'Entrada de Dados'!$A$6:$A$196,0))</f>
        <v/>
      </c>
      <c r="G47" s="243">
        <f>INDEX('Entrada de Dados'!D$6:D$196,MATCH($C47,'Entrada de Dados'!$A$6:$A$196,0))</f>
        <v/>
      </c>
      <c r="H47" s="243">
        <f>INDEX('Entrada de Dados'!E$6:E$196,MATCH($C47,'Entrada de Dados'!$A$6:$A$196,0))</f>
        <v/>
      </c>
      <c r="I47" s="243">
        <f>INDEX('Entrada de Dados'!F$6:F$196,MATCH($C47,'Entrada de Dados'!$A$6:$A$196,0))</f>
        <v/>
      </c>
      <c r="J47" s="243">
        <f>INDEX('Entrada de Dados'!G$6:G$196,MATCH($C47,'Entrada de Dados'!$A$6:$A$196,0))</f>
        <v/>
      </c>
      <c r="K47" s="243">
        <f>INDEX('Entrada de Dados'!H$6:H$196,MATCH($C47,'Entrada de Dados'!$A$6:$A$196,0))</f>
        <v/>
      </c>
      <c r="L47" s="243">
        <f>INDEX('Entrada de Dados'!I$6:I$196,MATCH($C47,'Entrada de Dados'!$A$6:$A$196,0))</f>
        <v/>
      </c>
      <c r="M47" s="243">
        <f>INDEX('Entrada de Dados'!J$6:J$196,MATCH($C47,'Entrada de Dados'!$A$6:$A$196,0))</f>
        <v/>
      </c>
      <c r="N47" s="243">
        <f>INDEX('Entrada de Dados'!K$6:K$196,MATCH($C47,'Entrada de Dados'!$A$6:$A$196,0))</f>
        <v/>
      </c>
      <c r="O47" s="243">
        <f>INDEX('Entrada de Dados'!L$6:L$196,MATCH($C47,'Entrada de Dados'!$A$6:$A$196,0))</f>
        <v/>
      </c>
      <c r="P47" s="243">
        <f>INDEX('Entrada de Dados'!M$6:M$196,MATCH($C47,'Entrada de Dados'!$A$6:$A$196,0))</f>
        <v/>
      </c>
      <c r="Q47" s="243">
        <f>INDEX('Entrada de Dados'!N$6:N$196,MATCH($C47,'Entrada de Dados'!$A$6:$A$196,0))</f>
        <v/>
      </c>
      <c r="R47" s="243">
        <f>INDEX('Entrada de Dados'!O$6:O$196,MATCH($C47,'Entrada de Dados'!$A$6:$A$196,0))</f>
        <v/>
      </c>
      <c r="S47" s="243">
        <f>INDEX('Entrada de Dados'!P$6:P$196,MATCH($C47,'Entrada de Dados'!$A$6:$A$196,0))</f>
        <v/>
      </c>
      <c r="T47" s="243">
        <f>INDEX('Entrada de Dados'!Q$6:Q$196,MATCH($C47,'Entrada de Dados'!$A$6:$A$196,0))</f>
        <v/>
      </c>
      <c r="U47" s="243">
        <f>INDEX('Entrada de Dados'!R$6:R$196,MATCH($C47,'Entrada de Dados'!$A$6:$A$196,0))</f>
        <v/>
      </c>
      <c r="V47" s="243">
        <f>INDEX('Entrada de Dados'!S$6:S$196,MATCH($C47,'Entrada de Dados'!$A$6:$A$196,0))</f>
        <v/>
      </c>
      <c r="W47" s="243">
        <f>INDEX('Entrada de Dados'!T$6:T$196,MATCH($C47,'Entrada de Dados'!$A$6:$A$196,0))</f>
        <v/>
      </c>
      <c r="X47" s="243">
        <f>INDEX('Entrada de Dados'!U$6:U$196,MATCH($C47,'Entrada de Dados'!$A$6:$A$196,0))</f>
        <v/>
      </c>
    </row>
    <row r="48">
      <c r="A48" s="241" t="n">
        <v>11</v>
      </c>
      <c r="B48" s="241" t="inlineStr"/>
      <c r="C48" s="241" t="inlineStr">
        <is>
          <t>1036</t>
        </is>
      </c>
      <c r="D48" s="242">
        <f>HYPERLINK("#'E M MARIETA GONÇALVES'!A1","E M MARIETA GONÇALVES")</f>
        <v/>
      </c>
      <c r="E48" s="242" t="inlineStr">
        <is>
          <t>CORRÊAS</t>
        </is>
      </c>
      <c r="F48" s="243">
        <f>INDEX('Entrada de Dados'!C$6:C$196,MATCH($C48,'Entrada de Dados'!$A$6:$A$196,0))</f>
        <v/>
      </c>
      <c r="G48" s="243">
        <f>INDEX('Entrada de Dados'!D$6:D$196,MATCH($C48,'Entrada de Dados'!$A$6:$A$196,0))</f>
        <v/>
      </c>
      <c r="H48" s="243">
        <f>INDEX('Entrada de Dados'!E$6:E$196,MATCH($C48,'Entrada de Dados'!$A$6:$A$196,0))</f>
        <v/>
      </c>
      <c r="I48" s="243">
        <f>INDEX('Entrada de Dados'!F$6:F$196,MATCH($C48,'Entrada de Dados'!$A$6:$A$196,0))</f>
        <v/>
      </c>
      <c r="J48" s="243">
        <f>INDEX('Entrada de Dados'!G$6:G$196,MATCH($C48,'Entrada de Dados'!$A$6:$A$196,0))</f>
        <v/>
      </c>
      <c r="K48" s="243">
        <f>INDEX('Entrada de Dados'!H$6:H$196,MATCH($C48,'Entrada de Dados'!$A$6:$A$196,0))</f>
        <v/>
      </c>
      <c r="L48" s="243">
        <f>INDEX('Entrada de Dados'!I$6:I$196,MATCH($C48,'Entrada de Dados'!$A$6:$A$196,0))</f>
        <v/>
      </c>
      <c r="M48" s="243">
        <f>INDEX('Entrada de Dados'!J$6:J$196,MATCH($C48,'Entrada de Dados'!$A$6:$A$196,0))</f>
        <v/>
      </c>
      <c r="N48" s="243">
        <f>INDEX('Entrada de Dados'!K$6:K$196,MATCH($C48,'Entrada de Dados'!$A$6:$A$196,0))</f>
        <v/>
      </c>
      <c r="O48" s="243">
        <f>INDEX('Entrada de Dados'!L$6:L$196,MATCH($C48,'Entrada de Dados'!$A$6:$A$196,0))</f>
        <v/>
      </c>
      <c r="P48" s="243">
        <f>INDEX('Entrada de Dados'!M$6:M$196,MATCH($C48,'Entrada de Dados'!$A$6:$A$196,0))</f>
        <v/>
      </c>
      <c r="Q48" s="243">
        <f>INDEX('Entrada de Dados'!N$6:N$196,MATCH($C48,'Entrada de Dados'!$A$6:$A$196,0))</f>
        <v/>
      </c>
      <c r="R48" s="243">
        <f>INDEX('Entrada de Dados'!O$6:O$196,MATCH($C48,'Entrada de Dados'!$A$6:$A$196,0))</f>
        <v/>
      </c>
      <c r="S48" s="243">
        <f>INDEX('Entrada de Dados'!P$6:P$196,MATCH($C48,'Entrada de Dados'!$A$6:$A$196,0))</f>
        <v/>
      </c>
      <c r="T48" s="243">
        <f>INDEX('Entrada de Dados'!Q$6:Q$196,MATCH($C48,'Entrada de Dados'!$A$6:$A$196,0))</f>
        <v/>
      </c>
      <c r="U48" s="243">
        <f>INDEX('Entrada de Dados'!R$6:R$196,MATCH($C48,'Entrada de Dados'!$A$6:$A$196,0))</f>
        <v/>
      </c>
      <c r="V48" s="243">
        <f>INDEX('Entrada de Dados'!S$6:S$196,MATCH($C48,'Entrada de Dados'!$A$6:$A$196,0))</f>
        <v/>
      </c>
      <c r="W48" s="243">
        <f>INDEX('Entrada de Dados'!T$6:T$196,MATCH($C48,'Entrada de Dados'!$A$6:$A$196,0))</f>
        <v/>
      </c>
      <c r="X48" s="243">
        <f>INDEX('Entrada de Dados'!U$6:U$196,MATCH($C48,'Entrada de Dados'!$A$6:$A$196,0))</f>
        <v/>
      </c>
    </row>
    <row r="49">
      <c r="A49" s="241" t="n">
        <v>12</v>
      </c>
      <c r="B49" s="241" t="inlineStr"/>
      <c r="C49" s="241" t="inlineStr">
        <is>
          <t>3081</t>
        </is>
      </c>
      <c r="D49" s="242">
        <f>HYPERLINK("#'CEI NOSSA SENHORA DA GLÓRIA'!A1","CEI NOSSA SENHORA DA GLÓRIA")</f>
        <v/>
      </c>
      <c r="E49" s="242" t="inlineStr">
        <is>
          <t>CORRÊAS</t>
        </is>
      </c>
      <c r="F49" s="243">
        <f>INDEX('Entrada de Dados'!C$6:C$196,MATCH($C49,'Entrada de Dados'!$A$6:$A$196,0))</f>
        <v/>
      </c>
      <c r="G49" s="243">
        <f>INDEX('Entrada de Dados'!D$6:D$196,MATCH($C49,'Entrada de Dados'!$A$6:$A$196,0))</f>
        <v/>
      </c>
      <c r="H49" s="243">
        <f>INDEX('Entrada de Dados'!E$6:E$196,MATCH($C49,'Entrada de Dados'!$A$6:$A$196,0))</f>
        <v/>
      </c>
      <c r="I49" s="243">
        <f>INDEX('Entrada de Dados'!F$6:F$196,MATCH($C49,'Entrada de Dados'!$A$6:$A$196,0))</f>
        <v/>
      </c>
      <c r="J49" s="243">
        <f>INDEX('Entrada de Dados'!G$6:G$196,MATCH($C49,'Entrada de Dados'!$A$6:$A$196,0))</f>
        <v/>
      </c>
      <c r="K49" s="243">
        <f>INDEX('Entrada de Dados'!H$6:H$196,MATCH($C49,'Entrada de Dados'!$A$6:$A$196,0))</f>
        <v/>
      </c>
      <c r="L49" s="243">
        <f>INDEX('Entrada de Dados'!I$6:I$196,MATCH($C49,'Entrada de Dados'!$A$6:$A$196,0))</f>
        <v/>
      </c>
      <c r="M49" s="243">
        <f>INDEX('Entrada de Dados'!J$6:J$196,MATCH($C49,'Entrada de Dados'!$A$6:$A$196,0))</f>
        <v/>
      </c>
      <c r="N49" s="243">
        <f>INDEX('Entrada de Dados'!K$6:K$196,MATCH($C49,'Entrada de Dados'!$A$6:$A$196,0))</f>
        <v/>
      </c>
      <c r="O49" s="243">
        <f>INDEX('Entrada de Dados'!L$6:L$196,MATCH($C49,'Entrada de Dados'!$A$6:$A$196,0))</f>
        <v/>
      </c>
      <c r="P49" s="243">
        <f>INDEX('Entrada de Dados'!M$6:M$196,MATCH($C49,'Entrada de Dados'!$A$6:$A$196,0))</f>
        <v/>
      </c>
      <c r="Q49" s="243">
        <f>INDEX('Entrada de Dados'!N$6:N$196,MATCH($C49,'Entrada de Dados'!$A$6:$A$196,0))</f>
        <v/>
      </c>
      <c r="R49" s="243">
        <f>INDEX('Entrada de Dados'!O$6:O$196,MATCH($C49,'Entrada de Dados'!$A$6:$A$196,0))</f>
        <v/>
      </c>
      <c r="S49" s="243">
        <f>INDEX('Entrada de Dados'!P$6:P$196,MATCH($C49,'Entrada de Dados'!$A$6:$A$196,0))</f>
        <v/>
      </c>
      <c r="T49" s="243">
        <f>INDEX('Entrada de Dados'!Q$6:Q$196,MATCH($C49,'Entrada de Dados'!$A$6:$A$196,0))</f>
        <v/>
      </c>
      <c r="U49" s="243">
        <f>INDEX('Entrada de Dados'!R$6:R$196,MATCH($C49,'Entrada de Dados'!$A$6:$A$196,0))</f>
        <v/>
      </c>
      <c r="V49" s="243">
        <f>INDEX('Entrada de Dados'!S$6:S$196,MATCH($C49,'Entrada de Dados'!$A$6:$A$196,0))</f>
        <v/>
      </c>
      <c r="W49" s="243">
        <f>INDEX('Entrada de Dados'!T$6:T$196,MATCH($C49,'Entrada de Dados'!$A$6:$A$196,0))</f>
        <v/>
      </c>
      <c r="X49" s="243">
        <f>INDEX('Entrada de Dados'!U$6:U$196,MATCH($C49,'Entrada de Dados'!$A$6:$A$196,0))</f>
        <v/>
      </c>
    </row>
    <row r="50">
      <c r="A50" s="241" t="n">
        <v>13</v>
      </c>
      <c r="B50" s="241" t="inlineStr"/>
      <c r="C50" s="241" t="inlineStr">
        <is>
          <t>1110</t>
        </is>
      </c>
      <c r="D50" s="242">
        <f>HYPERLINK("#'E M HERCÍLIA HENRIQUES MORET'!A1","E M HERCÍLIA HENRIQUES MORET")</f>
        <v/>
      </c>
      <c r="E50" s="242" t="inlineStr">
        <is>
          <t>CORRÊAS</t>
        </is>
      </c>
      <c r="F50" s="243">
        <f>INDEX('Entrada de Dados'!C$6:C$196,MATCH($C50,'Entrada de Dados'!$A$6:$A$196,0))</f>
        <v/>
      </c>
      <c r="G50" s="243">
        <f>INDEX('Entrada de Dados'!D$6:D$196,MATCH($C50,'Entrada de Dados'!$A$6:$A$196,0))</f>
        <v/>
      </c>
      <c r="H50" s="243">
        <f>INDEX('Entrada de Dados'!E$6:E$196,MATCH($C50,'Entrada de Dados'!$A$6:$A$196,0))</f>
        <v/>
      </c>
      <c r="I50" s="243">
        <f>INDEX('Entrada de Dados'!F$6:F$196,MATCH($C50,'Entrada de Dados'!$A$6:$A$196,0))</f>
        <v/>
      </c>
      <c r="J50" s="243">
        <f>INDEX('Entrada de Dados'!G$6:G$196,MATCH($C50,'Entrada de Dados'!$A$6:$A$196,0))</f>
        <v/>
      </c>
      <c r="K50" s="243">
        <f>INDEX('Entrada de Dados'!H$6:H$196,MATCH($C50,'Entrada de Dados'!$A$6:$A$196,0))</f>
        <v/>
      </c>
      <c r="L50" s="243">
        <f>INDEX('Entrada de Dados'!I$6:I$196,MATCH($C50,'Entrada de Dados'!$A$6:$A$196,0))</f>
        <v/>
      </c>
      <c r="M50" s="243">
        <f>INDEX('Entrada de Dados'!J$6:J$196,MATCH($C50,'Entrada de Dados'!$A$6:$A$196,0))</f>
        <v/>
      </c>
      <c r="N50" s="243">
        <f>INDEX('Entrada de Dados'!K$6:K$196,MATCH($C50,'Entrada de Dados'!$A$6:$A$196,0))</f>
        <v/>
      </c>
      <c r="O50" s="243">
        <f>INDEX('Entrada de Dados'!L$6:L$196,MATCH($C50,'Entrada de Dados'!$A$6:$A$196,0))</f>
        <v/>
      </c>
      <c r="P50" s="243">
        <f>INDEX('Entrada de Dados'!M$6:M$196,MATCH($C50,'Entrada de Dados'!$A$6:$A$196,0))</f>
        <v/>
      </c>
      <c r="Q50" s="243">
        <f>INDEX('Entrada de Dados'!N$6:N$196,MATCH($C50,'Entrada de Dados'!$A$6:$A$196,0))</f>
        <v/>
      </c>
      <c r="R50" s="243">
        <f>INDEX('Entrada de Dados'!O$6:O$196,MATCH($C50,'Entrada de Dados'!$A$6:$A$196,0))</f>
        <v/>
      </c>
      <c r="S50" s="243">
        <f>INDEX('Entrada de Dados'!P$6:P$196,MATCH($C50,'Entrada de Dados'!$A$6:$A$196,0))</f>
        <v/>
      </c>
      <c r="T50" s="243">
        <f>INDEX('Entrada de Dados'!Q$6:Q$196,MATCH($C50,'Entrada de Dados'!$A$6:$A$196,0))</f>
        <v/>
      </c>
      <c r="U50" s="243">
        <f>INDEX('Entrada de Dados'!R$6:R$196,MATCH($C50,'Entrada de Dados'!$A$6:$A$196,0))</f>
        <v/>
      </c>
      <c r="V50" s="243">
        <f>INDEX('Entrada de Dados'!S$6:S$196,MATCH($C50,'Entrada de Dados'!$A$6:$A$196,0))</f>
        <v/>
      </c>
      <c r="W50" s="243">
        <f>INDEX('Entrada de Dados'!T$6:T$196,MATCH($C50,'Entrada de Dados'!$A$6:$A$196,0))</f>
        <v/>
      </c>
      <c r="X50" s="243">
        <f>INDEX('Entrada de Dados'!U$6:U$196,MATCH($C50,'Entrada de Dados'!$A$6:$A$196,0))</f>
        <v/>
      </c>
    </row>
    <row r="51">
      <c r="A51" s="241" t="n">
        <v>14</v>
      </c>
      <c r="B51" s="241" t="inlineStr"/>
      <c r="C51" s="241" t="inlineStr">
        <is>
          <t>1034</t>
        </is>
      </c>
      <c r="D51" s="242">
        <f>HYPERLINK("#'E M MAGDALENA TAGLIAFERRO'!A1","E M MAGDALENA TAGLIAFERRO")</f>
        <v/>
      </c>
      <c r="E51" s="242" t="inlineStr">
        <is>
          <t>CASTELO SÃO MANOEL</t>
        </is>
      </c>
      <c r="F51" s="243">
        <f>INDEX('Entrada de Dados'!C$6:C$196,MATCH($C51,'Entrada de Dados'!$A$6:$A$196,0))</f>
        <v/>
      </c>
      <c r="G51" s="243">
        <f>INDEX('Entrada de Dados'!D$6:D$196,MATCH($C51,'Entrada de Dados'!$A$6:$A$196,0))</f>
        <v/>
      </c>
      <c r="H51" s="243">
        <f>INDEX('Entrada de Dados'!E$6:E$196,MATCH($C51,'Entrada de Dados'!$A$6:$A$196,0))</f>
        <v/>
      </c>
      <c r="I51" s="243">
        <f>INDEX('Entrada de Dados'!F$6:F$196,MATCH($C51,'Entrada de Dados'!$A$6:$A$196,0))</f>
        <v/>
      </c>
      <c r="J51" s="243">
        <f>INDEX('Entrada de Dados'!G$6:G$196,MATCH($C51,'Entrada de Dados'!$A$6:$A$196,0))</f>
        <v/>
      </c>
      <c r="K51" s="243">
        <f>INDEX('Entrada de Dados'!H$6:H$196,MATCH($C51,'Entrada de Dados'!$A$6:$A$196,0))</f>
        <v/>
      </c>
      <c r="L51" s="243">
        <f>INDEX('Entrada de Dados'!I$6:I$196,MATCH($C51,'Entrada de Dados'!$A$6:$A$196,0))</f>
        <v/>
      </c>
      <c r="M51" s="243">
        <f>INDEX('Entrada de Dados'!J$6:J$196,MATCH($C51,'Entrada de Dados'!$A$6:$A$196,0))</f>
        <v/>
      </c>
      <c r="N51" s="243">
        <f>INDEX('Entrada de Dados'!K$6:K$196,MATCH($C51,'Entrada de Dados'!$A$6:$A$196,0))</f>
        <v/>
      </c>
      <c r="O51" s="243">
        <f>INDEX('Entrada de Dados'!L$6:L$196,MATCH($C51,'Entrada de Dados'!$A$6:$A$196,0))</f>
        <v/>
      </c>
      <c r="P51" s="243">
        <f>INDEX('Entrada de Dados'!M$6:M$196,MATCH($C51,'Entrada de Dados'!$A$6:$A$196,0))</f>
        <v/>
      </c>
      <c r="Q51" s="243">
        <f>INDEX('Entrada de Dados'!N$6:N$196,MATCH($C51,'Entrada de Dados'!$A$6:$A$196,0))</f>
        <v/>
      </c>
      <c r="R51" s="243">
        <f>INDEX('Entrada de Dados'!O$6:O$196,MATCH($C51,'Entrada de Dados'!$A$6:$A$196,0))</f>
        <v/>
      </c>
      <c r="S51" s="243">
        <f>INDEX('Entrada de Dados'!P$6:P$196,MATCH($C51,'Entrada de Dados'!$A$6:$A$196,0))</f>
        <v/>
      </c>
      <c r="T51" s="243">
        <f>INDEX('Entrada de Dados'!Q$6:Q$196,MATCH($C51,'Entrada de Dados'!$A$6:$A$196,0))</f>
        <v/>
      </c>
      <c r="U51" s="243">
        <f>INDEX('Entrada de Dados'!R$6:R$196,MATCH($C51,'Entrada de Dados'!$A$6:$A$196,0))</f>
        <v/>
      </c>
      <c r="V51" s="243">
        <f>INDEX('Entrada de Dados'!S$6:S$196,MATCH($C51,'Entrada de Dados'!$A$6:$A$196,0))</f>
        <v/>
      </c>
      <c r="W51" s="243">
        <f>INDEX('Entrada de Dados'!T$6:T$196,MATCH($C51,'Entrada de Dados'!$A$6:$A$196,0))</f>
        <v/>
      </c>
      <c r="X51" s="243">
        <f>INDEX('Entrada de Dados'!U$6:U$196,MATCH($C51,'Entrada de Dados'!$A$6:$A$196,0))</f>
        <v/>
      </c>
    </row>
    <row r="52">
      <c r="A52" s="241" t="n">
        <v>15</v>
      </c>
      <c r="B52" s="241" t="inlineStr"/>
      <c r="C52" s="241" t="inlineStr">
        <is>
          <t>2049</t>
        </is>
      </c>
      <c r="D52" s="242">
        <f>HYPERLINK("#'ESCOLA SÃO JOSÉ DO CAETITU'!A1","ESCOLA SÃO JOSÉ DO CAETITU")</f>
        <v/>
      </c>
      <c r="E52" s="242" t="inlineStr">
        <is>
          <t>CASTELO SÃO MANOEL</t>
        </is>
      </c>
      <c r="F52" s="243">
        <f>INDEX('Entrada de Dados'!C$6:C$196,MATCH($C52,'Entrada de Dados'!$A$6:$A$196,0))</f>
        <v/>
      </c>
      <c r="G52" s="243">
        <f>INDEX('Entrada de Dados'!D$6:D$196,MATCH($C52,'Entrada de Dados'!$A$6:$A$196,0))</f>
        <v/>
      </c>
      <c r="H52" s="243">
        <f>INDEX('Entrada de Dados'!E$6:E$196,MATCH($C52,'Entrada de Dados'!$A$6:$A$196,0))</f>
        <v/>
      </c>
      <c r="I52" s="243">
        <f>INDEX('Entrada de Dados'!F$6:F$196,MATCH($C52,'Entrada de Dados'!$A$6:$A$196,0))</f>
        <v/>
      </c>
      <c r="J52" s="243">
        <f>INDEX('Entrada de Dados'!G$6:G$196,MATCH($C52,'Entrada de Dados'!$A$6:$A$196,0))</f>
        <v/>
      </c>
      <c r="K52" s="243">
        <f>INDEX('Entrada de Dados'!H$6:H$196,MATCH($C52,'Entrada de Dados'!$A$6:$A$196,0))</f>
        <v/>
      </c>
      <c r="L52" s="243">
        <f>INDEX('Entrada de Dados'!I$6:I$196,MATCH($C52,'Entrada de Dados'!$A$6:$A$196,0))</f>
        <v/>
      </c>
      <c r="M52" s="243">
        <f>INDEX('Entrada de Dados'!J$6:J$196,MATCH($C52,'Entrada de Dados'!$A$6:$A$196,0))</f>
        <v/>
      </c>
      <c r="N52" s="243">
        <f>INDEX('Entrada de Dados'!K$6:K$196,MATCH($C52,'Entrada de Dados'!$A$6:$A$196,0))</f>
        <v/>
      </c>
      <c r="O52" s="243">
        <f>INDEX('Entrada de Dados'!L$6:L$196,MATCH($C52,'Entrada de Dados'!$A$6:$A$196,0))</f>
        <v/>
      </c>
      <c r="P52" s="243">
        <f>INDEX('Entrada de Dados'!M$6:M$196,MATCH($C52,'Entrada de Dados'!$A$6:$A$196,0))</f>
        <v/>
      </c>
      <c r="Q52" s="243">
        <f>INDEX('Entrada de Dados'!N$6:N$196,MATCH($C52,'Entrada de Dados'!$A$6:$A$196,0))</f>
        <v/>
      </c>
      <c r="R52" s="243">
        <f>INDEX('Entrada de Dados'!O$6:O$196,MATCH($C52,'Entrada de Dados'!$A$6:$A$196,0))</f>
        <v/>
      </c>
      <c r="S52" s="243">
        <f>INDEX('Entrada de Dados'!P$6:P$196,MATCH($C52,'Entrada de Dados'!$A$6:$A$196,0))</f>
        <v/>
      </c>
      <c r="T52" s="243">
        <f>INDEX('Entrada de Dados'!Q$6:Q$196,MATCH($C52,'Entrada de Dados'!$A$6:$A$196,0))</f>
        <v/>
      </c>
      <c r="U52" s="243">
        <f>INDEX('Entrada de Dados'!R$6:R$196,MATCH($C52,'Entrada de Dados'!$A$6:$A$196,0))</f>
        <v/>
      </c>
      <c r="V52" s="243">
        <f>INDEX('Entrada de Dados'!S$6:S$196,MATCH($C52,'Entrada de Dados'!$A$6:$A$196,0))</f>
        <v/>
      </c>
      <c r="W52" s="243">
        <f>INDEX('Entrada de Dados'!T$6:T$196,MATCH($C52,'Entrada de Dados'!$A$6:$A$196,0))</f>
        <v/>
      </c>
      <c r="X52" s="243">
        <f>INDEX('Entrada de Dados'!U$6:U$196,MATCH($C52,'Entrada de Dados'!$A$6:$A$196,0))</f>
        <v/>
      </c>
    </row>
    <row r="53">
      <c r="A53" s="241" t="n">
        <v>16</v>
      </c>
      <c r="B53" s="241" t="inlineStr"/>
      <c r="C53" s="241" t="inlineStr">
        <is>
          <t>4019</t>
        </is>
      </c>
      <c r="D53" s="242">
        <f>HYPERLINK("#'CRECHE-ESCOLA CASTELO SÃO MANOE'!A1","CRECHE-ESCOLA CASTELO SÃO MANOEL")</f>
        <v/>
      </c>
      <c r="E53" s="242" t="inlineStr">
        <is>
          <t>CASTELO SÃO MANOEL</t>
        </is>
      </c>
      <c r="F53" s="243">
        <f>INDEX('Entrada de Dados'!C$6:C$196,MATCH($C53,'Entrada de Dados'!$A$6:$A$196,0))</f>
        <v/>
      </c>
      <c r="G53" s="243">
        <f>INDEX('Entrada de Dados'!D$6:D$196,MATCH($C53,'Entrada de Dados'!$A$6:$A$196,0))</f>
        <v/>
      </c>
      <c r="H53" s="243">
        <f>INDEX('Entrada de Dados'!E$6:E$196,MATCH($C53,'Entrada de Dados'!$A$6:$A$196,0))</f>
        <v/>
      </c>
      <c r="I53" s="243">
        <f>INDEX('Entrada de Dados'!F$6:F$196,MATCH($C53,'Entrada de Dados'!$A$6:$A$196,0))</f>
        <v/>
      </c>
      <c r="J53" s="243">
        <f>INDEX('Entrada de Dados'!G$6:G$196,MATCH($C53,'Entrada de Dados'!$A$6:$A$196,0))</f>
        <v/>
      </c>
      <c r="K53" s="243">
        <f>INDEX('Entrada de Dados'!H$6:H$196,MATCH($C53,'Entrada de Dados'!$A$6:$A$196,0))</f>
        <v/>
      </c>
      <c r="L53" s="243">
        <f>INDEX('Entrada de Dados'!I$6:I$196,MATCH($C53,'Entrada de Dados'!$A$6:$A$196,0))</f>
        <v/>
      </c>
      <c r="M53" s="243">
        <f>INDEX('Entrada de Dados'!J$6:J$196,MATCH($C53,'Entrada de Dados'!$A$6:$A$196,0))</f>
        <v/>
      </c>
      <c r="N53" s="243">
        <f>INDEX('Entrada de Dados'!K$6:K$196,MATCH($C53,'Entrada de Dados'!$A$6:$A$196,0))</f>
        <v/>
      </c>
      <c r="O53" s="243">
        <f>INDEX('Entrada de Dados'!L$6:L$196,MATCH($C53,'Entrada de Dados'!$A$6:$A$196,0))</f>
        <v/>
      </c>
      <c r="P53" s="243">
        <f>INDEX('Entrada de Dados'!M$6:M$196,MATCH($C53,'Entrada de Dados'!$A$6:$A$196,0))</f>
        <v/>
      </c>
      <c r="Q53" s="243">
        <f>INDEX('Entrada de Dados'!N$6:N$196,MATCH($C53,'Entrada de Dados'!$A$6:$A$196,0))</f>
        <v/>
      </c>
      <c r="R53" s="243">
        <f>INDEX('Entrada de Dados'!O$6:O$196,MATCH($C53,'Entrada de Dados'!$A$6:$A$196,0))</f>
        <v/>
      </c>
      <c r="S53" s="243">
        <f>INDEX('Entrada de Dados'!P$6:P$196,MATCH($C53,'Entrada de Dados'!$A$6:$A$196,0))</f>
        <v/>
      </c>
      <c r="T53" s="243">
        <f>INDEX('Entrada de Dados'!Q$6:Q$196,MATCH($C53,'Entrada de Dados'!$A$6:$A$196,0))</f>
        <v/>
      </c>
      <c r="U53" s="243">
        <f>INDEX('Entrada de Dados'!R$6:R$196,MATCH($C53,'Entrada de Dados'!$A$6:$A$196,0))</f>
        <v/>
      </c>
      <c r="V53" s="243">
        <f>INDEX('Entrada de Dados'!S$6:S$196,MATCH($C53,'Entrada de Dados'!$A$6:$A$196,0))</f>
        <v/>
      </c>
      <c r="W53" s="243">
        <f>INDEX('Entrada de Dados'!T$6:T$196,MATCH($C53,'Entrada de Dados'!$A$6:$A$196,0))</f>
        <v/>
      </c>
      <c r="X53" s="243">
        <f>INDEX('Entrada de Dados'!U$6:U$196,MATCH($C53,'Entrada de Dados'!$A$6:$A$196,0))</f>
        <v/>
      </c>
    </row>
    <row r="54" ht="22" customHeight="1" s="107">
      <c r="A54" s="248" t="inlineStr">
        <is>
          <t>Peso previsto:</t>
        </is>
      </c>
      <c r="C54" s="249">
        <f>SUM(F38:F53)+SUM(G38:G53)+SUM(H38:H53)+SUM(I38:I53)+SUM(J38:J53)+SUM(K38:K53)+SUM(L38:L53)+SUM(M38:M53)+SUM(N38:N53)+SUM(O38:O53)+SUM(P38:P53)+SUM(Q38:Q53)+SUM(R38:R53)+SUM(S38:S53)+SUM(T38:T53)+SUM(U38:U53)+SUM(W38:W53)+SUM(X38:X53)</f>
        <v/>
      </c>
      <c r="D54" s="248" t="inlineStr">
        <is>
          <t>Peso embarcado (kg):</t>
        </is>
      </c>
      <c r="F54" s="250" t="n"/>
      <c r="G54" s="248" t="inlineStr">
        <is>
          <t>Veículo:</t>
        </is>
      </c>
      <c r="I54" s="250" t="n"/>
      <c r="J54" s="251" t="n"/>
      <c r="K54" s="248" t="inlineStr">
        <is>
          <t>Motorista:</t>
        </is>
      </c>
      <c r="M54" s="250" t="n"/>
      <c r="N54" s="252" t="n"/>
      <c r="O54" s="252" t="n"/>
      <c r="P54" s="252" t="n"/>
      <c r="Q54" s="252" t="n"/>
      <c r="R54" s="252" t="n"/>
      <c r="S54" s="252" t="n"/>
      <c r="T54" s="252" t="n"/>
      <c r="U54" s="252" t="n"/>
      <c r="V54" s="252" t="n"/>
      <c r="W54" s="252" t="n"/>
      <c r="X54" s="251" t="n"/>
    </row>
    <row r="56" ht="20" customHeight="1" s="107">
      <c r="A56" s="236" t="inlineStr">
        <is>
          <t>ROTA S4 — CARANGOLA - JARDIM SALVADOR - SAMAMBAIA · KOMBI · 12 escolas · 12 paradas físicas</t>
        </is>
      </c>
    </row>
    <row r="57" ht="26" customHeight="1" s="107">
      <c r="A57" s="238" t="inlineStr">
        <is>
          <t>Sequência-base: Galpão Itaipava &gt; Carangola &gt; Vale do Carangola &gt; Jardim Salvador &gt; Samambaia &gt; Galpão   Atenção: Acessos residenciais e de morro. Priorizar veículo curto e confirmar local de giro.</t>
        </is>
      </c>
    </row>
    <row r="58" ht="30" customHeight="1" s="107">
      <c r="A58" s="240" t="inlineStr">
        <is>
          <t>PAR.</t>
        </is>
      </c>
      <c r="B58" s="240" t="inlineStr">
        <is>
          <t>SUB</t>
        </is>
      </c>
      <c r="C58" s="240" t="inlineStr">
        <is>
          <t>CÓDIGO</t>
        </is>
      </c>
      <c r="D58" s="240" t="inlineStr">
        <is>
          <t>ESCOLA</t>
        </is>
      </c>
      <c r="E58" s="240" t="inlineStr">
        <is>
          <t>BAIRRO/CORREDOR</t>
        </is>
      </c>
      <c r="F58" s="240" t="inlineStr">
        <is>
          <t>Abacate</t>
        </is>
      </c>
      <c r="G58" s="240" t="inlineStr">
        <is>
          <t>Abobrinha</t>
        </is>
      </c>
      <c r="H58" s="240" t="inlineStr">
        <is>
          <t>Agrião</t>
        </is>
      </c>
      <c r="I58" s="240" t="inlineStr">
        <is>
          <t>Alface lisa</t>
        </is>
      </c>
      <c r="J58" s="240" t="inlineStr">
        <is>
          <t>Banana prata</t>
        </is>
      </c>
      <c r="K58" s="240" t="inlineStr">
        <is>
          <t>Batata inglesa</t>
        </is>
      </c>
      <c r="L58" s="240" t="inlineStr">
        <is>
          <t>Beterraba</t>
        </is>
      </c>
      <c r="M58" s="240" t="inlineStr">
        <is>
          <t>Brócolis</t>
        </is>
      </c>
      <c r="N58" s="240" t="inlineStr">
        <is>
          <t>Cenoura</t>
        </is>
      </c>
      <c r="O58" s="240" t="inlineStr">
        <is>
          <t>Cheiro verde</t>
        </is>
      </c>
      <c r="P58" s="240" t="inlineStr">
        <is>
          <t>Chuchu</t>
        </is>
      </c>
      <c r="Q58" s="240" t="inlineStr">
        <is>
          <t>Couve manteiga</t>
        </is>
      </c>
      <c r="R58" s="240" t="inlineStr">
        <is>
          <t>Couve-flor</t>
        </is>
      </c>
      <c r="S58" s="240" t="inlineStr">
        <is>
          <t>Espinafre</t>
        </is>
      </c>
      <c r="T58" s="240" t="inlineStr">
        <is>
          <t>Maçã gala</t>
        </is>
      </c>
      <c r="U58" s="240" t="inlineStr">
        <is>
          <t>Mel</t>
        </is>
      </c>
      <c r="V58" s="240" t="inlineStr">
        <is>
          <t>Ovos (dz)</t>
        </is>
      </c>
      <c r="W58" s="240" t="inlineStr">
        <is>
          <t>Repolho</t>
        </is>
      </c>
      <c r="X58" s="240" t="inlineStr">
        <is>
          <t>Tangerina ponkan</t>
        </is>
      </c>
    </row>
    <row r="59">
      <c r="A59" s="241" t="n">
        <v>1</v>
      </c>
      <c r="B59" s="241" t="inlineStr"/>
      <c r="C59" s="241" t="inlineStr">
        <is>
          <t>1100</t>
        </is>
      </c>
      <c r="D59" s="242">
        <f>HYPERLINK("#'E M DOM MANOEL PEDRO DA CUNHA C'!A1","E M DOM MANOEL PEDRO DA CUNHA CINTRA")</f>
        <v/>
      </c>
      <c r="E59" s="242" t="inlineStr">
        <is>
          <t>CARANGOLA</t>
        </is>
      </c>
      <c r="F59" s="243">
        <f>INDEX('Entrada de Dados'!C$6:C$196,MATCH($C59,'Entrada de Dados'!$A$6:$A$196,0))</f>
        <v/>
      </c>
      <c r="G59" s="243">
        <f>INDEX('Entrada de Dados'!D$6:D$196,MATCH($C59,'Entrada de Dados'!$A$6:$A$196,0))</f>
        <v/>
      </c>
      <c r="H59" s="243">
        <f>INDEX('Entrada de Dados'!E$6:E$196,MATCH($C59,'Entrada de Dados'!$A$6:$A$196,0))</f>
        <v/>
      </c>
      <c r="I59" s="243">
        <f>INDEX('Entrada de Dados'!F$6:F$196,MATCH($C59,'Entrada de Dados'!$A$6:$A$196,0))</f>
        <v/>
      </c>
      <c r="J59" s="243">
        <f>INDEX('Entrada de Dados'!G$6:G$196,MATCH($C59,'Entrada de Dados'!$A$6:$A$196,0))</f>
        <v/>
      </c>
      <c r="K59" s="243">
        <f>INDEX('Entrada de Dados'!H$6:H$196,MATCH($C59,'Entrada de Dados'!$A$6:$A$196,0))</f>
        <v/>
      </c>
      <c r="L59" s="243">
        <f>INDEX('Entrada de Dados'!I$6:I$196,MATCH($C59,'Entrada de Dados'!$A$6:$A$196,0))</f>
        <v/>
      </c>
      <c r="M59" s="243">
        <f>INDEX('Entrada de Dados'!J$6:J$196,MATCH($C59,'Entrada de Dados'!$A$6:$A$196,0))</f>
        <v/>
      </c>
      <c r="N59" s="243">
        <f>INDEX('Entrada de Dados'!K$6:K$196,MATCH($C59,'Entrada de Dados'!$A$6:$A$196,0))</f>
        <v/>
      </c>
      <c r="O59" s="243">
        <f>INDEX('Entrada de Dados'!L$6:L$196,MATCH($C59,'Entrada de Dados'!$A$6:$A$196,0))</f>
        <v/>
      </c>
      <c r="P59" s="243">
        <f>INDEX('Entrada de Dados'!M$6:M$196,MATCH($C59,'Entrada de Dados'!$A$6:$A$196,0))</f>
        <v/>
      </c>
      <c r="Q59" s="243">
        <f>INDEX('Entrada de Dados'!N$6:N$196,MATCH($C59,'Entrada de Dados'!$A$6:$A$196,0))</f>
        <v/>
      </c>
      <c r="R59" s="243">
        <f>INDEX('Entrada de Dados'!O$6:O$196,MATCH($C59,'Entrada de Dados'!$A$6:$A$196,0))</f>
        <v/>
      </c>
      <c r="S59" s="243">
        <f>INDEX('Entrada de Dados'!P$6:P$196,MATCH($C59,'Entrada de Dados'!$A$6:$A$196,0))</f>
        <v/>
      </c>
      <c r="T59" s="243">
        <f>INDEX('Entrada de Dados'!Q$6:Q$196,MATCH($C59,'Entrada de Dados'!$A$6:$A$196,0))</f>
        <v/>
      </c>
      <c r="U59" s="243">
        <f>INDEX('Entrada de Dados'!R$6:R$196,MATCH($C59,'Entrada de Dados'!$A$6:$A$196,0))</f>
        <v/>
      </c>
      <c r="V59" s="243">
        <f>INDEX('Entrada de Dados'!S$6:S$196,MATCH($C59,'Entrada de Dados'!$A$6:$A$196,0))</f>
        <v/>
      </c>
      <c r="W59" s="243">
        <f>INDEX('Entrada de Dados'!T$6:T$196,MATCH($C59,'Entrada de Dados'!$A$6:$A$196,0))</f>
        <v/>
      </c>
      <c r="X59" s="243">
        <f>INDEX('Entrada de Dados'!U$6:U$196,MATCH($C59,'Entrada de Dados'!$A$6:$A$196,0))</f>
        <v/>
      </c>
    </row>
    <row r="60">
      <c r="A60" s="241" t="n">
        <v>2</v>
      </c>
      <c r="B60" s="241" t="inlineStr"/>
      <c r="C60" s="241" t="inlineStr">
        <is>
          <t>4007</t>
        </is>
      </c>
      <c r="D60" s="242">
        <f>HYPERLINK("#'ASSOCIAÇÃO RECREAR'!A1","ASSOCIAÇÃO RECREAR")</f>
        <v/>
      </c>
      <c r="E60" s="242" t="inlineStr">
        <is>
          <t>CARANGOLA</t>
        </is>
      </c>
      <c r="F60" s="243">
        <f>INDEX('Entrada de Dados'!C$6:C$196,MATCH($C60,'Entrada de Dados'!$A$6:$A$196,0))</f>
        <v/>
      </c>
      <c r="G60" s="243">
        <f>INDEX('Entrada de Dados'!D$6:D$196,MATCH($C60,'Entrada de Dados'!$A$6:$A$196,0))</f>
        <v/>
      </c>
      <c r="H60" s="243">
        <f>INDEX('Entrada de Dados'!E$6:E$196,MATCH($C60,'Entrada de Dados'!$A$6:$A$196,0))</f>
        <v/>
      </c>
      <c r="I60" s="243">
        <f>INDEX('Entrada de Dados'!F$6:F$196,MATCH($C60,'Entrada de Dados'!$A$6:$A$196,0))</f>
        <v/>
      </c>
      <c r="J60" s="243">
        <f>INDEX('Entrada de Dados'!G$6:G$196,MATCH($C60,'Entrada de Dados'!$A$6:$A$196,0))</f>
        <v/>
      </c>
      <c r="K60" s="243">
        <f>INDEX('Entrada de Dados'!H$6:H$196,MATCH($C60,'Entrada de Dados'!$A$6:$A$196,0))</f>
        <v/>
      </c>
      <c r="L60" s="243">
        <f>INDEX('Entrada de Dados'!I$6:I$196,MATCH($C60,'Entrada de Dados'!$A$6:$A$196,0))</f>
        <v/>
      </c>
      <c r="M60" s="243">
        <f>INDEX('Entrada de Dados'!J$6:J$196,MATCH($C60,'Entrada de Dados'!$A$6:$A$196,0))</f>
        <v/>
      </c>
      <c r="N60" s="243">
        <f>INDEX('Entrada de Dados'!K$6:K$196,MATCH($C60,'Entrada de Dados'!$A$6:$A$196,0))</f>
        <v/>
      </c>
      <c r="O60" s="243">
        <f>INDEX('Entrada de Dados'!L$6:L$196,MATCH($C60,'Entrada de Dados'!$A$6:$A$196,0))</f>
        <v/>
      </c>
      <c r="P60" s="243">
        <f>INDEX('Entrada de Dados'!M$6:M$196,MATCH($C60,'Entrada de Dados'!$A$6:$A$196,0))</f>
        <v/>
      </c>
      <c r="Q60" s="243">
        <f>INDEX('Entrada de Dados'!N$6:N$196,MATCH($C60,'Entrada de Dados'!$A$6:$A$196,0))</f>
        <v/>
      </c>
      <c r="R60" s="243">
        <f>INDEX('Entrada de Dados'!O$6:O$196,MATCH($C60,'Entrada de Dados'!$A$6:$A$196,0))</f>
        <v/>
      </c>
      <c r="S60" s="243">
        <f>INDEX('Entrada de Dados'!P$6:P$196,MATCH($C60,'Entrada de Dados'!$A$6:$A$196,0))</f>
        <v/>
      </c>
      <c r="T60" s="243">
        <f>INDEX('Entrada de Dados'!Q$6:Q$196,MATCH($C60,'Entrada de Dados'!$A$6:$A$196,0))</f>
        <v/>
      </c>
      <c r="U60" s="243">
        <f>INDEX('Entrada de Dados'!R$6:R$196,MATCH($C60,'Entrada de Dados'!$A$6:$A$196,0))</f>
        <v/>
      </c>
      <c r="V60" s="243">
        <f>INDEX('Entrada de Dados'!S$6:S$196,MATCH($C60,'Entrada de Dados'!$A$6:$A$196,0))</f>
        <v/>
      </c>
      <c r="W60" s="243">
        <f>INDEX('Entrada de Dados'!T$6:T$196,MATCH($C60,'Entrada de Dados'!$A$6:$A$196,0))</f>
        <v/>
      </c>
      <c r="X60" s="243">
        <f>INDEX('Entrada de Dados'!U$6:U$196,MATCH($C60,'Entrada de Dados'!$A$6:$A$196,0))</f>
        <v/>
      </c>
    </row>
    <row r="61">
      <c r="A61" s="241" t="n">
        <v>3</v>
      </c>
      <c r="B61" s="241" t="inlineStr"/>
      <c r="C61" s="241" t="inlineStr">
        <is>
          <t>2041</t>
        </is>
      </c>
      <c r="D61" s="242">
        <f>HYPERLINK("#'ESCOLA SÃO GERALDO'!A1","ESCOLA SÃO GERALDO")</f>
        <v/>
      </c>
      <c r="E61" s="242" t="inlineStr">
        <is>
          <t>CARANGOLA</t>
        </is>
      </c>
      <c r="F61" s="243">
        <f>INDEX('Entrada de Dados'!C$6:C$196,MATCH($C61,'Entrada de Dados'!$A$6:$A$196,0))</f>
        <v/>
      </c>
      <c r="G61" s="243">
        <f>INDEX('Entrada de Dados'!D$6:D$196,MATCH($C61,'Entrada de Dados'!$A$6:$A$196,0))</f>
        <v/>
      </c>
      <c r="H61" s="243">
        <f>INDEX('Entrada de Dados'!E$6:E$196,MATCH($C61,'Entrada de Dados'!$A$6:$A$196,0))</f>
        <v/>
      </c>
      <c r="I61" s="243">
        <f>INDEX('Entrada de Dados'!F$6:F$196,MATCH($C61,'Entrada de Dados'!$A$6:$A$196,0))</f>
        <v/>
      </c>
      <c r="J61" s="243">
        <f>INDEX('Entrada de Dados'!G$6:G$196,MATCH($C61,'Entrada de Dados'!$A$6:$A$196,0))</f>
        <v/>
      </c>
      <c r="K61" s="243">
        <f>INDEX('Entrada de Dados'!H$6:H$196,MATCH($C61,'Entrada de Dados'!$A$6:$A$196,0))</f>
        <v/>
      </c>
      <c r="L61" s="243">
        <f>INDEX('Entrada de Dados'!I$6:I$196,MATCH($C61,'Entrada de Dados'!$A$6:$A$196,0))</f>
        <v/>
      </c>
      <c r="M61" s="243">
        <f>INDEX('Entrada de Dados'!J$6:J$196,MATCH($C61,'Entrada de Dados'!$A$6:$A$196,0))</f>
        <v/>
      </c>
      <c r="N61" s="243">
        <f>INDEX('Entrada de Dados'!K$6:K$196,MATCH($C61,'Entrada de Dados'!$A$6:$A$196,0))</f>
        <v/>
      </c>
      <c r="O61" s="243">
        <f>INDEX('Entrada de Dados'!L$6:L$196,MATCH($C61,'Entrada de Dados'!$A$6:$A$196,0))</f>
        <v/>
      </c>
      <c r="P61" s="243">
        <f>INDEX('Entrada de Dados'!M$6:M$196,MATCH($C61,'Entrada de Dados'!$A$6:$A$196,0))</f>
        <v/>
      </c>
      <c r="Q61" s="243">
        <f>INDEX('Entrada de Dados'!N$6:N$196,MATCH($C61,'Entrada de Dados'!$A$6:$A$196,0))</f>
        <v/>
      </c>
      <c r="R61" s="243">
        <f>INDEX('Entrada de Dados'!O$6:O$196,MATCH($C61,'Entrada de Dados'!$A$6:$A$196,0))</f>
        <v/>
      </c>
      <c r="S61" s="243">
        <f>INDEX('Entrada de Dados'!P$6:P$196,MATCH($C61,'Entrada de Dados'!$A$6:$A$196,0))</f>
        <v/>
      </c>
      <c r="T61" s="243">
        <f>INDEX('Entrada de Dados'!Q$6:Q$196,MATCH($C61,'Entrada de Dados'!$A$6:$A$196,0))</f>
        <v/>
      </c>
      <c r="U61" s="243">
        <f>INDEX('Entrada de Dados'!R$6:R$196,MATCH($C61,'Entrada de Dados'!$A$6:$A$196,0))</f>
        <v/>
      </c>
      <c r="V61" s="243">
        <f>INDEX('Entrada de Dados'!S$6:S$196,MATCH($C61,'Entrada de Dados'!$A$6:$A$196,0))</f>
        <v/>
      </c>
      <c r="W61" s="243">
        <f>INDEX('Entrada de Dados'!T$6:T$196,MATCH($C61,'Entrada de Dados'!$A$6:$A$196,0))</f>
        <v/>
      </c>
      <c r="X61" s="243">
        <f>INDEX('Entrada de Dados'!U$6:U$196,MATCH($C61,'Entrada de Dados'!$A$6:$A$196,0))</f>
        <v/>
      </c>
    </row>
    <row r="62">
      <c r="A62" s="241" t="n">
        <v>4</v>
      </c>
      <c r="B62" s="241" t="inlineStr"/>
      <c r="C62" s="241" t="inlineStr">
        <is>
          <t>3039</t>
        </is>
      </c>
      <c r="D62" s="242">
        <f>HYPERLINK("#'CEI CARANGOLA'!A1","CEI CARANGOLA")</f>
        <v/>
      </c>
      <c r="E62" s="242" t="inlineStr">
        <is>
          <t>CARANGOLA</t>
        </is>
      </c>
      <c r="F62" s="243">
        <f>INDEX('Entrada de Dados'!C$6:C$196,MATCH($C62,'Entrada de Dados'!$A$6:$A$196,0))</f>
        <v/>
      </c>
      <c r="G62" s="243">
        <f>INDEX('Entrada de Dados'!D$6:D$196,MATCH($C62,'Entrada de Dados'!$A$6:$A$196,0))</f>
        <v/>
      </c>
      <c r="H62" s="243">
        <f>INDEX('Entrada de Dados'!E$6:E$196,MATCH($C62,'Entrada de Dados'!$A$6:$A$196,0))</f>
        <v/>
      </c>
      <c r="I62" s="243">
        <f>INDEX('Entrada de Dados'!F$6:F$196,MATCH($C62,'Entrada de Dados'!$A$6:$A$196,0))</f>
        <v/>
      </c>
      <c r="J62" s="243">
        <f>INDEX('Entrada de Dados'!G$6:G$196,MATCH($C62,'Entrada de Dados'!$A$6:$A$196,0))</f>
        <v/>
      </c>
      <c r="K62" s="243">
        <f>INDEX('Entrada de Dados'!H$6:H$196,MATCH($C62,'Entrada de Dados'!$A$6:$A$196,0))</f>
        <v/>
      </c>
      <c r="L62" s="243">
        <f>INDEX('Entrada de Dados'!I$6:I$196,MATCH($C62,'Entrada de Dados'!$A$6:$A$196,0))</f>
        <v/>
      </c>
      <c r="M62" s="243">
        <f>INDEX('Entrada de Dados'!J$6:J$196,MATCH($C62,'Entrada de Dados'!$A$6:$A$196,0))</f>
        <v/>
      </c>
      <c r="N62" s="243">
        <f>INDEX('Entrada de Dados'!K$6:K$196,MATCH($C62,'Entrada de Dados'!$A$6:$A$196,0))</f>
        <v/>
      </c>
      <c r="O62" s="243">
        <f>INDEX('Entrada de Dados'!L$6:L$196,MATCH($C62,'Entrada de Dados'!$A$6:$A$196,0))</f>
        <v/>
      </c>
      <c r="P62" s="243">
        <f>INDEX('Entrada de Dados'!M$6:M$196,MATCH($C62,'Entrada de Dados'!$A$6:$A$196,0))</f>
        <v/>
      </c>
      <c r="Q62" s="243">
        <f>INDEX('Entrada de Dados'!N$6:N$196,MATCH($C62,'Entrada de Dados'!$A$6:$A$196,0))</f>
        <v/>
      </c>
      <c r="R62" s="243">
        <f>INDEX('Entrada de Dados'!O$6:O$196,MATCH($C62,'Entrada de Dados'!$A$6:$A$196,0))</f>
        <v/>
      </c>
      <c r="S62" s="243">
        <f>INDEX('Entrada de Dados'!P$6:P$196,MATCH($C62,'Entrada de Dados'!$A$6:$A$196,0))</f>
        <v/>
      </c>
      <c r="T62" s="243">
        <f>INDEX('Entrada de Dados'!Q$6:Q$196,MATCH($C62,'Entrada de Dados'!$A$6:$A$196,0))</f>
        <v/>
      </c>
      <c r="U62" s="243">
        <f>INDEX('Entrada de Dados'!R$6:R$196,MATCH($C62,'Entrada de Dados'!$A$6:$A$196,0))</f>
        <v/>
      </c>
      <c r="V62" s="243">
        <f>INDEX('Entrada de Dados'!S$6:S$196,MATCH($C62,'Entrada de Dados'!$A$6:$A$196,0))</f>
        <v/>
      </c>
      <c r="W62" s="243">
        <f>INDEX('Entrada de Dados'!T$6:T$196,MATCH($C62,'Entrada de Dados'!$A$6:$A$196,0))</f>
        <v/>
      </c>
      <c r="X62" s="243">
        <f>INDEX('Entrada de Dados'!U$6:U$196,MATCH($C62,'Entrada de Dados'!$A$6:$A$196,0))</f>
        <v/>
      </c>
    </row>
    <row r="63">
      <c r="A63" s="241" t="n">
        <v>5</v>
      </c>
      <c r="B63" s="241" t="inlineStr"/>
      <c r="C63" s="241" t="inlineStr">
        <is>
          <t>3004</t>
        </is>
      </c>
      <c r="D63" s="242">
        <f>HYPERLINK("#'CEI LULU MONTEIRO DE CASTRO'!A1","CEI LULU MONTEIRO DE CASTRO")</f>
        <v/>
      </c>
      <c r="E63" s="242" t="inlineStr">
        <is>
          <t>CARANGOLA</t>
        </is>
      </c>
      <c r="F63" s="243">
        <f>INDEX('Entrada de Dados'!C$6:C$196,MATCH($C63,'Entrada de Dados'!$A$6:$A$196,0))</f>
        <v/>
      </c>
      <c r="G63" s="243">
        <f>INDEX('Entrada de Dados'!D$6:D$196,MATCH($C63,'Entrada de Dados'!$A$6:$A$196,0))</f>
        <v/>
      </c>
      <c r="H63" s="243">
        <f>INDEX('Entrada de Dados'!E$6:E$196,MATCH($C63,'Entrada de Dados'!$A$6:$A$196,0))</f>
        <v/>
      </c>
      <c r="I63" s="243">
        <f>INDEX('Entrada de Dados'!F$6:F$196,MATCH($C63,'Entrada de Dados'!$A$6:$A$196,0))</f>
        <v/>
      </c>
      <c r="J63" s="243">
        <f>INDEX('Entrada de Dados'!G$6:G$196,MATCH($C63,'Entrada de Dados'!$A$6:$A$196,0))</f>
        <v/>
      </c>
      <c r="K63" s="243">
        <f>INDEX('Entrada de Dados'!H$6:H$196,MATCH($C63,'Entrada de Dados'!$A$6:$A$196,0))</f>
        <v/>
      </c>
      <c r="L63" s="243">
        <f>INDEX('Entrada de Dados'!I$6:I$196,MATCH($C63,'Entrada de Dados'!$A$6:$A$196,0))</f>
        <v/>
      </c>
      <c r="M63" s="243">
        <f>INDEX('Entrada de Dados'!J$6:J$196,MATCH($C63,'Entrada de Dados'!$A$6:$A$196,0))</f>
        <v/>
      </c>
      <c r="N63" s="243">
        <f>INDEX('Entrada de Dados'!K$6:K$196,MATCH($C63,'Entrada de Dados'!$A$6:$A$196,0))</f>
        <v/>
      </c>
      <c r="O63" s="243">
        <f>INDEX('Entrada de Dados'!L$6:L$196,MATCH($C63,'Entrada de Dados'!$A$6:$A$196,0))</f>
        <v/>
      </c>
      <c r="P63" s="243">
        <f>INDEX('Entrada de Dados'!M$6:M$196,MATCH($C63,'Entrada de Dados'!$A$6:$A$196,0))</f>
        <v/>
      </c>
      <c r="Q63" s="243">
        <f>INDEX('Entrada de Dados'!N$6:N$196,MATCH($C63,'Entrada de Dados'!$A$6:$A$196,0))</f>
        <v/>
      </c>
      <c r="R63" s="243">
        <f>INDEX('Entrada de Dados'!O$6:O$196,MATCH($C63,'Entrada de Dados'!$A$6:$A$196,0))</f>
        <v/>
      </c>
      <c r="S63" s="243">
        <f>INDEX('Entrada de Dados'!P$6:P$196,MATCH($C63,'Entrada de Dados'!$A$6:$A$196,0))</f>
        <v/>
      </c>
      <c r="T63" s="243">
        <f>INDEX('Entrada de Dados'!Q$6:Q$196,MATCH($C63,'Entrada de Dados'!$A$6:$A$196,0))</f>
        <v/>
      </c>
      <c r="U63" s="243">
        <f>INDEX('Entrada de Dados'!R$6:R$196,MATCH($C63,'Entrada de Dados'!$A$6:$A$196,0))</f>
        <v/>
      </c>
      <c r="V63" s="243">
        <f>INDEX('Entrada de Dados'!S$6:S$196,MATCH($C63,'Entrada de Dados'!$A$6:$A$196,0))</f>
        <v/>
      </c>
      <c r="W63" s="243">
        <f>INDEX('Entrada de Dados'!T$6:T$196,MATCH($C63,'Entrada de Dados'!$A$6:$A$196,0))</f>
        <v/>
      </c>
      <c r="X63" s="243">
        <f>INDEX('Entrada de Dados'!U$6:U$196,MATCH($C63,'Entrada de Dados'!$A$6:$A$196,0))</f>
        <v/>
      </c>
    </row>
    <row r="64">
      <c r="A64" s="241" t="n">
        <v>6</v>
      </c>
      <c r="B64" s="241" t="inlineStr"/>
      <c r="C64" s="241" t="inlineStr">
        <is>
          <t>1033</t>
        </is>
      </c>
      <c r="D64" s="242">
        <f>HYPERLINK("#'ESCOLA MUNICIPAL LÚCIA DE ALMEI'!A1","ESCOLA MUNICIPAL LÚCIA DE ALMEIDA BRAGA")</f>
        <v/>
      </c>
      <c r="E64" s="242" t="inlineStr">
        <is>
          <t>CARANGOLA</t>
        </is>
      </c>
      <c r="F64" s="243">
        <f>INDEX('Entrada de Dados'!C$6:C$196,MATCH($C64,'Entrada de Dados'!$A$6:$A$196,0))</f>
        <v/>
      </c>
      <c r="G64" s="243">
        <f>INDEX('Entrada de Dados'!D$6:D$196,MATCH($C64,'Entrada de Dados'!$A$6:$A$196,0))</f>
        <v/>
      </c>
      <c r="H64" s="243">
        <f>INDEX('Entrada de Dados'!E$6:E$196,MATCH($C64,'Entrada de Dados'!$A$6:$A$196,0))</f>
        <v/>
      </c>
      <c r="I64" s="243">
        <f>INDEX('Entrada de Dados'!F$6:F$196,MATCH($C64,'Entrada de Dados'!$A$6:$A$196,0))</f>
        <v/>
      </c>
      <c r="J64" s="243">
        <f>INDEX('Entrada de Dados'!G$6:G$196,MATCH($C64,'Entrada de Dados'!$A$6:$A$196,0))</f>
        <v/>
      </c>
      <c r="K64" s="243">
        <f>INDEX('Entrada de Dados'!H$6:H$196,MATCH($C64,'Entrada de Dados'!$A$6:$A$196,0))</f>
        <v/>
      </c>
      <c r="L64" s="243">
        <f>INDEX('Entrada de Dados'!I$6:I$196,MATCH($C64,'Entrada de Dados'!$A$6:$A$196,0))</f>
        <v/>
      </c>
      <c r="M64" s="243">
        <f>INDEX('Entrada de Dados'!J$6:J$196,MATCH($C64,'Entrada de Dados'!$A$6:$A$196,0))</f>
        <v/>
      </c>
      <c r="N64" s="243">
        <f>INDEX('Entrada de Dados'!K$6:K$196,MATCH($C64,'Entrada de Dados'!$A$6:$A$196,0))</f>
        <v/>
      </c>
      <c r="O64" s="243">
        <f>INDEX('Entrada de Dados'!L$6:L$196,MATCH($C64,'Entrada de Dados'!$A$6:$A$196,0))</f>
        <v/>
      </c>
      <c r="P64" s="243">
        <f>INDEX('Entrada de Dados'!M$6:M$196,MATCH($C64,'Entrada de Dados'!$A$6:$A$196,0))</f>
        <v/>
      </c>
      <c r="Q64" s="243">
        <f>INDEX('Entrada de Dados'!N$6:N$196,MATCH($C64,'Entrada de Dados'!$A$6:$A$196,0))</f>
        <v/>
      </c>
      <c r="R64" s="243">
        <f>INDEX('Entrada de Dados'!O$6:O$196,MATCH($C64,'Entrada de Dados'!$A$6:$A$196,0))</f>
        <v/>
      </c>
      <c r="S64" s="243">
        <f>INDEX('Entrada de Dados'!P$6:P$196,MATCH($C64,'Entrada de Dados'!$A$6:$A$196,0))</f>
        <v/>
      </c>
      <c r="T64" s="243">
        <f>INDEX('Entrada de Dados'!Q$6:Q$196,MATCH($C64,'Entrada de Dados'!$A$6:$A$196,0))</f>
        <v/>
      </c>
      <c r="U64" s="243">
        <f>INDEX('Entrada de Dados'!R$6:R$196,MATCH($C64,'Entrada de Dados'!$A$6:$A$196,0))</f>
        <v/>
      </c>
      <c r="V64" s="243">
        <f>INDEX('Entrada de Dados'!S$6:S$196,MATCH($C64,'Entrada de Dados'!$A$6:$A$196,0))</f>
        <v/>
      </c>
      <c r="W64" s="243">
        <f>INDEX('Entrada de Dados'!T$6:T$196,MATCH($C64,'Entrada de Dados'!$A$6:$A$196,0))</f>
        <v/>
      </c>
      <c r="X64" s="243">
        <f>INDEX('Entrada de Dados'!U$6:U$196,MATCH($C64,'Entrada de Dados'!$A$6:$A$196,0))</f>
        <v/>
      </c>
    </row>
    <row r="65">
      <c r="A65" s="241" t="n">
        <v>7</v>
      </c>
      <c r="B65" s="241" t="inlineStr"/>
      <c r="C65" s="241" t="inlineStr">
        <is>
          <t>3051</t>
        </is>
      </c>
      <c r="D65" s="242">
        <f>HYPERLINK("#'CENTRO DE EDUCAÇÃO INFANTIL CAS'!A1","CENTRO DE EDUCAÇÃO INFANTIL CASA DA PAZ")</f>
        <v/>
      </c>
      <c r="E65" s="242" t="inlineStr">
        <is>
          <t>VALE DO CARANGOLA</t>
        </is>
      </c>
      <c r="F65" s="243">
        <f>INDEX('Entrada de Dados'!C$6:C$196,MATCH($C65,'Entrada de Dados'!$A$6:$A$196,0))</f>
        <v/>
      </c>
      <c r="G65" s="243">
        <f>INDEX('Entrada de Dados'!D$6:D$196,MATCH($C65,'Entrada de Dados'!$A$6:$A$196,0))</f>
        <v/>
      </c>
      <c r="H65" s="243">
        <f>INDEX('Entrada de Dados'!E$6:E$196,MATCH($C65,'Entrada de Dados'!$A$6:$A$196,0))</f>
        <v/>
      </c>
      <c r="I65" s="243">
        <f>INDEX('Entrada de Dados'!F$6:F$196,MATCH($C65,'Entrada de Dados'!$A$6:$A$196,0))</f>
        <v/>
      </c>
      <c r="J65" s="243">
        <f>INDEX('Entrada de Dados'!G$6:G$196,MATCH($C65,'Entrada de Dados'!$A$6:$A$196,0))</f>
        <v/>
      </c>
      <c r="K65" s="243">
        <f>INDEX('Entrada de Dados'!H$6:H$196,MATCH($C65,'Entrada de Dados'!$A$6:$A$196,0))</f>
        <v/>
      </c>
      <c r="L65" s="243">
        <f>INDEX('Entrada de Dados'!I$6:I$196,MATCH($C65,'Entrada de Dados'!$A$6:$A$196,0))</f>
        <v/>
      </c>
      <c r="M65" s="243">
        <f>INDEX('Entrada de Dados'!J$6:J$196,MATCH($C65,'Entrada de Dados'!$A$6:$A$196,0))</f>
        <v/>
      </c>
      <c r="N65" s="243">
        <f>INDEX('Entrada de Dados'!K$6:K$196,MATCH($C65,'Entrada de Dados'!$A$6:$A$196,0))</f>
        <v/>
      </c>
      <c r="O65" s="243">
        <f>INDEX('Entrada de Dados'!L$6:L$196,MATCH($C65,'Entrada de Dados'!$A$6:$A$196,0))</f>
        <v/>
      </c>
      <c r="P65" s="243">
        <f>INDEX('Entrada de Dados'!M$6:M$196,MATCH($C65,'Entrada de Dados'!$A$6:$A$196,0))</f>
        <v/>
      </c>
      <c r="Q65" s="243">
        <f>INDEX('Entrada de Dados'!N$6:N$196,MATCH($C65,'Entrada de Dados'!$A$6:$A$196,0))</f>
        <v/>
      </c>
      <c r="R65" s="243">
        <f>INDEX('Entrada de Dados'!O$6:O$196,MATCH($C65,'Entrada de Dados'!$A$6:$A$196,0))</f>
        <v/>
      </c>
      <c r="S65" s="243">
        <f>INDEX('Entrada de Dados'!P$6:P$196,MATCH($C65,'Entrada de Dados'!$A$6:$A$196,0))</f>
        <v/>
      </c>
      <c r="T65" s="243">
        <f>INDEX('Entrada de Dados'!Q$6:Q$196,MATCH($C65,'Entrada de Dados'!$A$6:$A$196,0))</f>
        <v/>
      </c>
      <c r="U65" s="243">
        <f>INDEX('Entrada de Dados'!R$6:R$196,MATCH($C65,'Entrada de Dados'!$A$6:$A$196,0))</f>
        <v/>
      </c>
      <c r="V65" s="243">
        <f>INDEX('Entrada de Dados'!S$6:S$196,MATCH($C65,'Entrada de Dados'!$A$6:$A$196,0))</f>
        <v/>
      </c>
      <c r="W65" s="243">
        <f>INDEX('Entrada de Dados'!T$6:T$196,MATCH($C65,'Entrada de Dados'!$A$6:$A$196,0))</f>
        <v/>
      </c>
      <c r="X65" s="243">
        <f>INDEX('Entrada de Dados'!U$6:U$196,MATCH($C65,'Entrada de Dados'!$A$6:$A$196,0))</f>
        <v/>
      </c>
    </row>
    <row r="66">
      <c r="A66" s="241" t="n">
        <v>8</v>
      </c>
      <c r="B66" s="241" t="inlineStr"/>
      <c r="C66" s="241" t="inlineStr">
        <is>
          <t>1096</t>
        </is>
      </c>
      <c r="D66" s="242">
        <f>HYPERLINK("#'E M MONSENHOR CIRILLO CALAON'!A1","E M MONSENHOR CIRILLO CALAON")</f>
        <v/>
      </c>
      <c r="E66" s="242" t="inlineStr">
        <is>
          <t>JARDIM SALVADOR</t>
        </is>
      </c>
      <c r="F66" s="243">
        <f>INDEX('Entrada de Dados'!C$6:C$196,MATCH($C66,'Entrada de Dados'!$A$6:$A$196,0))</f>
        <v/>
      </c>
      <c r="G66" s="243">
        <f>INDEX('Entrada de Dados'!D$6:D$196,MATCH($C66,'Entrada de Dados'!$A$6:$A$196,0))</f>
        <v/>
      </c>
      <c r="H66" s="243">
        <f>INDEX('Entrada de Dados'!E$6:E$196,MATCH($C66,'Entrada de Dados'!$A$6:$A$196,0))</f>
        <v/>
      </c>
      <c r="I66" s="243">
        <f>INDEX('Entrada de Dados'!F$6:F$196,MATCH($C66,'Entrada de Dados'!$A$6:$A$196,0))</f>
        <v/>
      </c>
      <c r="J66" s="243">
        <f>INDEX('Entrada de Dados'!G$6:G$196,MATCH($C66,'Entrada de Dados'!$A$6:$A$196,0))</f>
        <v/>
      </c>
      <c r="K66" s="243">
        <f>INDEX('Entrada de Dados'!H$6:H$196,MATCH($C66,'Entrada de Dados'!$A$6:$A$196,0))</f>
        <v/>
      </c>
      <c r="L66" s="243">
        <f>INDEX('Entrada de Dados'!I$6:I$196,MATCH($C66,'Entrada de Dados'!$A$6:$A$196,0))</f>
        <v/>
      </c>
      <c r="M66" s="243">
        <f>INDEX('Entrada de Dados'!J$6:J$196,MATCH($C66,'Entrada de Dados'!$A$6:$A$196,0))</f>
        <v/>
      </c>
      <c r="N66" s="243">
        <f>INDEX('Entrada de Dados'!K$6:K$196,MATCH($C66,'Entrada de Dados'!$A$6:$A$196,0))</f>
        <v/>
      </c>
      <c r="O66" s="243">
        <f>INDEX('Entrada de Dados'!L$6:L$196,MATCH($C66,'Entrada de Dados'!$A$6:$A$196,0))</f>
        <v/>
      </c>
      <c r="P66" s="243">
        <f>INDEX('Entrada de Dados'!M$6:M$196,MATCH($C66,'Entrada de Dados'!$A$6:$A$196,0))</f>
        <v/>
      </c>
      <c r="Q66" s="243">
        <f>INDEX('Entrada de Dados'!N$6:N$196,MATCH($C66,'Entrada de Dados'!$A$6:$A$196,0))</f>
        <v/>
      </c>
      <c r="R66" s="243">
        <f>INDEX('Entrada de Dados'!O$6:O$196,MATCH($C66,'Entrada de Dados'!$A$6:$A$196,0))</f>
        <v/>
      </c>
      <c r="S66" s="243">
        <f>INDEX('Entrada de Dados'!P$6:P$196,MATCH($C66,'Entrada de Dados'!$A$6:$A$196,0))</f>
        <v/>
      </c>
      <c r="T66" s="243">
        <f>INDEX('Entrada de Dados'!Q$6:Q$196,MATCH($C66,'Entrada de Dados'!$A$6:$A$196,0))</f>
        <v/>
      </c>
      <c r="U66" s="243">
        <f>INDEX('Entrada de Dados'!R$6:R$196,MATCH($C66,'Entrada de Dados'!$A$6:$A$196,0))</f>
        <v/>
      </c>
      <c r="V66" s="243">
        <f>INDEX('Entrada de Dados'!S$6:S$196,MATCH($C66,'Entrada de Dados'!$A$6:$A$196,0))</f>
        <v/>
      </c>
      <c r="W66" s="243">
        <f>INDEX('Entrada de Dados'!T$6:T$196,MATCH($C66,'Entrada de Dados'!$A$6:$A$196,0))</f>
        <v/>
      </c>
      <c r="X66" s="243">
        <f>INDEX('Entrada de Dados'!U$6:U$196,MATCH($C66,'Entrada de Dados'!$A$6:$A$196,0))</f>
        <v/>
      </c>
    </row>
    <row r="67">
      <c r="A67" s="241" t="n">
        <v>9</v>
      </c>
      <c r="B67" s="241" t="inlineStr"/>
      <c r="C67" s="241" t="inlineStr">
        <is>
          <t>3058</t>
        </is>
      </c>
      <c r="D67" s="242">
        <f>HYPERLINK("#'CENTRO DE EDUCAÇÃO INFANTIL LOT'!A1","CENTRO DE EDUCAÇÃO INFANTIL LOTA MACEDO SOARES")</f>
        <v/>
      </c>
      <c r="E67" s="242" t="inlineStr">
        <is>
          <t>SAMAMBAIA</t>
        </is>
      </c>
      <c r="F67" s="243">
        <f>INDEX('Entrada de Dados'!C$6:C$196,MATCH($C67,'Entrada de Dados'!$A$6:$A$196,0))</f>
        <v/>
      </c>
      <c r="G67" s="243">
        <f>INDEX('Entrada de Dados'!D$6:D$196,MATCH($C67,'Entrada de Dados'!$A$6:$A$196,0))</f>
        <v/>
      </c>
      <c r="H67" s="243">
        <f>INDEX('Entrada de Dados'!E$6:E$196,MATCH($C67,'Entrada de Dados'!$A$6:$A$196,0))</f>
        <v/>
      </c>
      <c r="I67" s="243">
        <f>INDEX('Entrada de Dados'!F$6:F$196,MATCH($C67,'Entrada de Dados'!$A$6:$A$196,0))</f>
        <v/>
      </c>
      <c r="J67" s="243">
        <f>INDEX('Entrada de Dados'!G$6:G$196,MATCH($C67,'Entrada de Dados'!$A$6:$A$196,0))</f>
        <v/>
      </c>
      <c r="K67" s="243">
        <f>INDEX('Entrada de Dados'!H$6:H$196,MATCH($C67,'Entrada de Dados'!$A$6:$A$196,0))</f>
        <v/>
      </c>
      <c r="L67" s="243">
        <f>INDEX('Entrada de Dados'!I$6:I$196,MATCH($C67,'Entrada de Dados'!$A$6:$A$196,0))</f>
        <v/>
      </c>
      <c r="M67" s="243">
        <f>INDEX('Entrada de Dados'!J$6:J$196,MATCH($C67,'Entrada de Dados'!$A$6:$A$196,0))</f>
        <v/>
      </c>
      <c r="N67" s="243">
        <f>INDEX('Entrada de Dados'!K$6:K$196,MATCH($C67,'Entrada de Dados'!$A$6:$A$196,0))</f>
        <v/>
      </c>
      <c r="O67" s="243">
        <f>INDEX('Entrada de Dados'!L$6:L$196,MATCH($C67,'Entrada de Dados'!$A$6:$A$196,0))</f>
        <v/>
      </c>
      <c r="P67" s="243">
        <f>INDEX('Entrada de Dados'!M$6:M$196,MATCH($C67,'Entrada de Dados'!$A$6:$A$196,0))</f>
        <v/>
      </c>
      <c r="Q67" s="243">
        <f>INDEX('Entrada de Dados'!N$6:N$196,MATCH($C67,'Entrada de Dados'!$A$6:$A$196,0))</f>
        <v/>
      </c>
      <c r="R67" s="243">
        <f>INDEX('Entrada de Dados'!O$6:O$196,MATCH($C67,'Entrada de Dados'!$A$6:$A$196,0))</f>
        <v/>
      </c>
      <c r="S67" s="243">
        <f>INDEX('Entrada de Dados'!P$6:P$196,MATCH($C67,'Entrada de Dados'!$A$6:$A$196,0))</f>
        <v/>
      </c>
      <c r="T67" s="243">
        <f>INDEX('Entrada de Dados'!Q$6:Q$196,MATCH($C67,'Entrada de Dados'!$A$6:$A$196,0))</f>
        <v/>
      </c>
      <c r="U67" s="243">
        <f>INDEX('Entrada de Dados'!R$6:R$196,MATCH($C67,'Entrada de Dados'!$A$6:$A$196,0))</f>
        <v/>
      </c>
      <c r="V67" s="243">
        <f>INDEX('Entrada de Dados'!S$6:S$196,MATCH($C67,'Entrada de Dados'!$A$6:$A$196,0))</f>
        <v/>
      </c>
      <c r="W67" s="243">
        <f>INDEX('Entrada de Dados'!T$6:T$196,MATCH($C67,'Entrada de Dados'!$A$6:$A$196,0))</f>
        <v/>
      </c>
      <c r="X67" s="243">
        <f>INDEX('Entrada de Dados'!U$6:U$196,MATCH($C67,'Entrada de Dados'!$A$6:$A$196,0))</f>
        <v/>
      </c>
    </row>
    <row r="68">
      <c r="A68" s="241" t="n">
        <v>10</v>
      </c>
      <c r="B68" s="241" t="inlineStr"/>
      <c r="C68" s="241" t="inlineStr">
        <is>
          <t>1028</t>
        </is>
      </c>
      <c r="D68" s="242">
        <f>HYPERLINK("#'E M ANTÔNIO LEITE GARCIA'!A1","E M ANTÔNIO LEITE GARCIA")</f>
        <v/>
      </c>
      <c r="E68" s="242" t="inlineStr">
        <is>
          <t>SAMAMBAIA</t>
        </is>
      </c>
      <c r="F68" s="243">
        <f>INDEX('Entrada de Dados'!C$6:C$196,MATCH($C68,'Entrada de Dados'!$A$6:$A$196,0))</f>
        <v/>
      </c>
      <c r="G68" s="243">
        <f>INDEX('Entrada de Dados'!D$6:D$196,MATCH($C68,'Entrada de Dados'!$A$6:$A$196,0))</f>
        <v/>
      </c>
      <c r="H68" s="243">
        <f>INDEX('Entrada de Dados'!E$6:E$196,MATCH($C68,'Entrada de Dados'!$A$6:$A$196,0))</f>
        <v/>
      </c>
      <c r="I68" s="243">
        <f>INDEX('Entrada de Dados'!F$6:F$196,MATCH($C68,'Entrada de Dados'!$A$6:$A$196,0))</f>
        <v/>
      </c>
      <c r="J68" s="243">
        <f>INDEX('Entrada de Dados'!G$6:G$196,MATCH($C68,'Entrada de Dados'!$A$6:$A$196,0))</f>
        <v/>
      </c>
      <c r="K68" s="243">
        <f>INDEX('Entrada de Dados'!H$6:H$196,MATCH($C68,'Entrada de Dados'!$A$6:$A$196,0))</f>
        <v/>
      </c>
      <c r="L68" s="243">
        <f>INDEX('Entrada de Dados'!I$6:I$196,MATCH($C68,'Entrada de Dados'!$A$6:$A$196,0))</f>
        <v/>
      </c>
      <c r="M68" s="243">
        <f>INDEX('Entrada de Dados'!J$6:J$196,MATCH($C68,'Entrada de Dados'!$A$6:$A$196,0))</f>
        <v/>
      </c>
      <c r="N68" s="243">
        <f>INDEX('Entrada de Dados'!K$6:K$196,MATCH($C68,'Entrada de Dados'!$A$6:$A$196,0))</f>
        <v/>
      </c>
      <c r="O68" s="243">
        <f>INDEX('Entrada de Dados'!L$6:L$196,MATCH($C68,'Entrada de Dados'!$A$6:$A$196,0))</f>
        <v/>
      </c>
      <c r="P68" s="243">
        <f>INDEX('Entrada de Dados'!M$6:M$196,MATCH($C68,'Entrada de Dados'!$A$6:$A$196,0))</f>
        <v/>
      </c>
      <c r="Q68" s="243">
        <f>INDEX('Entrada de Dados'!N$6:N$196,MATCH($C68,'Entrada de Dados'!$A$6:$A$196,0))</f>
        <v/>
      </c>
      <c r="R68" s="243">
        <f>INDEX('Entrada de Dados'!O$6:O$196,MATCH($C68,'Entrada de Dados'!$A$6:$A$196,0))</f>
        <v/>
      </c>
      <c r="S68" s="243">
        <f>INDEX('Entrada de Dados'!P$6:P$196,MATCH($C68,'Entrada de Dados'!$A$6:$A$196,0))</f>
        <v/>
      </c>
      <c r="T68" s="243">
        <f>INDEX('Entrada de Dados'!Q$6:Q$196,MATCH($C68,'Entrada de Dados'!$A$6:$A$196,0))</f>
        <v/>
      </c>
      <c r="U68" s="243">
        <f>INDEX('Entrada de Dados'!R$6:R$196,MATCH($C68,'Entrada de Dados'!$A$6:$A$196,0))</f>
        <v/>
      </c>
      <c r="V68" s="243">
        <f>INDEX('Entrada de Dados'!S$6:S$196,MATCH($C68,'Entrada de Dados'!$A$6:$A$196,0))</f>
        <v/>
      </c>
      <c r="W68" s="243">
        <f>INDEX('Entrada de Dados'!T$6:T$196,MATCH($C68,'Entrada de Dados'!$A$6:$A$196,0))</f>
        <v/>
      </c>
      <c r="X68" s="243">
        <f>INDEX('Entrada de Dados'!U$6:U$196,MATCH($C68,'Entrada de Dados'!$A$6:$A$196,0))</f>
        <v/>
      </c>
    </row>
    <row r="69">
      <c r="A69" s="241" t="n">
        <v>11</v>
      </c>
      <c r="B69" s="241" t="inlineStr"/>
      <c r="C69" s="241" t="inlineStr">
        <is>
          <t>2037</t>
        </is>
      </c>
      <c r="D69" s="242">
        <f>HYPERLINK("#'ESCOLA PAROQUIAL DA ALCOBAÇA'!A1","ESCOLA PAROQUIAL DA ALCOBAÇA")</f>
        <v/>
      </c>
      <c r="E69" s="242" t="inlineStr">
        <is>
          <t>SAMAMBAIA</t>
        </is>
      </c>
      <c r="F69" s="243">
        <f>INDEX('Entrada de Dados'!C$6:C$196,MATCH($C69,'Entrada de Dados'!$A$6:$A$196,0))</f>
        <v/>
      </c>
      <c r="G69" s="243">
        <f>INDEX('Entrada de Dados'!D$6:D$196,MATCH($C69,'Entrada de Dados'!$A$6:$A$196,0))</f>
        <v/>
      </c>
      <c r="H69" s="243">
        <f>INDEX('Entrada de Dados'!E$6:E$196,MATCH($C69,'Entrada de Dados'!$A$6:$A$196,0))</f>
        <v/>
      </c>
      <c r="I69" s="243">
        <f>INDEX('Entrada de Dados'!F$6:F$196,MATCH($C69,'Entrada de Dados'!$A$6:$A$196,0))</f>
        <v/>
      </c>
      <c r="J69" s="243">
        <f>INDEX('Entrada de Dados'!G$6:G$196,MATCH($C69,'Entrada de Dados'!$A$6:$A$196,0))</f>
        <v/>
      </c>
      <c r="K69" s="243">
        <f>INDEX('Entrada de Dados'!H$6:H$196,MATCH($C69,'Entrada de Dados'!$A$6:$A$196,0))</f>
        <v/>
      </c>
      <c r="L69" s="243">
        <f>INDEX('Entrada de Dados'!I$6:I$196,MATCH($C69,'Entrada de Dados'!$A$6:$A$196,0))</f>
        <v/>
      </c>
      <c r="M69" s="243">
        <f>INDEX('Entrada de Dados'!J$6:J$196,MATCH($C69,'Entrada de Dados'!$A$6:$A$196,0))</f>
        <v/>
      </c>
      <c r="N69" s="243">
        <f>INDEX('Entrada de Dados'!K$6:K$196,MATCH($C69,'Entrada de Dados'!$A$6:$A$196,0))</f>
        <v/>
      </c>
      <c r="O69" s="243">
        <f>INDEX('Entrada de Dados'!L$6:L$196,MATCH($C69,'Entrada de Dados'!$A$6:$A$196,0))</f>
        <v/>
      </c>
      <c r="P69" s="243">
        <f>INDEX('Entrada de Dados'!M$6:M$196,MATCH($C69,'Entrada de Dados'!$A$6:$A$196,0))</f>
        <v/>
      </c>
      <c r="Q69" s="243">
        <f>INDEX('Entrada de Dados'!N$6:N$196,MATCH($C69,'Entrada de Dados'!$A$6:$A$196,0))</f>
        <v/>
      </c>
      <c r="R69" s="243">
        <f>INDEX('Entrada de Dados'!O$6:O$196,MATCH($C69,'Entrada de Dados'!$A$6:$A$196,0))</f>
        <v/>
      </c>
      <c r="S69" s="243">
        <f>INDEX('Entrada de Dados'!P$6:P$196,MATCH($C69,'Entrada de Dados'!$A$6:$A$196,0))</f>
        <v/>
      </c>
      <c r="T69" s="243">
        <f>INDEX('Entrada de Dados'!Q$6:Q$196,MATCH($C69,'Entrada de Dados'!$A$6:$A$196,0))</f>
        <v/>
      </c>
      <c r="U69" s="243">
        <f>INDEX('Entrada de Dados'!R$6:R$196,MATCH($C69,'Entrada de Dados'!$A$6:$A$196,0))</f>
        <v/>
      </c>
      <c r="V69" s="243">
        <f>INDEX('Entrada de Dados'!S$6:S$196,MATCH($C69,'Entrada de Dados'!$A$6:$A$196,0))</f>
        <v/>
      </c>
      <c r="W69" s="243">
        <f>INDEX('Entrada de Dados'!T$6:T$196,MATCH($C69,'Entrada de Dados'!$A$6:$A$196,0))</f>
        <v/>
      </c>
      <c r="X69" s="243">
        <f>INDEX('Entrada de Dados'!U$6:U$196,MATCH($C69,'Entrada de Dados'!$A$6:$A$196,0))</f>
        <v/>
      </c>
    </row>
    <row r="70">
      <c r="A70" s="241" t="n">
        <v>12</v>
      </c>
      <c r="B70" s="241" t="inlineStr"/>
      <c r="C70" s="241" t="inlineStr">
        <is>
          <t>2038</t>
        </is>
      </c>
      <c r="D70" s="242">
        <f>HYPERLINK("#'ESCOLA PAROQUIAL DO LOTEAMENTO '!A1","ESCOLA PAROQUIAL DO LOTEAMENTO SAMAMBAIA")</f>
        <v/>
      </c>
      <c r="E70" s="242" t="inlineStr">
        <is>
          <t>LOTEAMENTO SAMAMBAIA</t>
        </is>
      </c>
      <c r="F70" s="243">
        <f>INDEX('Entrada de Dados'!C$6:C$196,MATCH($C70,'Entrada de Dados'!$A$6:$A$196,0))</f>
        <v/>
      </c>
      <c r="G70" s="243">
        <f>INDEX('Entrada de Dados'!D$6:D$196,MATCH($C70,'Entrada de Dados'!$A$6:$A$196,0))</f>
        <v/>
      </c>
      <c r="H70" s="243">
        <f>INDEX('Entrada de Dados'!E$6:E$196,MATCH($C70,'Entrada de Dados'!$A$6:$A$196,0))</f>
        <v/>
      </c>
      <c r="I70" s="243">
        <f>INDEX('Entrada de Dados'!F$6:F$196,MATCH($C70,'Entrada de Dados'!$A$6:$A$196,0))</f>
        <v/>
      </c>
      <c r="J70" s="243">
        <f>INDEX('Entrada de Dados'!G$6:G$196,MATCH($C70,'Entrada de Dados'!$A$6:$A$196,0))</f>
        <v/>
      </c>
      <c r="K70" s="243">
        <f>INDEX('Entrada de Dados'!H$6:H$196,MATCH($C70,'Entrada de Dados'!$A$6:$A$196,0))</f>
        <v/>
      </c>
      <c r="L70" s="243">
        <f>INDEX('Entrada de Dados'!I$6:I$196,MATCH($C70,'Entrada de Dados'!$A$6:$A$196,0))</f>
        <v/>
      </c>
      <c r="M70" s="243">
        <f>INDEX('Entrada de Dados'!J$6:J$196,MATCH($C70,'Entrada de Dados'!$A$6:$A$196,0))</f>
        <v/>
      </c>
      <c r="N70" s="243">
        <f>INDEX('Entrada de Dados'!K$6:K$196,MATCH($C70,'Entrada de Dados'!$A$6:$A$196,0))</f>
        <v/>
      </c>
      <c r="O70" s="243">
        <f>INDEX('Entrada de Dados'!L$6:L$196,MATCH($C70,'Entrada de Dados'!$A$6:$A$196,0))</f>
        <v/>
      </c>
      <c r="P70" s="243">
        <f>INDEX('Entrada de Dados'!M$6:M$196,MATCH($C70,'Entrada de Dados'!$A$6:$A$196,0))</f>
        <v/>
      </c>
      <c r="Q70" s="243">
        <f>INDEX('Entrada de Dados'!N$6:N$196,MATCH($C70,'Entrada de Dados'!$A$6:$A$196,0))</f>
        <v/>
      </c>
      <c r="R70" s="243">
        <f>INDEX('Entrada de Dados'!O$6:O$196,MATCH($C70,'Entrada de Dados'!$A$6:$A$196,0))</f>
        <v/>
      </c>
      <c r="S70" s="243">
        <f>INDEX('Entrada de Dados'!P$6:P$196,MATCH($C70,'Entrada de Dados'!$A$6:$A$196,0))</f>
        <v/>
      </c>
      <c r="T70" s="243">
        <f>INDEX('Entrada de Dados'!Q$6:Q$196,MATCH($C70,'Entrada de Dados'!$A$6:$A$196,0))</f>
        <v/>
      </c>
      <c r="U70" s="243">
        <f>INDEX('Entrada de Dados'!R$6:R$196,MATCH($C70,'Entrada de Dados'!$A$6:$A$196,0))</f>
        <v/>
      </c>
      <c r="V70" s="243">
        <f>INDEX('Entrada de Dados'!S$6:S$196,MATCH($C70,'Entrada de Dados'!$A$6:$A$196,0))</f>
        <v/>
      </c>
      <c r="W70" s="243">
        <f>INDEX('Entrada de Dados'!T$6:T$196,MATCH($C70,'Entrada de Dados'!$A$6:$A$196,0))</f>
        <v/>
      </c>
      <c r="X70" s="243">
        <f>INDEX('Entrada de Dados'!U$6:U$196,MATCH($C70,'Entrada de Dados'!$A$6:$A$196,0))</f>
        <v/>
      </c>
    </row>
    <row r="71" ht="22" customHeight="1" s="107">
      <c r="A71" s="248" t="inlineStr">
        <is>
          <t>Peso previsto:</t>
        </is>
      </c>
      <c r="C71" s="249">
        <f>SUM(F59:F70)+SUM(G59:G70)+SUM(H59:H70)+SUM(I59:I70)+SUM(J59:J70)+SUM(K59:K70)+SUM(L59:L70)+SUM(M59:M70)+SUM(N59:N70)+SUM(O59:O70)+SUM(P59:P70)+SUM(Q59:Q70)+SUM(R59:R70)+SUM(S59:S70)+SUM(T59:T70)+SUM(U59:U70)+SUM(W59:W70)+SUM(X59:X70)</f>
        <v/>
      </c>
      <c r="D71" s="248" t="inlineStr">
        <is>
          <t>Peso embarcado (kg):</t>
        </is>
      </c>
      <c r="F71" s="250" t="n"/>
      <c r="G71" s="248" t="inlineStr">
        <is>
          <t>Veículo:</t>
        </is>
      </c>
      <c r="I71" s="250" t="n"/>
      <c r="J71" s="251" t="n"/>
      <c r="K71" s="248" t="inlineStr">
        <is>
          <t>Motorista:</t>
        </is>
      </c>
      <c r="M71" s="250" t="n"/>
      <c r="N71" s="252" t="n"/>
      <c r="O71" s="252" t="n"/>
      <c r="P71" s="252" t="n"/>
      <c r="Q71" s="252" t="n"/>
      <c r="R71" s="252" t="n"/>
      <c r="S71" s="252" t="n"/>
      <c r="T71" s="252" t="n"/>
      <c r="U71" s="252" t="n"/>
      <c r="V71" s="252" t="n"/>
      <c r="W71" s="252" t="n"/>
      <c r="X71" s="251" t="n"/>
    </row>
    <row r="73" ht="20" customHeight="1" s="107">
      <c r="A73" s="236" t="inlineStr">
        <is>
          <t>ROTA S5 — ITAMARATI - QUISSAMÃ - CASCATINHA · CAMINHÃO MÉDIO · 13 escolas · 11 paradas físicas</t>
        </is>
      </c>
    </row>
    <row r="74" ht="26" customHeight="1" s="107">
      <c r="A74" s="238" t="inlineStr">
        <is>
          <t>Sequência-base: Galpão Itaipava &gt; Itamarati &gt; Quissamã &gt; Cascatinha &gt; Galpão   Atenção: Duas paradas compartilhadas reduzem deslocamentos: Bernardo Proença, 809 e Machado Fagundes, 326.</t>
        </is>
      </c>
    </row>
    <row r="75" ht="30" customHeight="1" s="107">
      <c r="A75" s="240" t="inlineStr">
        <is>
          <t>PAR.</t>
        </is>
      </c>
      <c r="B75" s="240" t="inlineStr">
        <is>
          <t>SUB</t>
        </is>
      </c>
      <c r="C75" s="240" t="inlineStr">
        <is>
          <t>CÓDIGO</t>
        </is>
      </c>
      <c r="D75" s="240" t="inlineStr">
        <is>
          <t>ESCOLA</t>
        </is>
      </c>
      <c r="E75" s="240" t="inlineStr">
        <is>
          <t>BAIRRO/CORREDOR</t>
        </is>
      </c>
      <c r="F75" s="240" t="inlineStr">
        <is>
          <t>Abacate</t>
        </is>
      </c>
      <c r="G75" s="240" t="inlineStr">
        <is>
          <t>Abobrinha</t>
        </is>
      </c>
      <c r="H75" s="240" t="inlineStr">
        <is>
          <t>Agrião</t>
        </is>
      </c>
      <c r="I75" s="240" t="inlineStr">
        <is>
          <t>Alface lisa</t>
        </is>
      </c>
      <c r="J75" s="240" t="inlineStr">
        <is>
          <t>Banana prata</t>
        </is>
      </c>
      <c r="K75" s="240" t="inlineStr">
        <is>
          <t>Batata inglesa</t>
        </is>
      </c>
      <c r="L75" s="240" t="inlineStr">
        <is>
          <t>Beterraba</t>
        </is>
      </c>
      <c r="M75" s="240" t="inlineStr">
        <is>
          <t>Brócolis</t>
        </is>
      </c>
      <c r="N75" s="240" t="inlineStr">
        <is>
          <t>Cenoura</t>
        </is>
      </c>
      <c r="O75" s="240" t="inlineStr">
        <is>
          <t>Cheiro verde</t>
        </is>
      </c>
      <c r="P75" s="240" t="inlineStr">
        <is>
          <t>Chuchu</t>
        </is>
      </c>
      <c r="Q75" s="240" t="inlineStr">
        <is>
          <t>Couve manteiga</t>
        </is>
      </c>
      <c r="R75" s="240" t="inlineStr">
        <is>
          <t>Couve-flor</t>
        </is>
      </c>
      <c r="S75" s="240" t="inlineStr">
        <is>
          <t>Espinafre</t>
        </is>
      </c>
      <c r="T75" s="240" t="inlineStr">
        <is>
          <t>Maçã gala</t>
        </is>
      </c>
      <c r="U75" s="240" t="inlineStr">
        <is>
          <t>Mel</t>
        </is>
      </c>
      <c r="V75" s="240" t="inlineStr">
        <is>
          <t>Ovos (dz)</t>
        </is>
      </c>
      <c r="W75" s="240" t="inlineStr">
        <is>
          <t>Repolho</t>
        </is>
      </c>
      <c r="X75" s="240" t="inlineStr">
        <is>
          <t>Tangerina ponkan</t>
        </is>
      </c>
    </row>
    <row r="76">
      <c r="A76" s="241" t="n">
        <v>1</v>
      </c>
      <c r="B76" s="241" t="inlineStr"/>
      <c r="C76" s="241" t="inlineStr">
        <is>
          <t>4006</t>
        </is>
      </c>
      <c r="D76" s="242">
        <f>HYPERLINK("#'CEI SÃO JOSÉ DO ITAMARATI'!A1","CEI SÃO JOSÉ DO ITAMARATI")</f>
        <v/>
      </c>
      <c r="E76" s="242" t="inlineStr">
        <is>
          <t>ITAMARATI</t>
        </is>
      </c>
      <c r="F76" s="243">
        <f>INDEX('Entrada de Dados'!C$6:C$196,MATCH($C76,'Entrada de Dados'!$A$6:$A$196,0))</f>
        <v/>
      </c>
      <c r="G76" s="243">
        <f>INDEX('Entrada de Dados'!D$6:D$196,MATCH($C76,'Entrada de Dados'!$A$6:$A$196,0))</f>
        <v/>
      </c>
      <c r="H76" s="243">
        <f>INDEX('Entrada de Dados'!E$6:E$196,MATCH($C76,'Entrada de Dados'!$A$6:$A$196,0))</f>
        <v/>
      </c>
      <c r="I76" s="243">
        <f>INDEX('Entrada de Dados'!F$6:F$196,MATCH($C76,'Entrada de Dados'!$A$6:$A$196,0))</f>
        <v/>
      </c>
      <c r="J76" s="243">
        <f>INDEX('Entrada de Dados'!G$6:G$196,MATCH($C76,'Entrada de Dados'!$A$6:$A$196,0))</f>
        <v/>
      </c>
      <c r="K76" s="243">
        <f>INDEX('Entrada de Dados'!H$6:H$196,MATCH($C76,'Entrada de Dados'!$A$6:$A$196,0))</f>
        <v/>
      </c>
      <c r="L76" s="243">
        <f>INDEX('Entrada de Dados'!I$6:I$196,MATCH($C76,'Entrada de Dados'!$A$6:$A$196,0))</f>
        <v/>
      </c>
      <c r="M76" s="243">
        <f>INDEX('Entrada de Dados'!J$6:J$196,MATCH($C76,'Entrada de Dados'!$A$6:$A$196,0))</f>
        <v/>
      </c>
      <c r="N76" s="243">
        <f>INDEX('Entrada de Dados'!K$6:K$196,MATCH($C76,'Entrada de Dados'!$A$6:$A$196,0))</f>
        <v/>
      </c>
      <c r="O76" s="243">
        <f>INDEX('Entrada de Dados'!L$6:L$196,MATCH($C76,'Entrada de Dados'!$A$6:$A$196,0))</f>
        <v/>
      </c>
      <c r="P76" s="243">
        <f>INDEX('Entrada de Dados'!M$6:M$196,MATCH($C76,'Entrada de Dados'!$A$6:$A$196,0))</f>
        <v/>
      </c>
      <c r="Q76" s="243">
        <f>INDEX('Entrada de Dados'!N$6:N$196,MATCH($C76,'Entrada de Dados'!$A$6:$A$196,0))</f>
        <v/>
      </c>
      <c r="R76" s="243">
        <f>INDEX('Entrada de Dados'!O$6:O$196,MATCH($C76,'Entrada de Dados'!$A$6:$A$196,0))</f>
        <v/>
      </c>
      <c r="S76" s="243">
        <f>INDEX('Entrada de Dados'!P$6:P$196,MATCH($C76,'Entrada de Dados'!$A$6:$A$196,0))</f>
        <v/>
      </c>
      <c r="T76" s="243">
        <f>INDEX('Entrada de Dados'!Q$6:Q$196,MATCH($C76,'Entrada de Dados'!$A$6:$A$196,0))</f>
        <v/>
      </c>
      <c r="U76" s="243">
        <f>INDEX('Entrada de Dados'!R$6:R$196,MATCH($C76,'Entrada de Dados'!$A$6:$A$196,0))</f>
        <v/>
      </c>
      <c r="V76" s="243">
        <f>INDEX('Entrada de Dados'!S$6:S$196,MATCH($C76,'Entrada de Dados'!$A$6:$A$196,0))</f>
        <v/>
      </c>
      <c r="W76" s="243">
        <f>INDEX('Entrada de Dados'!T$6:T$196,MATCH($C76,'Entrada de Dados'!$A$6:$A$196,0))</f>
        <v/>
      </c>
      <c r="X76" s="243">
        <f>INDEX('Entrada de Dados'!U$6:U$196,MATCH($C76,'Entrada de Dados'!$A$6:$A$196,0))</f>
        <v/>
      </c>
    </row>
    <row r="77">
      <c r="A77" s="241" t="n">
        <v>2</v>
      </c>
      <c r="B77" s="241" t="inlineStr"/>
      <c r="C77" s="241" t="inlineStr">
        <is>
          <t>1075</t>
        </is>
      </c>
      <c r="D77" s="242">
        <f>HYPERLINK("#'E MZDA CARMEM NUNES MARTINS'!A1","E MZDA CARMEM NUNES MARTINS")</f>
        <v/>
      </c>
      <c r="E77" s="242" t="inlineStr">
        <is>
          <t>ITAMARATI</t>
        </is>
      </c>
      <c r="F77" s="243">
        <f>INDEX('Entrada de Dados'!C$6:C$196,MATCH($C77,'Entrada de Dados'!$A$6:$A$196,0))</f>
        <v/>
      </c>
      <c r="G77" s="243">
        <f>INDEX('Entrada de Dados'!D$6:D$196,MATCH($C77,'Entrada de Dados'!$A$6:$A$196,0))</f>
        <v/>
      </c>
      <c r="H77" s="243">
        <f>INDEX('Entrada de Dados'!E$6:E$196,MATCH($C77,'Entrada de Dados'!$A$6:$A$196,0))</f>
        <v/>
      </c>
      <c r="I77" s="243">
        <f>INDEX('Entrada de Dados'!F$6:F$196,MATCH($C77,'Entrada de Dados'!$A$6:$A$196,0))</f>
        <v/>
      </c>
      <c r="J77" s="243">
        <f>INDEX('Entrada de Dados'!G$6:G$196,MATCH($C77,'Entrada de Dados'!$A$6:$A$196,0))</f>
        <v/>
      </c>
      <c r="K77" s="243">
        <f>INDEX('Entrada de Dados'!H$6:H$196,MATCH($C77,'Entrada de Dados'!$A$6:$A$196,0))</f>
        <v/>
      </c>
      <c r="L77" s="243">
        <f>INDEX('Entrada de Dados'!I$6:I$196,MATCH($C77,'Entrada de Dados'!$A$6:$A$196,0))</f>
        <v/>
      </c>
      <c r="M77" s="243">
        <f>INDEX('Entrada de Dados'!J$6:J$196,MATCH($C77,'Entrada de Dados'!$A$6:$A$196,0))</f>
        <v/>
      </c>
      <c r="N77" s="243">
        <f>INDEX('Entrada de Dados'!K$6:K$196,MATCH($C77,'Entrada de Dados'!$A$6:$A$196,0))</f>
        <v/>
      </c>
      <c r="O77" s="243">
        <f>INDEX('Entrada de Dados'!L$6:L$196,MATCH($C77,'Entrada de Dados'!$A$6:$A$196,0))</f>
        <v/>
      </c>
      <c r="P77" s="243">
        <f>INDEX('Entrada de Dados'!M$6:M$196,MATCH($C77,'Entrada de Dados'!$A$6:$A$196,0))</f>
        <v/>
      </c>
      <c r="Q77" s="243">
        <f>INDEX('Entrada de Dados'!N$6:N$196,MATCH($C77,'Entrada de Dados'!$A$6:$A$196,0))</f>
        <v/>
      </c>
      <c r="R77" s="243">
        <f>INDEX('Entrada de Dados'!O$6:O$196,MATCH($C77,'Entrada de Dados'!$A$6:$A$196,0))</f>
        <v/>
      </c>
      <c r="S77" s="243">
        <f>INDEX('Entrada de Dados'!P$6:P$196,MATCH($C77,'Entrada de Dados'!$A$6:$A$196,0))</f>
        <v/>
      </c>
      <c r="T77" s="243">
        <f>INDEX('Entrada de Dados'!Q$6:Q$196,MATCH($C77,'Entrada de Dados'!$A$6:$A$196,0))</f>
        <v/>
      </c>
      <c r="U77" s="243">
        <f>INDEX('Entrada de Dados'!R$6:R$196,MATCH($C77,'Entrada de Dados'!$A$6:$A$196,0))</f>
        <v/>
      </c>
      <c r="V77" s="243">
        <f>INDEX('Entrada de Dados'!S$6:S$196,MATCH($C77,'Entrada de Dados'!$A$6:$A$196,0))</f>
        <v/>
      </c>
      <c r="W77" s="243">
        <f>INDEX('Entrada de Dados'!T$6:T$196,MATCH($C77,'Entrada de Dados'!$A$6:$A$196,0))</f>
        <v/>
      </c>
      <c r="X77" s="243">
        <f>INDEX('Entrada de Dados'!U$6:U$196,MATCH($C77,'Entrada de Dados'!$A$6:$A$196,0))</f>
        <v/>
      </c>
    </row>
    <row r="78">
      <c r="A78" s="241" t="n">
        <v>3</v>
      </c>
      <c r="B78" s="241" t="inlineStr"/>
      <c r="C78" s="241" t="inlineStr">
        <is>
          <t>1042</t>
        </is>
      </c>
      <c r="D78" s="242">
        <f>HYPERLINK("#'E M ROSEMIRA DE OLIVEIRA CAVALC'!A1","E M ROSEMIRA DE OLIVEIRA CAVALCANTI")</f>
        <v/>
      </c>
      <c r="E78" s="242" t="inlineStr">
        <is>
          <t>ITAMARATI</t>
        </is>
      </c>
      <c r="F78" s="243">
        <f>INDEX('Entrada de Dados'!C$6:C$196,MATCH($C78,'Entrada de Dados'!$A$6:$A$196,0))</f>
        <v/>
      </c>
      <c r="G78" s="243">
        <f>INDEX('Entrada de Dados'!D$6:D$196,MATCH($C78,'Entrada de Dados'!$A$6:$A$196,0))</f>
        <v/>
      </c>
      <c r="H78" s="243">
        <f>INDEX('Entrada de Dados'!E$6:E$196,MATCH($C78,'Entrada de Dados'!$A$6:$A$196,0))</f>
        <v/>
      </c>
      <c r="I78" s="243">
        <f>INDEX('Entrada de Dados'!F$6:F$196,MATCH($C78,'Entrada de Dados'!$A$6:$A$196,0))</f>
        <v/>
      </c>
      <c r="J78" s="243">
        <f>INDEX('Entrada de Dados'!G$6:G$196,MATCH($C78,'Entrada de Dados'!$A$6:$A$196,0))</f>
        <v/>
      </c>
      <c r="K78" s="243">
        <f>INDEX('Entrada de Dados'!H$6:H$196,MATCH($C78,'Entrada de Dados'!$A$6:$A$196,0))</f>
        <v/>
      </c>
      <c r="L78" s="243">
        <f>INDEX('Entrada de Dados'!I$6:I$196,MATCH($C78,'Entrada de Dados'!$A$6:$A$196,0))</f>
        <v/>
      </c>
      <c r="M78" s="243">
        <f>INDEX('Entrada de Dados'!J$6:J$196,MATCH($C78,'Entrada de Dados'!$A$6:$A$196,0))</f>
        <v/>
      </c>
      <c r="N78" s="243">
        <f>INDEX('Entrada de Dados'!K$6:K$196,MATCH($C78,'Entrada de Dados'!$A$6:$A$196,0))</f>
        <v/>
      </c>
      <c r="O78" s="243">
        <f>INDEX('Entrada de Dados'!L$6:L$196,MATCH($C78,'Entrada de Dados'!$A$6:$A$196,0))</f>
        <v/>
      </c>
      <c r="P78" s="243">
        <f>INDEX('Entrada de Dados'!M$6:M$196,MATCH($C78,'Entrada de Dados'!$A$6:$A$196,0))</f>
        <v/>
      </c>
      <c r="Q78" s="243">
        <f>INDEX('Entrada de Dados'!N$6:N$196,MATCH($C78,'Entrada de Dados'!$A$6:$A$196,0))</f>
        <v/>
      </c>
      <c r="R78" s="243">
        <f>INDEX('Entrada de Dados'!O$6:O$196,MATCH($C78,'Entrada de Dados'!$A$6:$A$196,0))</f>
        <v/>
      </c>
      <c r="S78" s="243">
        <f>INDEX('Entrada de Dados'!P$6:P$196,MATCH($C78,'Entrada de Dados'!$A$6:$A$196,0))</f>
        <v/>
      </c>
      <c r="T78" s="243">
        <f>INDEX('Entrada de Dados'!Q$6:Q$196,MATCH($C78,'Entrada de Dados'!$A$6:$A$196,0))</f>
        <v/>
      </c>
      <c r="U78" s="243">
        <f>INDEX('Entrada de Dados'!R$6:R$196,MATCH($C78,'Entrada de Dados'!$A$6:$A$196,0))</f>
        <v/>
      </c>
      <c r="V78" s="243">
        <f>INDEX('Entrada de Dados'!S$6:S$196,MATCH($C78,'Entrada de Dados'!$A$6:$A$196,0))</f>
        <v/>
      </c>
      <c r="W78" s="243">
        <f>INDEX('Entrada de Dados'!T$6:T$196,MATCH($C78,'Entrada de Dados'!$A$6:$A$196,0))</f>
        <v/>
      </c>
      <c r="X78" s="243">
        <f>INDEX('Entrada de Dados'!U$6:U$196,MATCH($C78,'Entrada de Dados'!$A$6:$A$196,0))</f>
        <v/>
      </c>
    </row>
    <row r="79">
      <c r="A79" s="241" t="n">
        <v>4</v>
      </c>
      <c r="B79" s="241" t="inlineStr"/>
      <c r="C79" s="241" t="inlineStr">
        <is>
          <t>3070</t>
        </is>
      </c>
      <c r="D79" s="242">
        <f>HYPERLINK("#'CENTRO DE EDUCAÇÃO INFANTIL  2'!A1","CENTRO DE EDUCAÇÃO INFANTIL PROFESSORA ANNA MARIA NARDI")</f>
        <v/>
      </c>
      <c r="E79" s="242" t="inlineStr">
        <is>
          <t>QUISSAMÃ</t>
        </is>
      </c>
      <c r="F79" s="243">
        <f>INDEX('Entrada de Dados'!C$6:C$196,MATCH($C79,'Entrada de Dados'!$A$6:$A$196,0))</f>
        <v/>
      </c>
      <c r="G79" s="243">
        <f>INDEX('Entrada de Dados'!D$6:D$196,MATCH($C79,'Entrada de Dados'!$A$6:$A$196,0))</f>
        <v/>
      </c>
      <c r="H79" s="243">
        <f>INDEX('Entrada de Dados'!E$6:E$196,MATCH($C79,'Entrada de Dados'!$A$6:$A$196,0))</f>
        <v/>
      </c>
      <c r="I79" s="243">
        <f>INDEX('Entrada de Dados'!F$6:F$196,MATCH($C79,'Entrada de Dados'!$A$6:$A$196,0))</f>
        <v/>
      </c>
      <c r="J79" s="243">
        <f>INDEX('Entrada de Dados'!G$6:G$196,MATCH($C79,'Entrada de Dados'!$A$6:$A$196,0))</f>
        <v/>
      </c>
      <c r="K79" s="243">
        <f>INDEX('Entrada de Dados'!H$6:H$196,MATCH($C79,'Entrada de Dados'!$A$6:$A$196,0))</f>
        <v/>
      </c>
      <c r="L79" s="243">
        <f>INDEX('Entrada de Dados'!I$6:I$196,MATCH($C79,'Entrada de Dados'!$A$6:$A$196,0))</f>
        <v/>
      </c>
      <c r="M79" s="243">
        <f>INDEX('Entrada de Dados'!J$6:J$196,MATCH($C79,'Entrada de Dados'!$A$6:$A$196,0))</f>
        <v/>
      </c>
      <c r="N79" s="243">
        <f>INDEX('Entrada de Dados'!K$6:K$196,MATCH($C79,'Entrada de Dados'!$A$6:$A$196,0))</f>
        <v/>
      </c>
      <c r="O79" s="243">
        <f>INDEX('Entrada de Dados'!L$6:L$196,MATCH($C79,'Entrada de Dados'!$A$6:$A$196,0))</f>
        <v/>
      </c>
      <c r="P79" s="243">
        <f>INDEX('Entrada de Dados'!M$6:M$196,MATCH($C79,'Entrada de Dados'!$A$6:$A$196,0))</f>
        <v/>
      </c>
      <c r="Q79" s="243">
        <f>INDEX('Entrada de Dados'!N$6:N$196,MATCH($C79,'Entrada de Dados'!$A$6:$A$196,0))</f>
        <v/>
      </c>
      <c r="R79" s="243">
        <f>INDEX('Entrada de Dados'!O$6:O$196,MATCH($C79,'Entrada de Dados'!$A$6:$A$196,0))</f>
        <v/>
      </c>
      <c r="S79" s="243">
        <f>INDEX('Entrada de Dados'!P$6:P$196,MATCH($C79,'Entrada de Dados'!$A$6:$A$196,0))</f>
        <v/>
      </c>
      <c r="T79" s="243">
        <f>INDEX('Entrada de Dados'!Q$6:Q$196,MATCH($C79,'Entrada de Dados'!$A$6:$A$196,0))</f>
        <v/>
      </c>
      <c r="U79" s="243">
        <f>INDEX('Entrada de Dados'!R$6:R$196,MATCH($C79,'Entrada de Dados'!$A$6:$A$196,0))</f>
        <v/>
      </c>
      <c r="V79" s="243">
        <f>INDEX('Entrada de Dados'!S$6:S$196,MATCH($C79,'Entrada de Dados'!$A$6:$A$196,0))</f>
        <v/>
      </c>
      <c r="W79" s="243">
        <f>INDEX('Entrada de Dados'!T$6:T$196,MATCH($C79,'Entrada de Dados'!$A$6:$A$196,0))</f>
        <v/>
      </c>
      <c r="X79" s="243">
        <f>INDEX('Entrada de Dados'!U$6:U$196,MATCH($C79,'Entrada de Dados'!$A$6:$A$196,0))</f>
        <v/>
      </c>
    </row>
    <row r="80">
      <c r="A80" s="241" t="n">
        <v>5</v>
      </c>
      <c r="B80" s="241" t="inlineStr"/>
      <c r="C80" s="241" t="inlineStr">
        <is>
          <t>1008</t>
        </is>
      </c>
      <c r="D80" s="242">
        <f>HYPERLINK("#'E M DUQUE DE CAXIAS'!A1","E M DUQUE DE CAXIAS")</f>
        <v/>
      </c>
      <c r="E80" s="242" t="inlineStr">
        <is>
          <t>QUISSAMÃ</t>
        </is>
      </c>
      <c r="F80" s="243">
        <f>INDEX('Entrada de Dados'!C$6:C$196,MATCH($C80,'Entrada de Dados'!$A$6:$A$196,0))</f>
        <v/>
      </c>
      <c r="G80" s="243">
        <f>INDEX('Entrada de Dados'!D$6:D$196,MATCH($C80,'Entrada de Dados'!$A$6:$A$196,0))</f>
        <v/>
      </c>
      <c r="H80" s="243">
        <f>INDEX('Entrada de Dados'!E$6:E$196,MATCH($C80,'Entrada de Dados'!$A$6:$A$196,0))</f>
        <v/>
      </c>
      <c r="I80" s="243">
        <f>INDEX('Entrada de Dados'!F$6:F$196,MATCH($C80,'Entrada de Dados'!$A$6:$A$196,0))</f>
        <v/>
      </c>
      <c r="J80" s="243">
        <f>INDEX('Entrada de Dados'!G$6:G$196,MATCH($C80,'Entrada de Dados'!$A$6:$A$196,0))</f>
        <v/>
      </c>
      <c r="K80" s="243">
        <f>INDEX('Entrada de Dados'!H$6:H$196,MATCH($C80,'Entrada de Dados'!$A$6:$A$196,0))</f>
        <v/>
      </c>
      <c r="L80" s="243">
        <f>INDEX('Entrada de Dados'!I$6:I$196,MATCH($C80,'Entrada de Dados'!$A$6:$A$196,0))</f>
        <v/>
      </c>
      <c r="M80" s="243">
        <f>INDEX('Entrada de Dados'!J$6:J$196,MATCH($C80,'Entrada de Dados'!$A$6:$A$196,0))</f>
        <v/>
      </c>
      <c r="N80" s="243">
        <f>INDEX('Entrada de Dados'!K$6:K$196,MATCH($C80,'Entrada de Dados'!$A$6:$A$196,0))</f>
        <v/>
      </c>
      <c r="O80" s="243">
        <f>INDEX('Entrada de Dados'!L$6:L$196,MATCH($C80,'Entrada de Dados'!$A$6:$A$196,0))</f>
        <v/>
      </c>
      <c r="P80" s="243">
        <f>INDEX('Entrada de Dados'!M$6:M$196,MATCH($C80,'Entrada de Dados'!$A$6:$A$196,0))</f>
        <v/>
      </c>
      <c r="Q80" s="243">
        <f>INDEX('Entrada de Dados'!N$6:N$196,MATCH($C80,'Entrada de Dados'!$A$6:$A$196,0))</f>
        <v/>
      </c>
      <c r="R80" s="243">
        <f>INDEX('Entrada de Dados'!O$6:O$196,MATCH($C80,'Entrada de Dados'!$A$6:$A$196,0))</f>
        <v/>
      </c>
      <c r="S80" s="243">
        <f>INDEX('Entrada de Dados'!P$6:P$196,MATCH($C80,'Entrada de Dados'!$A$6:$A$196,0))</f>
        <v/>
      </c>
      <c r="T80" s="243">
        <f>INDEX('Entrada de Dados'!Q$6:Q$196,MATCH($C80,'Entrada de Dados'!$A$6:$A$196,0))</f>
        <v/>
      </c>
      <c r="U80" s="243">
        <f>INDEX('Entrada de Dados'!R$6:R$196,MATCH($C80,'Entrada de Dados'!$A$6:$A$196,0))</f>
        <v/>
      </c>
      <c r="V80" s="243">
        <f>INDEX('Entrada de Dados'!S$6:S$196,MATCH($C80,'Entrada de Dados'!$A$6:$A$196,0))</f>
        <v/>
      </c>
      <c r="W80" s="243">
        <f>INDEX('Entrada de Dados'!T$6:T$196,MATCH($C80,'Entrada de Dados'!$A$6:$A$196,0))</f>
        <v/>
      </c>
      <c r="X80" s="243">
        <f>INDEX('Entrada de Dados'!U$6:U$196,MATCH($C80,'Entrada de Dados'!$A$6:$A$196,0))</f>
        <v/>
      </c>
    </row>
    <row r="81">
      <c r="A81" s="241" t="n">
        <v>6</v>
      </c>
      <c r="B81" s="241" t="inlineStr"/>
      <c r="C81" s="241" t="inlineStr">
        <is>
          <t>1030</t>
        </is>
      </c>
      <c r="D81" s="242">
        <f>HYPERLINK("#'ESCOLA MUNICIPAL JORGE AMADO'!A1","ESCOLA MUNICIPAL JORGE AMADO")</f>
        <v/>
      </c>
      <c r="E81" s="242" t="inlineStr">
        <is>
          <t>CASCATINHA</t>
        </is>
      </c>
      <c r="F81" s="243">
        <f>INDEX('Entrada de Dados'!C$6:C$196,MATCH($C81,'Entrada de Dados'!$A$6:$A$196,0))</f>
        <v/>
      </c>
      <c r="G81" s="243">
        <f>INDEX('Entrada de Dados'!D$6:D$196,MATCH($C81,'Entrada de Dados'!$A$6:$A$196,0))</f>
        <v/>
      </c>
      <c r="H81" s="243">
        <f>INDEX('Entrada de Dados'!E$6:E$196,MATCH($C81,'Entrada de Dados'!$A$6:$A$196,0))</f>
        <v/>
      </c>
      <c r="I81" s="243">
        <f>INDEX('Entrada de Dados'!F$6:F$196,MATCH($C81,'Entrada de Dados'!$A$6:$A$196,0))</f>
        <v/>
      </c>
      <c r="J81" s="243">
        <f>INDEX('Entrada de Dados'!G$6:G$196,MATCH($C81,'Entrada de Dados'!$A$6:$A$196,0))</f>
        <v/>
      </c>
      <c r="K81" s="243">
        <f>INDEX('Entrada de Dados'!H$6:H$196,MATCH($C81,'Entrada de Dados'!$A$6:$A$196,0))</f>
        <v/>
      </c>
      <c r="L81" s="243">
        <f>INDEX('Entrada de Dados'!I$6:I$196,MATCH($C81,'Entrada de Dados'!$A$6:$A$196,0))</f>
        <v/>
      </c>
      <c r="M81" s="243">
        <f>INDEX('Entrada de Dados'!J$6:J$196,MATCH($C81,'Entrada de Dados'!$A$6:$A$196,0))</f>
        <v/>
      </c>
      <c r="N81" s="243">
        <f>INDEX('Entrada de Dados'!K$6:K$196,MATCH($C81,'Entrada de Dados'!$A$6:$A$196,0))</f>
        <v/>
      </c>
      <c r="O81" s="243">
        <f>INDEX('Entrada de Dados'!L$6:L$196,MATCH($C81,'Entrada de Dados'!$A$6:$A$196,0))</f>
        <v/>
      </c>
      <c r="P81" s="243">
        <f>INDEX('Entrada de Dados'!M$6:M$196,MATCH($C81,'Entrada de Dados'!$A$6:$A$196,0))</f>
        <v/>
      </c>
      <c r="Q81" s="243">
        <f>INDEX('Entrada de Dados'!N$6:N$196,MATCH($C81,'Entrada de Dados'!$A$6:$A$196,0))</f>
        <v/>
      </c>
      <c r="R81" s="243">
        <f>INDEX('Entrada de Dados'!O$6:O$196,MATCH($C81,'Entrada de Dados'!$A$6:$A$196,0))</f>
        <v/>
      </c>
      <c r="S81" s="243">
        <f>INDEX('Entrada de Dados'!P$6:P$196,MATCH($C81,'Entrada de Dados'!$A$6:$A$196,0))</f>
        <v/>
      </c>
      <c r="T81" s="243">
        <f>INDEX('Entrada de Dados'!Q$6:Q$196,MATCH($C81,'Entrada de Dados'!$A$6:$A$196,0))</f>
        <v/>
      </c>
      <c r="U81" s="243">
        <f>INDEX('Entrada de Dados'!R$6:R$196,MATCH($C81,'Entrada de Dados'!$A$6:$A$196,0))</f>
        <v/>
      </c>
      <c r="V81" s="243">
        <f>INDEX('Entrada de Dados'!S$6:S$196,MATCH($C81,'Entrada de Dados'!$A$6:$A$196,0))</f>
        <v/>
      </c>
      <c r="W81" s="243">
        <f>INDEX('Entrada de Dados'!T$6:T$196,MATCH($C81,'Entrada de Dados'!$A$6:$A$196,0))</f>
        <v/>
      </c>
      <c r="X81" s="243">
        <f>INDEX('Entrada de Dados'!U$6:U$196,MATCH($C81,'Entrada de Dados'!$A$6:$A$196,0))</f>
        <v/>
      </c>
    </row>
    <row r="82">
      <c r="A82" s="253" t="n">
        <v>7</v>
      </c>
      <c r="B82" s="253" t="inlineStr">
        <is>
          <t>A</t>
        </is>
      </c>
      <c r="C82" s="254" t="inlineStr">
        <is>
          <t>1112</t>
        </is>
      </c>
      <c r="D82" s="255">
        <f>HYPERLINK("#'CIEP BRIZOLÃO 474 MAESTRO GUERR'!A1","CIEP BRIZOLÃO 474 MAESTRO GUERRA PEIXE - MUNICIPALIZADO")</f>
        <v/>
      </c>
      <c r="E82" s="255" t="inlineStr">
        <is>
          <t>CASCATINHA</t>
        </is>
      </c>
      <c r="F82" s="256">
        <f>INDEX('Entrada de Dados'!C$6:C$196,MATCH($C82,'Entrada de Dados'!$A$6:$A$196,0))</f>
        <v/>
      </c>
      <c r="G82" s="256">
        <f>INDEX('Entrada de Dados'!D$6:D$196,MATCH($C82,'Entrada de Dados'!$A$6:$A$196,0))</f>
        <v/>
      </c>
      <c r="H82" s="256">
        <f>INDEX('Entrada de Dados'!E$6:E$196,MATCH($C82,'Entrada de Dados'!$A$6:$A$196,0))</f>
        <v/>
      </c>
      <c r="I82" s="256">
        <f>INDEX('Entrada de Dados'!F$6:F$196,MATCH($C82,'Entrada de Dados'!$A$6:$A$196,0))</f>
        <v/>
      </c>
      <c r="J82" s="256">
        <f>INDEX('Entrada de Dados'!G$6:G$196,MATCH($C82,'Entrada de Dados'!$A$6:$A$196,0))</f>
        <v/>
      </c>
      <c r="K82" s="256">
        <f>INDEX('Entrada de Dados'!H$6:H$196,MATCH($C82,'Entrada de Dados'!$A$6:$A$196,0))</f>
        <v/>
      </c>
      <c r="L82" s="256">
        <f>INDEX('Entrada de Dados'!I$6:I$196,MATCH($C82,'Entrada de Dados'!$A$6:$A$196,0))</f>
        <v/>
      </c>
      <c r="M82" s="256">
        <f>INDEX('Entrada de Dados'!J$6:J$196,MATCH($C82,'Entrada de Dados'!$A$6:$A$196,0))</f>
        <v/>
      </c>
      <c r="N82" s="256">
        <f>INDEX('Entrada de Dados'!K$6:K$196,MATCH($C82,'Entrada de Dados'!$A$6:$A$196,0))</f>
        <v/>
      </c>
      <c r="O82" s="256">
        <f>INDEX('Entrada de Dados'!L$6:L$196,MATCH($C82,'Entrada de Dados'!$A$6:$A$196,0))</f>
        <v/>
      </c>
      <c r="P82" s="256">
        <f>INDEX('Entrada de Dados'!M$6:M$196,MATCH($C82,'Entrada de Dados'!$A$6:$A$196,0))</f>
        <v/>
      </c>
      <c r="Q82" s="256">
        <f>INDEX('Entrada de Dados'!N$6:N$196,MATCH($C82,'Entrada de Dados'!$A$6:$A$196,0))</f>
        <v/>
      </c>
      <c r="R82" s="256">
        <f>INDEX('Entrada de Dados'!O$6:O$196,MATCH($C82,'Entrada de Dados'!$A$6:$A$196,0))</f>
        <v/>
      </c>
      <c r="S82" s="256">
        <f>INDEX('Entrada de Dados'!P$6:P$196,MATCH($C82,'Entrada de Dados'!$A$6:$A$196,0))</f>
        <v/>
      </c>
      <c r="T82" s="256">
        <f>INDEX('Entrada de Dados'!Q$6:Q$196,MATCH($C82,'Entrada de Dados'!$A$6:$A$196,0))</f>
        <v/>
      </c>
      <c r="U82" s="256">
        <f>INDEX('Entrada de Dados'!R$6:R$196,MATCH($C82,'Entrada de Dados'!$A$6:$A$196,0))</f>
        <v/>
      </c>
      <c r="V82" s="256">
        <f>INDEX('Entrada de Dados'!S$6:S$196,MATCH($C82,'Entrada de Dados'!$A$6:$A$196,0))</f>
        <v/>
      </c>
      <c r="W82" s="256">
        <f>INDEX('Entrada de Dados'!T$6:T$196,MATCH($C82,'Entrada de Dados'!$A$6:$A$196,0))</f>
        <v/>
      </c>
      <c r="X82" s="256">
        <f>INDEX('Entrada de Dados'!U$6:U$196,MATCH($C82,'Entrada de Dados'!$A$6:$A$196,0))</f>
        <v/>
      </c>
    </row>
    <row r="83">
      <c r="A83" s="253" t="n">
        <v>7</v>
      </c>
      <c r="B83" s="253" t="inlineStr">
        <is>
          <t>B</t>
        </is>
      </c>
      <c r="C83" s="254" t="inlineStr">
        <is>
          <t>3012</t>
        </is>
      </c>
      <c r="D83" s="255">
        <f>HYPERLINK("#'CEI ANDRÉ VANZAN'!A1","CEI ANDRÉ VANZAN")</f>
        <v/>
      </c>
      <c r="E83" s="255" t="inlineStr">
        <is>
          <t>CASCATINHA</t>
        </is>
      </c>
      <c r="F83" s="256">
        <f>INDEX('Entrada de Dados'!C$6:C$196,MATCH($C83,'Entrada de Dados'!$A$6:$A$196,0))</f>
        <v/>
      </c>
      <c r="G83" s="256">
        <f>INDEX('Entrada de Dados'!D$6:D$196,MATCH($C83,'Entrada de Dados'!$A$6:$A$196,0))</f>
        <v/>
      </c>
      <c r="H83" s="256">
        <f>INDEX('Entrada de Dados'!E$6:E$196,MATCH($C83,'Entrada de Dados'!$A$6:$A$196,0))</f>
        <v/>
      </c>
      <c r="I83" s="256">
        <f>INDEX('Entrada de Dados'!F$6:F$196,MATCH($C83,'Entrada de Dados'!$A$6:$A$196,0))</f>
        <v/>
      </c>
      <c r="J83" s="256">
        <f>INDEX('Entrada de Dados'!G$6:G$196,MATCH($C83,'Entrada de Dados'!$A$6:$A$196,0))</f>
        <v/>
      </c>
      <c r="K83" s="256">
        <f>INDEX('Entrada de Dados'!H$6:H$196,MATCH($C83,'Entrada de Dados'!$A$6:$A$196,0))</f>
        <v/>
      </c>
      <c r="L83" s="256">
        <f>INDEX('Entrada de Dados'!I$6:I$196,MATCH($C83,'Entrada de Dados'!$A$6:$A$196,0))</f>
        <v/>
      </c>
      <c r="M83" s="256">
        <f>INDEX('Entrada de Dados'!J$6:J$196,MATCH($C83,'Entrada de Dados'!$A$6:$A$196,0))</f>
        <v/>
      </c>
      <c r="N83" s="256">
        <f>INDEX('Entrada de Dados'!K$6:K$196,MATCH($C83,'Entrada de Dados'!$A$6:$A$196,0))</f>
        <v/>
      </c>
      <c r="O83" s="256">
        <f>INDEX('Entrada de Dados'!L$6:L$196,MATCH($C83,'Entrada de Dados'!$A$6:$A$196,0))</f>
        <v/>
      </c>
      <c r="P83" s="256">
        <f>INDEX('Entrada de Dados'!M$6:M$196,MATCH($C83,'Entrada de Dados'!$A$6:$A$196,0))</f>
        <v/>
      </c>
      <c r="Q83" s="256">
        <f>INDEX('Entrada de Dados'!N$6:N$196,MATCH($C83,'Entrada de Dados'!$A$6:$A$196,0))</f>
        <v/>
      </c>
      <c r="R83" s="256">
        <f>INDEX('Entrada de Dados'!O$6:O$196,MATCH($C83,'Entrada de Dados'!$A$6:$A$196,0))</f>
        <v/>
      </c>
      <c r="S83" s="256">
        <f>INDEX('Entrada de Dados'!P$6:P$196,MATCH($C83,'Entrada de Dados'!$A$6:$A$196,0))</f>
        <v/>
      </c>
      <c r="T83" s="256">
        <f>INDEX('Entrada de Dados'!Q$6:Q$196,MATCH($C83,'Entrada de Dados'!$A$6:$A$196,0))</f>
        <v/>
      </c>
      <c r="U83" s="256">
        <f>INDEX('Entrada de Dados'!R$6:R$196,MATCH($C83,'Entrada de Dados'!$A$6:$A$196,0))</f>
        <v/>
      </c>
      <c r="V83" s="256">
        <f>INDEX('Entrada de Dados'!S$6:S$196,MATCH($C83,'Entrada de Dados'!$A$6:$A$196,0))</f>
        <v/>
      </c>
      <c r="W83" s="256">
        <f>INDEX('Entrada de Dados'!T$6:T$196,MATCH($C83,'Entrada de Dados'!$A$6:$A$196,0))</f>
        <v/>
      </c>
      <c r="X83" s="256">
        <f>INDEX('Entrada de Dados'!U$6:U$196,MATCH($C83,'Entrada de Dados'!$A$6:$A$196,0))</f>
        <v/>
      </c>
    </row>
    <row r="84">
      <c r="A84" s="241" t="n">
        <v>8</v>
      </c>
      <c r="B84" s="241" t="inlineStr"/>
      <c r="C84" s="241" t="inlineStr">
        <is>
          <t>1038</t>
        </is>
      </c>
      <c r="D84" s="242">
        <f>HYPERLINK("#'E M FÁBRICA DO SABER'!A1","E M FÁBRICA DO SABER")</f>
        <v/>
      </c>
      <c r="E84" s="242" t="inlineStr">
        <is>
          <t>CASCATINHA</t>
        </is>
      </c>
      <c r="F84" s="243">
        <f>INDEX('Entrada de Dados'!C$6:C$196,MATCH($C84,'Entrada de Dados'!$A$6:$A$196,0))</f>
        <v/>
      </c>
      <c r="G84" s="243">
        <f>INDEX('Entrada de Dados'!D$6:D$196,MATCH($C84,'Entrada de Dados'!$A$6:$A$196,0))</f>
        <v/>
      </c>
      <c r="H84" s="243">
        <f>INDEX('Entrada de Dados'!E$6:E$196,MATCH($C84,'Entrada de Dados'!$A$6:$A$196,0))</f>
        <v/>
      </c>
      <c r="I84" s="243">
        <f>INDEX('Entrada de Dados'!F$6:F$196,MATCH($C84,'Entrada de Dados'!$A$6:$A$196,0))</f>
        <v/>
      </c>
      <c r="J84" s="243">
        <f>INDEX('Entrada de Dados'!G$6:G$196,MATCH($C84,'Entrada de Dados'!$A$6:$A$196,0))</f>
        <v/>
      </c>
      <c r="K84" s="243">
        <f>INDEX('Entrada de Dados'!H$6:H$196,MATCH($C84,'Entrada de Dados'!$A$6:$A$196,0))</f>
        <v/>
      </c>
      <c r="L84" s="243">
        <f>INDEX('Entrada de Dados'!I$6:I$196,MATCH($C84,'Entrada de Dados'!$A$6:$A$196,0))</f>
        <v/>
      </c>
      <c r="M84" s="243">
        <f>INDEX('Entrada de Dados'!J$6:J$196,MATCH($C84,'Entrada de Dados'!$A$6:$A$196,0))</f>
        <v/>
      </c>
      <c r="N84" s="243">
        <f>INDEX('Entrada de Dados'!K$6:K$196,MATCH($C84,'Entrada de Dados'!$A$6:$A$196,0))</f>
        <v/>
      </c>
      <c r="O84" s="243">
        <f>INDEX('Entrada de Dados'!L$6:L$196,MATCH($C84,'Entrada de Dados'!$A$6:$A$196,0))</f>
        <v/>
      </c>
      <c r="P84" s="243">
        <f>INDEX('Entrada de Dados'!M$6:M$196,MATCH($C84,'Entrada de Dados'!$A$6:$A$196,0))</f>
        <v/>
      </c>
      <c r="Q84" s="243">
        <f>INDEX('Entrada de Dados'!N$6:N$196,MATCH($C84,'Entrada de Dados'!$A$6:$A$196,0))</f>
        <v/>
      </c>
      <c r="R84" s="243">
        <f>INDEX('Entrada de Dados'!O$6:O$196,MATCH($C84,'Entrada de Dados'!$A$6:$A$196,0))</f>
        <v/>
      </c>
      <c r="S84" s="243">
        <f>INDEX('Entrada de Dados'!P$6:P$196,MATCH($C84,'Entrada de Dados'!$A$6:$A$196,0))</f>
        <v/>
      </c>
      <c r="T84" s="243">
        <f>INDEX('Entrada de Dados'!Q$6:Q$196,MATCH($C84,'Entrada de Dados'!$A$6:$A$196,0))</f>
        <v/>
      </c>
      <c r="U84" s="243">
        <f>INDEX('Entrada de Dados'!R$6:R$196,MATCH($C84,'Entrada de Dados'!$A$6:$A$196,0))</f>
        <v/>
      </c>
      <c r="V84" s="243">
        <f>INDEX('Entrada de Dados'!S$6:S$196,MATCH($C84,'Entrada de Dados'!$A$6:$A$196,0))</f>
        <v/>
      </c>
      <c r="W84" s="243">
        <f>INDEX('Entrada de Dados'!T$6:T$196,MATCH($C84,'Entrada de Dados'!$A$6:$A$196,0))</f>
        <v/>
      </c>
      <c r="X84" s="243">
        <f>INDEX('Entrada de Dados'!U$6:U$196,MATCH($C84,'Entrada de Dados'!$A$6:$A$196,0))</f>
        <v/>
      </c>
    </row>
    <row r="85">
      <c r="A85" s="253" t="n">
        <v>9</v>
      </c>
      <c r="B85" s="253" t="inlineStr">
        <is>
          <t>A</t>
        </is>
      </c>
      <c r="C85" s="254" t="inlineStr">
        <is>
          <t>3028</t>
        </is>
      </c>
      <c r="D85" s="255">
        <f>HYPERLINK("#'CENTRO DE EDUCAÇÃO INFANTIL CAR'!A1","CENTRO DE EDUCAÇÃO INFANTIL CAROLINA AMORIM")</f>
        <v/>
      </c>
      <c r="E85" s="255" t="inlineStr">
        <is>
          <t>CASCATINHA</t>
        </is>
      </c>
      <c r="F85" s="256">
        <f>INDEX('Entrada de Dados'!C$6:C$196,MATCH($C85,'Entrada de Dados'!$A$6:$A$196,0))</f>
        <v/>
      </c>
      <c r="G85" s="256">
        <f>INDEX('Entrada de Dados'!D$6:D$196,MATCH($C85,'Entrada de Dados'!$A$6:$A$196,0))</f>
        <v/>
      </c>
      <c r="H85" s="256">
        <f>INDEX('Entrada de Dados'!E$6:E$196,MATCH($C85,'Entrada de Dados'!$A$6:$A$196,0))</f>
        <v/>
      </c>
      <c r="I85" s="256">
        <f>INDEX('Entrada de Dados'!F$6:F$196,MATCH($C85,'Entrada de Dados'!$A$6:$A$196,0))</f>
        <v/>
      </c>
      <c r="J85" s="256">
        <f>INDEX('Entrada de Dados'!G$6:G$196,MATCH($C85,'Entrada de Dados'!$A$6:$A$196,0))</f>
        <v/>
      </c>
      <c r="K85" s="256">
        <f>INDEX('Entrada de Dados'!H$6:H$196,MATCH($C85,'Entrada de Dados'!$A$6:$A$196,0))</f>
        <v/>
      </c>
      <c r="L85" s="256">
        <f>INDEX('Entrada de Dados'!I$6:I$196,MATCH($C85,'Entrada de Dados'!$A$6:$A$196,0))</f>
        <v/>
      </c>
      <c r="M85" s="256">
        <f>INDEX('Entrada de Dados'!J$6:J$196,MATCH($C85,'Entrada de Dados'!$A$6:$A$196,0))</f>
        <v/>
      </c>
      <c r="N85" s="256">
        <f>INDEX('Entrada de Dados'!K$6:K$196,MATCH($C85,'Entrada de Dados'!$A$6:$A$196,0))</f>
        <v/>
      </c>
      <c r="O85" s="256">
        <f>INDEX('Entrada de Dados'!L$6:L$196,MATCH($C85,'Entrada de Dados'!$A$6:$A$196,0))</f>
        <v/>
      </c>
      <c r="P85" s="256">
        <f>INDEX('Entrada de Dados'!M$6:M$196,MATCH($C85,'Entrada de Dados'!$A$6:$A$196,0))</f>
        <v/>
      </c>
      <c r="Q85" s="256">
        <f>INDEX('Entrada de Dados'!N$6:N$196,MATCH($C85,'Entrada de Dados'!$A$6:$A$196,0))</f>
        <v/>
      </c>
      <c r="R85" s="256">
        <f>INDEX('Entrada de Dados'!O$6:O$196,MATCH($C85,'Entrada de Dados'!$A$6:$A$196,0))</f>
        <v/>
      </c>
      <c r="S85" s="256">
        <f>INDEX('Entrada de Dados'!P$6:P$196,MATCH($C85,'Entrada de Dados'!$A$6:$A$196,0))</f>
        <v/>
      </c>
      <c r="T85" s="256">
        <f>INDEX('Entrada de Dados'!Q$6:Q$196,MATCH($C85,'Entrada de Dados'!$A$6:$A$196,0))</f>
        <v/>
      </c>
      <c r="U85" s="256">
        <f>INDEX('Entrada de Dados'!R$6:R$196,MATCH($C85,'Entrada de Dados'!$A$6:$A$196,0))</f>
        <v/>
      </c>
      <c r="V85" s="256">
        <f>INDEX('Entrada de Dados'!S$6:S$196,MATCH($C85,'Entrada de Dados'!$A$6:$A$196,0))</f>
        <v/>
      </c>
      <c r="W85" s="256">
        <f>INDEX('Entrada de Dados'!T$6:T$196,MATCH($C85,'Entrada de Dados'!$A$6:$A$196,0))</f>
        <v/>
      </c>
      <c r="X85" s="256">
        <f>INDEX('Entrada de Dados'!U$6:U$196,MATCH($C85,'Entrada de Dados'!$A$6:$A$196,0))</f>
        <v/>
      </c>
    </row>
    <row r="86">
      <c r="A86" s="253" t="n">
        <v>9</v>
      </c>
      <c r="B86" s="253" t="inlineStr">
        <is>
          <t>B</t>
        </is>
      </c>
      <c r="C86" s="254" t="inlineStr">
        <is>
          <t>1113</t>
        </is>
      </c>
      <c r="D86" s="255">
        <f>HYPERLINK("#'CENTRO DE ENSINO PROF DARCY RIB'!A1","CENTRO DE ENSINO PROF DARCY RIBEIRO")</f>
        <v/>
      </c>
      <c r="E86" s="255" t="inlineStr">
        <is>
          <t>CASCATINHA</t>
        </is>
      </c>
      <c r="F86" s="256">
        <f>INDEX('Entrada de Dados'!C$6:C$196,MATCH($C86,'Entrada de Dados'!$A$6:$A$196,0))</f>
        <v/>
      </c>
      <c r="G86" s="256">
        <f>INDEX('Entrada de Dados'!D$6:D$196,MATCH($C86,'Entrada de Dados'!$A$6:$A$196,0))</f>
        <v/>
      </c>
      <c r="H86" s="256">
        <f>INDEX('Entrada de Dados'!E$6:E$196,MATCH($C86,'Entrada de Dados'!$A$6:$A$196,0))</f>
        <v/>
      </c>
      <c r="I86" s="256">
        <f>INDEX('Entrada de Dados'!F$6:F$196,MATCH($C86,'Entrada de Dados'!$A$6:$A$196,0))</f>
        <v/>
      </c>
      <c r="J86" s="256">
        <f>INDEX('Entrada de Dados'!G$6:G$196,MATCH($C86,'Entrada de Dados'!$A$6:$A$196,0))</f>
        <v/>
      </c>
      <c r="K86" s="256">
        <f>INDEX('Entrada de Dados'!H$6:H$196,MATCH($C86,'Entrada de Dados'!$A$6:$A$196,0))</f>
        <v/>
      </c>
      <c r="L86" s="256">
        <f>INDEX('Entrada de Dados'!I$6:I$196,MATCH($C86,'Entrada de Dados'!$A$6:$A$196,0))</f>
        <v/>
      </c>
      <c r="M86" s="256">
        <f>INDEX('Entrada de Dados'!J$6:J$196,MATCH($C86,'Entrada de Dados'!$A$6:$A$196,0))</f>
        <v/>
      </c>
      <c r="N86" s="256">
        <f>INDEX('Entrada de Dados'!K$6:K$196,MATCH($C86,'Entrada de Dados'!$A$6:$A$196,0))</f>
        <v/>
      </c>
      <c r="O86" s="256">
        <f>INDEX('Entrada de Dados'!L$6:L$196,MATCH($C86,'Entrada de Dados'!$A$6:$A$196,0))</f>
        <v/>
      </c>
      <c r="P86" s="256">
        <f>INDEX('Entrada de Dados'!M$6:M$196,MATCH($C86,'Entrada de Dados'!$A$6:$A$196,0))</f>
        <v/>
      </c>
      <c r="Q86" s="256">
        <f>INDEX('Entrada de Dados'!N$6:N$196,MATCH($C86,'Entrada de Dados'!$A$6:$A$196,0))</f>
        <v/>
      </c>
      <c r="R86" s="256">
        <f>INDEX('Entrada de Dados'!O$6:O$196,MATCH($C86,'Entrada de Dados'!$A$6:$A$196,0))</f>
        <v/>
      </c>
      <c r="S86" s="256">
        <f>INDEX('Entrada de Dados'!P$6:P$196,MATCH($C86,'Entrada de Dados'!$A$6:$A$196,0))</f>
        <v/>
      </c>
      <c r="T86" s="256">
        <f>INDEX('Entrada de Dados'!Q$6:Q$196,MATCH($C86,'Entrada de Dados'!$A$6:$A$196,0))</f>
        <v/>
      </c>
      <c r="U86" s="256">
        <f>INDEX('Entrada de Dados'!R$6:R$196,MATCH($C86,'Entrada de Dados'!$A$6:$A$196,0))</f>
        <v/>
      </c>
      <c r="V86" s="256">
        <f>INDEX('Entrada de Dados'!S$6:S$196,MATCH($C86,'Entrada de Dados'!$A$6:$A$196,0))</f>
        <v/>
      </c>
      <c r="W86" s="256">
        <f>INDEX('Entrada de Dados'!T$6:T$196,MATCH($C86,'Entrada de Dados'!$A$6:$A$196,0))</f>
        <v/>
      </c>
      <c r="X86" s="256">
        <f>INDEX('Entrada de Dados'!U$6:U$196,MATCH($C86,'Entrada de Dados'!$A$6:$A$196,0))</f>
        <v/>
      </c>
    </row>
    <row r="87">
      <c r="A87" s="241" t="n">
        <v>10</v>
      </c>
      <c r="B87" s="241" t="inlineStr"/>
      <c r="C87" s="241" t="inlineStr">
        <is>
          <t>4005</t>
        </is>
      </c>
      <c r="D87" s="242">
        <f>HYPERLINK("#'ASSOCIAÇÃO DA CRECHE SÃO FRANCI'!A1","ASSOCIAÇÃO DA CRECHE SÃO FRANCISCO DE ASSIS")</f>
        <v/>
      </c>
      <c r="E87" s="242" t="inlineStr">
        <is>
          <t>CASCATINHA</t>
        </is>
      </c>
      <c r="F87" s="243">
        <f>INDEX('Entrada de Dados'!C$6:C$196,MATCH($C87,'Entrada de Dados'!$A$6:$A$196,0))</f>
        <v/>
      </c>
      <c r="G87" s="243">
        <f>INDEX('Entrada de Dados'!D$6:D$196,MATCH($C87,'Entrada de Dados'!$A$6:$A$196,0))</f>
        <v/>
      </c>
      <c r="H87" s="243">
        <f>INDEX('Entrada de Dados'!E$6:E$196,MATCH($C87,'Entrada de Dados'!$A$6:$A$196,0))</f>
        <v/>
      </c>
      <c r="I87" s="243">
        <f>INDEX('Entrada de Dados'!F$6:F$196,MATCH($C87,'Entrada de Dados'!$A$6:$A$196,0))</f>
        <v/>
      </c>
      <c r="J87" s="243">
        <f>INDEX('Entrada de Dados'!G$6:G$196,MATCH($C87,'Entrada de Dados'!$A$6:$A$196,0))</f>
        <v/>
      </c>
      <c r="K87" s="243">
        <f>INDEX('Entrada de Dados'!H$6:H$196,MATCH($C87,'Entrada de Dados'!$A$6:$A$196,0))</f>
        <v/>
      </c>
      <c r="L87" s="243">
        <f>INDEX('Entrada de Dados'!I$6:I$196,MATCH($C87,'Entrada de Dados'!$A$6:$A$196,0))</f>
        <v/>
      </c>
      <c r="M87" s="243">
        <f>INDEX('Entrada de Dados'!J$6:J$196,MATCH($C87,'Entrada de Dados'!$A$6:$A$196,0))</f>
        <v/>
      </c>
      <c r="N87" s="243">
        <f>INDEX('Entrada de Dados'!K$6:K$196,MATCH($C87,'Entrada de Dados'!$A$6:$A$196,0))</f>
        <v/>
      </c>
      <c r="O87" s="243">
        <f>INDEX('Entrada de Dados'!L$6:L$196,MATCH($C87,'Entrada de Dados'!$A$6:$A$196,0))</f>
        <v/>
      </c>
      <c r="P87" s="243">
        <f>INDEX('Entrada de Dados'!M$6:M$196,MATCH($C87,'Entrada de Dados'!$A$6:$A$196,0))</f>
        <v/>
      </c>
      <c r="Q87" s="243">
        <f>INDEX('Entrada de Dados'!N$6:N$196,MATCH($C87,'Entrada de Dados'!$A$6:$A$196,0))</f>
        <v/>
      </c>
      <c r="R87" s="243">
        <f>INDEX('Entrada de Dados'!O$6:O$196,MATCH($C87,'Entrada de Dados'!$A$6:$A$196,0))</f>
        <v/>
      </c>
      <c r="S87" s="243">
        <f>INDEX('Entrada de Dados'!P$6:P$196,MATCH($C87,'Entrada de Dados'!$A$6:$A$196,0))</f>
        <v/>
      </c>
      <c r="T87" s="243">
        <f>INDEX('Entrada de Dados'!Q$6:Q$196,MATCH($C87,'Entrada de Dados'!$A$6:$A$196,0))</f>
        <v/>
      </c>
      <c r="U87" s="243">
        <f>INDEX('Entrada de Dados'!R$6:R$196,MATCH($C87,'Entrada de Dados'!$A$6:$A$196,0))</f>
        <v/>
      </c>
      <c r="V87" s="243">
        <f>INDEX('Entrada de Dados'!S$6:S$196,MATCH($C87,'Entrada de Dados'!$A$6:$A$196,0))</f>
        <v/>
      </c>
      <c r="W87" s="243">
        <f>INDEX('Entrada de Dados'!T$6:T$196,MATCH($C87,'Entrada de Dados'!$A$6:$A$196,0))</f>
        <v/>
      </c>
      <c r="X87" s="243">
        <f>INDEX('Entrada de Dados'!U$6:U$196,MATCH($C87,'Entrada de Dados'!$A$6:$A$196,0))</f>
        <v/>
      </c>
    </row>
    <row r="88">
      <c r="A88" s="241" t="n">
        <v>11</v>
      </c>
      <c r="B88" s="241" t="inlineStr"/>
      <c r="C88" s="241" t="inlineStr">
        <is>
          <t>3072</t>
        </is>
      </c>
      <c r="D88" s="242">
        <f>HYPERLINK("#'CEI BOA VISTA'!A1","CEI BOA VISTA")</f>
        <v/>
      </c>
      <c r="E88" s="242" t="inlineStr">
        <is>
          <t>CASCATINHA</t>
        </is>
      </c>
      <c r="F88" s="243">
        <f>INDEX('Entrada de Dados'!C$6:C$196,MATCH($C88,'Entrada de Dados'!$A$6:$A$196,0))</f>
        <v/>
      </c>
      <c r="G88" s="243">
        <f>INDEX('Entrada de Dados'!D$6:D$196,MATCH($C88,'Entrada de Dados'!$A$6:$A$196,0))</f>
        <v/>
      </c>
      <c r="H88" s="243">
        <f>INDEX('Entrada de Dados'!E$6:E$196,MATCH($C88,'Entrada de Dados'!$A$6:$A$196,0))</f>
        <v/>
      </c>
      <c r="I88" s="243">
        <f>INDEX('Entrada de Dados'!F$6:F$196,MATCH($C88,'Entrada de Dados'!$A$6:$A$196,0))</f>
        <v/>
      </c>
      <c r="J88" s="243">
        <f>INDEX('Entrada de Dados'!G$6:G$196,MATCH($C88,'Entrada de Dados'!$A$6:$A$196,0))</f>
        <v/>
      </c>
      <c r="K88" s="243">
        <f>INDEX('Entrada de Dados'!H$6:H$196,MATCH($C88,'Entrada de Dados'!$A$6:$A$196,0))</f>
        <v/>
      </c>
      <c r="L88" s="243">
        <f>INDEX('Entrada de Dados'!I$6:I$196,MATCH($C88,'Entrada de Dados'!$A$6:$A$196,0))</f>
        <v/>
      </c>
      <c r="M88" s="243">
        <f>INDEX('Entrada de Dados'!J$6:J$196,MATCH($C88,'Entrada de Dados'!$A$6:$A$196,0))</f>
        <v/>
      </c>
      <c r="N88" s="243">
        <f>INDEX('Entrada de Dados'!K$6:K$196,MATCH($C88,'Entrada de Dados'!$A$6:$A$196,0))</f>
        <v/>
      </c>
      <c r="O88" s="243">
        <f>INDEX('Entrada de Dados'!L$6:L$196,MATCH($C88,'Entrada de Dados'!$A$6:$A$196,0))</f>
        <v/>
      </c>
      <c r="P88" s="243">
        <f>INDEX('Entrada de Dados'!M$6:M$196,MATCH($C88,'Entrada de Dados'!$A$6:$A$196,0))</f>
        <v/>
      </c>
      <c r="Q88" s="243">
        <f>INDEX('Entrada de Dados'!N$6:N$196,MATCH($C88,'Entrada de Dados'!$A$6:$A$196,0))</f>
        <v/>
      </c>
      <c r="R88" s="243">
        <f>INDEX('Entrada de Dados'!O$6:O$196,MATCH($C88,'Entrada de Dados'!$A$6:$A$196,0))</f>
        <v/>
      </c>
      <c r="S88" s="243">
        <f>INDEX('Entrada de Dados'!P$6:P$196,MATCH($C88,'Entrada de Dados'!$A$6:$A$196,0))</f>
        <v/>
      </c>
      <c r="T88" s="243">
        <f>INDEX('Entrada de Dados'!Q$6:Q$196,MATCH($C88,'Entrada de Dados'!$A$6:$A$196,0))</f>
        <v/>
      </c>
      <c r="U88" s="243">
        <f>INDEX('Entrada de Dados'!R$6:R$196,MATCH($C88,'Entrada de Dados'!$A$6:$A$196,0))</f>
        <v/>
      </c>
      <c r="V88" s="243">
        <f>INDEX('Entrada de Dados'!S$6:S$196,MATCH($C88,'Entrada de Dados'!$A$6:$A$196,0))</f>
        <v/>
      </c>
      <c r="W88" s="243">
        <f>INDEX('Entrada de Dados'!T$6:T$196,MATCH($C88,'Entrada de Dados'!$A$6:$A$196,0))</f>
        <v/>
      </c>
      <c r="X88" s="243">
        <f>INDEX('Entrada de Dados'!U$6:U$196,MATCH($C88,'Entrada de Dados'!$A$6:$A$196,0))</f>
        <v/>
      </c>
    </row>
    <row r="89" ht="22" customHeight="1" s="107">
      <c r="A89" s="248" t="inlineStr">
        <is>
          <t>Peso previsto:</t>
        </is>
      </c>
      <c r="C89" s="249">
        <f>SUM(F76:F88)+SUM(G76:G88)+SUM(H76:H88)+SUM(I76:I88)+SUM(J76:J88)+SUM(K76:K88)+SUM(L76:L88)+SUM(M76:M88)+SUM(N76:N88)+SUM(O76:O88)+SUM(P76:P88)+SUM(Q76:Q88)+SUM(R76:R88)+SUM(S76:S88)+SUM(T76:T88)+SUM(U76:U88)+SUM(W76:W88)+SUM(X76:X88)</f>
        <v/>
      </c>
      <c r="D89" s="248" t="inlineStr">
        <is>
          <t>Peso embarcado (kg):</t>
        </is>
      </c>
      <c r="F89" s="250" t="n"/>
      <c r="G89" s="248" t="inlineStr">
        <is>
          <t>Veículo:</t>
        </is>
      </c>
      <c r="I89" s="250" t="n"/>
      <c r="J89" s="251" t="n"/>
      <c r="K89" s="248" t="inlineStr">
        <is>
          <t>Motorista:</t>
        </is>
      </c>
      <c r="M89" s="250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51" t="n"/>
    </row>
    <row r="91" ht="20" customHeight="1" s="107">
      <c r="A91" s="236" t="inlineStr">
        <is>
          <t>ROTA S6 — BINGEN · CAMINHÃO MÉDIO · 9 escolas · 9 paradas físicas</t>
        </is>
      </c>
    </row>
    <row r="92" ht="26" customHeight="1" s="107">
      <c r="A92" s="238" t="inlineStr">
        <is>
          <t>Sequência-base: Galpão Itaipava &gt; Bingen &gt; Galpão   Atenção: Acesso urbano. Planejar horário e descarga para evitar retenção em vias movimentadas.</t>
        </is>
      </c>
    </row>
    <row r="93" ht="30" customHeight="1" s="107">
      <c r="A93" s="240" t="inlineStr">
        <is>
          <t>PAR.</t>
        </is>
      </c>
      <c r="B93" s="240" t="inlineStr">
        <is>
          <t>SUB</t>
        </is>
      </c>
      <c r="C93" s="240" t="inlineStr">
        <is>
          <t>CÓDIGO</t>
        </is>
      </c>
      <c r="D93" s="240" t="inlineStr">
        <is>
          <t>ESCOLA</t>
        </is>
      </c>
      <c r="E93" s="240" t="inlineStr">
        <is>
          <t>BAIRRO/CORREDOR</t>
        </is>
      </c>
      <c r="F93" s="240" t="inlineStr">
        <is>
          <t>Abacate</t>
        </is>
      </c>
      <c r="G93" s="240" t="inlineStr">
        <is>
          <t>Abobrinha</t>
        </is>
      </c>
      <c r="H93" s="240" t="inlineStr">
        <is>
          <t>Agrião</t>
        </is>
      </c>
      <c r="I93" s="240" t="inlineStr">
        <is>
          <t>Alface lisa</t>
        </is>
      </c>
      <c r="J93" s="240" t="inlineStr">
        <is>
          <t>Banana prata</t>
        </is>
      </c>
      <c r="K93" s="240" t="inlineStr">
        <is>
          <t>Batata inglesa</t>
        </is>
      </c>
      <c r="L93" s="240" t="inlineStr">
        <is>
          <t>Beterraba</t>
        </is>
      </c>
      <c r="M93" s="240" t="inlineStr">
        <is>
          <t>Brócolis</t>
        </is>
      </c>
      <c r="N93" s="240" t="inlineStr">
        <is>
          <t>Cenoura</t>
        </is>
      </c>
      <c r="O93" s="240" t="inlineStr">
        <is>
          <t>Cheiro verde</t>
        </is>
      </c>
      <c r="P93" s="240" t="inlineStr">
        <is>
          <t>Chuchu</t>
        </is>
      </c>
      <c r="Q93" s="240" t="inlineStr">
        <is>
          <t>Couve manteiga</t>
        </is>
      </c>
      <c r="R93" s="240" t="inlineStr">
        <is>
          <t>Couve-flor</t>
        </is>
      </c>
      <c r="S93" s="240" t="inlineStr">
        <is>
          <t>Espinafre</t>
        </is>
      </c>
      <c r="T93" s="240" t="inlineStr">
        <is>
          <t>Maçã gala</t>
        </is>
      </c>
      <c r="U93" s="240" t="inlineStr">
        <is>
          <t>Mel</t>
        </is>
      </c>
      <c r="V93" s="240" t="inlineStr">
        <is>
          <t>Ovos (dz)</t>
        </is>
      </c>
      <c r="W93" s="240" t="inlineStr">
        <is>
          <t>Repolho</t>
        </is>
      </c>
      <c r="X93" s="240" t="inlineStr">
        <is>
          <t>Tangerina ponkan</t>
        </is>
      </c>
    </row>
    <row r="94">
      <c r="A94" s="241" t="n">
        <v>1</v>
      </c>
      <c r="B94" s="241" t="inlineStr"/>
      <c r="C94" s="241" t="inlineStr">
        <is>
          <t>3003</t>
        </is>
      </c>
      <c r="D94" s="242">
        <f>HYPERLINK("#'CEI CASA DA SOLIDARIEDADE DE NO'!A1","CEI CASA DA SOLIDARIEDADE DE NOSSA SENHORA APARECIDA")</f>
        <v/>
      </c>
      <c r="E94" s="242" t="inlineStr">
        <is>
          <t>BINGEN</t>
        </is>
      </c>
      <c r="F94" s="243">
        <f>INDEX('Entrada de Dados'!C$6:C$196,MATCH($C94,'Entrada de Dados'!$A$6:$A$196,0))</f>
        <v/>
      </c>
      <c r="G94" s="243">
        <f>INDEX('Entrada de Dados'!D$6:D$196,MATCH($C94,'Entrada de Dados'!$A$6:$A$196,0))</f>
        <v/>
      </c>
      <c r="H94" s="243">
        <f>INDEX('Entrada de Dados'!E$6:E$196,MATCH($C94,'Entrada de Dados'!$A$6:$A$196,0))</f>
        <v/>
      </c>
      <c r="I94" s="243">
        <f>INDEX('Entrada de Dados'!F$6:F$196,MATCH($C94,'Entrada de Dados'!$A$6:$A$196,0))</f>
        <v/>
      </c>
      <c r="J94" s="243">
        <f>INDEX('Entrada de Dados'!G$6:G$196,MATCH($C94,'Entrada de Dados'!$A$6:$A$196,0))</f>
        <v/>
      </c>
      <c r="K94" s="243">
        <f>INDEX('Entrada de Dados'!H$6:H$196,MATCH($C94,'Entrada de Dados'!$A$6:$A$196,0))</f>
        <v/>
      </c>
      <c r="L94" s="243">
        <f>INDEX('Entrada de Dados'!I$6:I$196,MATCH($C94,'Entrada de Dados'!$A$6:$A$196,0))</f>
        <v/>
      </c>
      <c r="M94" s="243">
        <f>INDEX('Entrada de Dados'!J$6:J$196,MATCH($C94,'Entrada de Dados'!$A$6:$A$196,0))</f>
        <v/>
      </c>
      <c r="N94" s="243">
        <f>INDEX('Entrada de Dados'!K$6:K$196,MATCH($C94,'Entrada de Dados'!$A$6:$A$196,0))</f>
        <v/>
      </c>
      <c r="O94" s="243">
        <f>INDEX('Entrada de Dados'!L$6:L$196,MATCH($C94,'Entrada de Dados'!$A$6:$A$196,0))</f>
        <v/>
      </c>
      <c r="P94" s="243">
        <f>INDEX('Entrada de Dados'!M$6:M$196,MATCH($C94,'Entrada de Dados'!$A$6:$A$196,0))</f>
        <v/>
      </c>
      <c r="Q94" s="243">
        <f>INDEX('Entrada de Dados'!N$6:N$196,MATCH($C94,'Entrada de Dados'!$A$6:$A$196,0))</f>
        <v/>
      </c>
      <c r="R94" s="243">
        <f>INDEX('Entrada de Dados'!O$6:O$196,MATCH($C94,'Entrada de Dados'!$A$6:$A$196,0))</f>
        <v/>
      </c>
      <c r="S94" s="243">
        <f>INDEX('Entrada de Dados'!P$6:P$196,MATCH($C94,'Entrada de Dados'!$A$6:$A$196,0))</f>
        <v/>
      </c>
      <c r="T94" s="243">
        <f>INDEX('Entrada de Dados'!Q$6:Q$196,MATCH($C94,'Entrada de Dados'!$A$6:$A$196,0))</f>
        <v/>
      </c>
      <c r="U94" s="243">
        <f>INDEX('Entrada de Dados'!R$6:R$196,MATCH($C94,'Entrada de Dados'!$A$6:$A$196,0))</f>
        <v/>
      </c>
      <c r="V94" s="243">
        <f>INDEX('Entrada de Dados'!S$6:S$196,MATCH($C94,'Entrada de Dados'!$A$6:$A$196,0))</f>
        <v/>
      </c>
      <c r="W94" s="243">
        <f>INDEX('Entrada de Dados'!T$6:T$196,MATCH($C94,'Entrada de Dados'!$A$6:$A$196,0))</f>
        <v/>
      </c>
      <c r="X94" s="243">
        <f>INDEX('Entrada de Dados'!U$6:U$196,MATCH($C94,'Entrada de Dados'!$A$6:$A$196,0))</f>
        <v/>
      </c>
    </row>
    <row r="95">
      <c r="A95" s="241" t="n">
        <v>2</v>
      </c>
      <c r="B95" s="241" t="inlineStr"/>
      <c r="C95" s="241" t="inlineStr">
        <is>
          <t>1004</t>
        </is>
      </c>
      <c r="D95" s="242">
        <f>HYPERLINK("#'E M LEONARDO BOFF'!A1","E M LEONARDO BOFF")</f>
        <v/>
      </c>
      <c r="E95" s="242" t="inlineStr">
        <is>
          <t>BINGEN</t>
        </is>
      </c>
      <c r="F95" s="243">
        <f>INDEX('Entrada de Dados'!C$6:C$196,MATCH($C95,'Entrada de Dados'!$A$6:$A$196,0))</f>
        <v/>
      </c>
      <c r="G95" s="243">
        <f>INDEX('Entrada de Dados'!D$6:D$196,MATCH($C95,'Entrada de Dados'!$A$6:$A$196,0))</f>
        <v/>
      </c>
      <c r="H95" s="243">
        <f>INDEX('Entrada de Dados'!E$6:E$196,MATCH($C95,'Entrada de Dados'!$A$6:$A$196,0))</f>
        <v/>
      </c>
      <c r="I95" s="243">
        <f>INDEX('Entrada de Dados'!F$6:F$196,MATCH($C95,'Entrada de Dados'!$A$6:$A$196,0))</f>
        <v/>
      </c>
      <c r="J95" s="243">
        <f>INDEX('Entrada de Dados'!G$6:G$196,MATCH($C95,'Entrada de Dados'!$A$6:$A$196,0))</f>
        <v/>
      </c>
      <c r="K95" s="243">
        <f>INDEX('Entrada de Dados'!H$6:H$196,MATCH($C95,'Entrada de Dados'!$A$6:$A$196,0))</f>
        <v/>
      </c>
      <c r="L95" s="243">
        <f>INDEX('Entrada de Dados'!I$6:I$196,MATCH($C95,'Entrada de Dados'!$A$6:$A$196,0))</f>
        <v/>
      </c>
      <c r="M95" s="243">
        <f>INDEX('Entrada de Dados'!J$6:J$196,MATCH($C95,'Entrada de Dados'!$A$6:$A$196,0))</f>
        <v/>
      </c>
      <c r="N95" s="243">
        <f>INDEX('Entrada de Dados'!K$6:K$196,MATCH($C95,'Entrada de Dados'!$A$6:$A$196,0))</f>
        <v/>
      </c>
      <c r="O95" s="243">
        <f>INDEX('Entrada de Dados'!L$6:L$196,MATCH($C95,'Entrada de Dados'!$A$6:$A$196,0))</f>
        <v/>
      </c>
      <c r="P95" s="243">
        <f>INDEX('Entrada de Dados'!M$6:M$196,MATCH($C95,'Entrada de Dados'!$A$6:$A$196,0))</f>
        <v/>
      </c>
      <c r="Q95" s="243">
        <f>INDEX('Entrada de Dados'!N$6:N$196,MATCH($C95,'Entrada de Dados'!$A$6:$A$196,0))</f>
        <v/>
      </c>
      <c r="R95" s="243">
        <f>INDEX('Entrada de Dados'!O$6:O$196,MATCH($C95,'Entrada de Dados'!$A$6:$A$196,0))</f>
        <v/>
      </c>
      <c r="S95" s="243">
        <f>INDEX('Entrada de Dados'!P$6:P$196,MATCH($C95,'Entrada de Dados'!$A$6:$A$196,0))</f>
        <v/>
      </c>
      <c r="T95" s="243">
        <f>INDEX('Entrada de Dados'!Q$6:Q$196,MATCH($C95,'Entrada de Dados'!$A$6:$A$196,0))</f>
        <v/>
      </c>
      <c r="U95" s="243">
        <f>INDEX('Entrada de Dados'!R$6:R$196,MATCH($C95,'Entrada de Dados'!$A$6:$A$196,0))</f>
        <v/>
      </c>
      <c r="V95" s="243">
        <f>INDEX('Entrada de Dados'!S$6:S$196,MATCH($C95,'Entrada de Dados'!$A$6:$A$196,0))</f>
        <v/>
      </c>
      <c r="W95" s="243">
        <f>INDEX('Entrada de Dados'!T$6:T$196,MATCH($C95,'Entrada de Dados'!$A$6:$A$196,0))</f>
        <v/>
      </c>
      <c r="X95" s="243">
        <f>INDEX('Entrada de Dados'!U$6:U$196,MATCH($C95,'Entrada de Dados'!$A$6:$A$196,0))</f>
        <v/>
      </c>
    </row>
    <row r="96">
      <c r="A96" s="241" t="n">
        <v>3</v>
      </c>
      <c r="B96" s="241" t="inlineStr"/>
      <c r="C96" s="241" t="inlineStr">
        <is>
          <t>1101</t>
        </is>
      </c>
      <c r="D96" s="242">
        <f>HYPERLINK("#'E M JOHANN NOEL'!A1","E M JOHANN NOEL")</f>
        <v/>
      </c>
      <c r="E96" s="242" t="inlineStr">
        <is>
          <t>BINGEN</t>
        </is>
      </c>
      <c r="F96" s="243">
        <f>INDEX('Entrada de Dados'!C$6:C$196,MATCH($C96,'Entrada de Dados'!$A$6:$A$196,0))</f>
        <v/>
      </c>
      <c r="G96" s="243">
        <f>INDEX('Entrada de Dados'!D$6:D$196,MATCH($C96,'Entrada de Dados'!$A$6:$A$196,0))</f>
        <v/>
      </c>
      <c r="H96" s="243">
        <f>INDEX('Entrada de Dados'!E$6:E$196,MATCH($C96,'Entrada de Dados'!$A$6:$A$196,0))</f>
        <v/>
      </c>
      <c r="I96" s="243">
        <f>INDEX('Entrada de Dados'!F$6:F$196,MATCH($C96,'Entrada de Dados'!$A$6:$A$196,0))</f>
        <v/>
      </c>
      <c r="J96" s="243">
        <f>INDEX('Entrada de Dados'!G$6:G$196,MATCH($C96,'Entrada de Dados'!$A$6:$A$196,0))</f>
        <v/>
      </c>
      <c r="K96" s="243">
        <f>INDEX('Entrada de Dados'!H$6:H$196,MATCH($C96,'Entrada de Dados'!$A$6:$A$196,0))</f>
        <v/>
      </c>
      <c r="L96" s="243">
        <f>INDEX('Entrada de Dados'!I$6:I$196,MATCH($C96,'Entrada de Dados'!$A$6:$A$196,0))</f>
        <v/>
      </c>
      <c r="M96" s="243">
        <f>INDEX('Entrada de Dados'!J$6:J$196,MATCH($C96,'Entrada de Dados'!$A$6:$A$196,0))</f>
        <v/>
      </c>
      <c r="N96" s="243">
        <f>INDEX('Entrada de Dados'!K$6:K$196,MATCH($C96,'Entrada de Dados'!$A$6:$A$196,0))</f>
        <v/>
      </c>
      <c r="O96" s="243">
        <f>INDEX('Entrada de Dados'!L$6:L$196,MATCH($C96,'Entrada de Dados'!$A$6:$A$196,0))</f>
        <v/>
      </c>
      <c r="P96" s="243">
        <f>INDEX('Entrada de Dados'!M$6:M$196,MATCH($C96,'Entrada de Dados'!$A$6:$A$196,0))</f>
        <v/>
      </c>
      <c r="Q96" s="243">
        <f>INDEX('Entrada de Dados'!N$6:N$196,MATCH($C96,'Entrada de Dados'!$A$6:$A$196,0))</f>
        <v/>
      </c>
      <c r="R96" s="243">
        <f>INDEX('Entrada de Dados'!O$6:O$196,MATCH($C96,'Entrada de Dados'!$A$6:$A$196,0))</f>
        <v/>
      </c>
      <c r="S96" s="243">
        <f>INDEX('Entrada de Dados'!P$6:P$196,MATCH($C96,'Entrada de Dados'!$A$6:$A$196,0))</f>
        <v/>
      </c>
      <c r="T96" s="243">
        <f>INDEX('Entrada de Dados'!Q$6:Q$196,MATCH($C96,'Entrada de Dados'!$A$6:$A$196,0))</f>
        <v/>
      </c>
      <c r="U96" s="243">
        <f>INDEX('Entrada de Dados'!R$6:R$196,MATCH($C96,'Entrada de Dados'!$A$6:$A$196,0))</f>
        <v/>
      </c>
      <c r="V96" s="243">
        <f>INDEX('Entrada de Dados'!S$6:S$196,MATCH($C96,'Entrada de Dados'!$A$6:$A$196,0))</f>
        <v/>
      </c>
      <c r="W96" s="243">
        <f>INDEX('Entrada de Dados'!T$6:T$196,MATCH($C96,'Entrada de Dados'!$A$6:$A$196,0))</f>
        <v/>
      </c>
      <c r="X96" s="243">
        <f>INDEX('Entrada de Dados'!U$6:U$196,MATCH($C96,'Entrada de Dados'!$A$6:$A$196,0))</f>
        <v/>
      </c>
    </row>
    <row r="97">
      <c r="A97" s="241" t="n">
        <v>4</v>
      </c>
      <c r="B97" s="241" t="inlineStr"/>
      <c r="C97" s="241" t="inlineStr">
        <is>
          <t>1010</t>
        </is>
      </c>
      <c r="D97" s="242">
        <f>HYPERLINK("#'ESCOLA MUNICIPAL GENERAL HEITOR'!A1","ESCOLA MUNICIPAL GENERAL HEITOR BORGES")</f>
        <v/>
      </c>
      <c r="E97" s="242" t="inlineStr">
        <is>
          <t>BINGEN</t>
        </is>
      </c>
      <c r="F97" s="243">
        <f>INDEX('Entrada de Dados'!C$6:C$196,MATCH($C97,'Entrada de Dados'!$A$6:$A$196,0))</f>
        <v/>
      </c>
      <c r="G97" s="243">
        <f>INDEX('Entrada de Dados'!D$6:D$196,MATCH($C97,'Entrada de Dados'!$A$6:$A$196,0))</f>
        <v/>
      </c>
      <c r="H97" s="243">
        <f>INDEX('Entrada de Dados'!E$6:E$196,MATCH($C97,'Entrada de Dados'!$A$6:$A$196,0))</f>
        <v/>
      </c>
      <c r="I97" s="243">
        <f>INDEX('Entrada de Dados'!F$6:F$196,MATCH($C97,'Entrada de Dados'!$A$6:$A$196,0))</f>
        <v/>
      </c>
      <c r="J97" s="243">
        <f>INDEX('Entrada de Dados'!G$6:G$196,MATCH($C97,'Entrada de Dados'!$A$6:$A$196,0))</f>
        <v/>
      </c>
      <c r="K97" s="243">
        <f>INDEX('Entrada de Dados'!H$6:H$196,MATCH($C97,'Entrada de Dados'!$A$6:$A$196,0))</f>
        <v/>
      </c>
      <c r="L97" s="243">
        <f>INDEX('Entrada de Dados'!I$6:I$196,MATCH($C97,'Entrada de Dados'!$A$6:$A$196,0))</f>
        <v/>
      </c>
      <c r="M97" s="243">
        <f>INDEX('Entrada de Dados'!J$6:J$196,MATCH($C97,'Entrada de Dados'!$A$6:$A$196,0))</f>
        <v/>
      </c>
      <c r="N97" s="243">
        <f>INDEX('Entrada de Dados'!K$6:K$196,MATCH($C97,'Entrada de Dados'!$A$6:$A$196,0))</f>
        <v/>
      </c>
      <c r="O97" s="243">
        <f>INDEX('Entrada de Dados'!L$6:L$196,MATCH($C97,'Entrada de Dados'!$A$6:$A$196,0))</f>
        <v/>
      </c>
      <c r="P97" s="243">
        <f>INDEX('Entrada de Dados'!M$6:M$196,MATCH($C97,'Entrada de Dados'!$A$6:$A$196,0))</f>
        <v/>
      </c>
      <c r="Q97" s="243">
        <f>INDEX('Entrada de Dados'!N$6:N$196,MATCH($C97,'Entrada de Dados'!$A$6:$A$196,0))</f>
        <v/>
      </c>
      <c r="R97" s="243">
        <f>INDEX('Entrada de Dados'!O$6:O$196,MATCH($C97,'Entrada de Dados'!$A$6:$A$196,0))</f>
        <v/>
      </c>
      <c r="S97" s="243">
        <f>INDEX('Entrada de Dados'!P$6:P$196,MATCH($C97,'Entrada de Dados'!$A$6:$A$196,0))</f>
        <v/>
      </c>
      <c r="T97" s="243">
        <f>INDEX('Entrada de Dados'!Q$6:Q$196,MATCH($C97,'Entrada de Dados'!$A$6:$A$196,0))</f>
        <v/>
      </c>
      <c r="U97" s="243">
        <f>INDEX('Entrada de Dados'!R$6:R$196,MATCH($C97,'Entrada de Dados'!$A$6:$A$196,0))</f>
        <v/>
      </c>
      <c r="V97" s="243">
        <f>INDEX('Entrada de Dados'!S$6:S$196,MATCH($C97,'Entrada de Dados'!$A$6:$A$196,0))</f>
        <v/>
      </c>
      <c r="W97" s="243">
        <f>INDEX('Entrada de Dados'!T$6:T$196,MATCH($C97,'Entrada de Dados'!$A$6:$A$196,0))</f>
        <v/>
      </c>
      <c r="X97" s="243">
        <f>INDEX('Entrada de Dados'!U$6:U$196,MATCH($C97,'Entrada de Dados'!$A$6:$A$196,0))</f>
        <v/>
      </c>
    </row>
    <row r="98">
      <c r="A98" s="241" t="n">
        <v>5</v>
      </c>
      <c r="B98" s="241" t="inlineStr"/>
      <c r="C98" s="241" t="inlineStr">
        <is>
          <t>2024</t>
        </is>
      </c>
      <c r="D98" s="242">
        <f>HYPERLINK("#'ESCOLA SANTA RITA DE CASSIA'!A1","ESCOLA SANTA RITA DE CASSIA")</f>
        <v/>
      </c>
      <c r="E98" s="242" t="inlineStr">
        <is>
          <t>BINGEN</t>
        </is>
      </c>
      <c r="F98" s="243">
        <f>INDEX('Entrada de Dados'!C$6:C$196,MATCH($C98,'Entrada de Dados'!$A$6:$A$196,0))</f>
        <v/>
      </c>
      <c r="G98" s="243">
        <f>INDEX('Entrada de Dados'!D$6:D$196,MATCH($C98,'Entrada de Dados'!$A$6:$A$196,0))</f>
        <v/>
      </c>
      <c r="H98" s="243">
        <f>INDEX('Entrada de Dados'!E$6:E$196,MATCH($C98,'Entrada de Dados'!$A$6:$A$196,0))</f>
        <v/>
      </c>
      <c r="I98" s="243">
        <f>INDEX('Entrada de Dados'!F$6:F$196,MATCH($C98,'Entrada de Dados'!$A$6:$A$196,0))</f>
        <v/>
      </c>
      <c r="J98" s="243">
        <f>INDEX('Entrada de Dados'!G$6:G$196,MATCH($C98,'Entrada de Dados'!$A$6:$A$196,0))</f>
        <v/>
      </c>
      <c r="K98" s="243">
        <f>INDEX('Entrada de Dados'!H$6:H$196,MATCH($C98,'Entrada de Dados'!$A$6:$A$196,0))</f>
        <v/>
      </c>
      <c r="L98" s="243">
        <f>INDEX('Entrada de Dados'!I$6:I$196,MATCH($C98,'Entrada de Dados'!$A$6:$A$196,0))</f>
        <v/>
      </c>
      <c r="M98" s="243">
        <f>INDEX('Entrada de Dados'!J$6:J$196,MATCH($C98,'Entrada de Dados'!$A$6:$A$196,0))</f>
        <v/>
      </c>
      <c r="N98" s="243">
        <f>INDEX('Entrada de Dados'!K$6:K$196,MATCH($C98,'Entrada de Dados'!$A$6:$A$196,0))</f>
        <v/>
      </c>
      <c r="O98" s="243">
        <f>INDEX('Entrada de Dados'!L$6:L$196,MATCH($C98,'Entrada de Dados'!$A$6:$A$196,0))</f>
        <v/>
      </c>
      <c r="P98" s="243">
        <f>INDEX('Entrada de Dados'!M$6:M$196,MATCH($C98,'Entrada de Dados'!$A$6:$A$196,0))</f>
        <v/>
      </c>
      <c r="Q98" s="243">
        <f>INDEX('Entrada de Dados'!N$6:N$196,MATCH($C98,'Entrada de Dados'!$A$6:$A$196,0))</f>
        <v/>
      </c>
      <c r="R98" s="243">
        <f>INDEX('Entrada de Dados'!O$6:O$196,MATCH($C98,'Entrada de Dados'!$A$6:$A$196,0))</f>
        <v/>
      </c>
      <c r="S98" s="243">
        <f>INDEX('Entrada de Dados'!P$6:P$196,MATCH($C98,'Entrada de Dados'!$A$6:$A$196,0))</f>
        <v/>
      </c>
      <c r="T98" s="243">
        <f>INDEX('Entrada de Dados'!Q$6:Q$196,MATCH($C98,'Entrada de Dados'!$A$6:$A$196,0))</f>
        <v/>
      </c>
      <c r="U98" s="243">
        <f>INDEX('Entrada de Dados'!R$6:R$196,MATCH($C98,'Entrada de Dados'!$A$6:$A$196,0))</f>
        <v/>
      </c>
      <c r="V98" s="243">
        <f>INDEX('Entrada de Dados'!S$6:S$196,MATCH($C98,'Entrada de Dados'!$A$6:$A$196,0))</f>
        <v/>
      </c>
      <c r="W98" s="243">
        <f>INDEX('Entrada de Dados'!T$6:T$196,MATCH($C98,'Entrada de Dados'!$A$6:$A$196,0))</f>
        <v/>
      </c>
      <c r="X98" s="243">
        <f>INDEX('Entrada de Dados'!U$6:U$196,MATCH($C98,'Entrada de Dados'!$A$6:$A$196,0))</f>
        <v/>
      </c>
    </row>
    <row r="99">
      <c r="A99" s="241" t="n">
        <v>6</v>
      </c>
      <c r="B99" s="241" t="inlineStr"/>
      <c r="C99" s="241" t="inlineStr">
        <is>
          <t>2023</t>
        </is>
      </c>
      <c r="D99" s="242">
        <f>HYPERLINK("#'ESCOLA SANTA MARIA GORETTI'!A1","ESCOLA SANTA MARIA GORETTI")</f>
        <v/>
      </c>
      <c r="E99" s="242" t="inlineStr">
        <is>
          <t>BINGEN</t>
        </is>
      </c>
      <c r="F99" s="243">
        <f>INDEX('Entrada de Dados'!C$6:C$196,MATCH($C99,'Entrada de Dados'!$A$6:$A$196,0))</f>
        <v/>
      </c>
      <c r="G99" s="243">
        <f>INDEX('Entrada de Dados'!D$6:D$196,MATCH($C99,'Entrada de Dados'!$A$6:$A$196,0))</f>
        <v/>
      </c>
      <c r="H99" s="243">
        <f>INDEX('Entrada de Dados'!E$6:E$196,MATCH($C99,'Entrada de Dados'!$A$6:$A$196,0))</f>
        <v/>
      </c>
      <c r="I99" s="243">
        <f>INDEX('Entrada de Dados'!F$6:F$196,MATCH($C99,'Entrada de Dados'!$A$6:$A$196,0))</f>
        <v/>
      </c>
      <c r="J99" s="243">
        <f>INDEX('Entrada de Dados'!G$6:G$196,MATCH($C99,'Entrada de Dados'!$A$6:$A$196,0))</f>
        <v/>
      </c>
      <c r="K99" s="243">
        <f>INDEX('Entrada de Dados'!H$6:H$196,MATCH($C99,'Entrada de Dados'!$A$6:$A$196,0))</f>
        <v/>
      </c>
      <c r="L99" s="243">
        <f>INDEX('Entrada de Dados'!I$6:I$196,MATCH($C99,'Entrada de Dados'!$A$6:$A$196,0))</f>
        <v/>
      </c>
      <c r="M99" s="243">
        <f>INDEX('Entrada de Dados'!J$6:J$196,MATCH($C99,'Entrada de Dados'!$A$6:$A$196,0))</f>
        <v/>
      </c>
      <c r="N99" s="243">
        <f>INDEX('Entrada de Dados'!K$6:K$196,MATCH($C99,'Entrada de Dados'!$A$6:$A$196,0))</f>
        <v/>
      </c>
      <c r="O99" s="243">
        <f>INDEX('Entrada de Dados'!L$6:L$196,MATCH($C99,'Entrada de Dados'!$A$6:$A$196,0))</f>
        <v/>
      </c>
      <c r="P99" s="243">
        <f>INDEX('Entrada de Dados'!M$6:M$196,MATCH($C99,'Entrada de Dados'!$A$6:$A$196,0))</f>
        <v/>
      </c>
      <c r="Q99" s="243">
        <f>INDEX('Entrada de Dados'!N$6:N$196,MATCH($C99,'Entrada de Dados'!$A$6:$A$196,0))</f>
        <v/>
      </c>
      <c r="R99" s="243">
        <f>INDEX('Entrada de Dados'!O$6:O$196,MATCH($C99,'Entrada de Dados'!$A$6:$A$196,0))</f>
        <v/>
      </c>
      <c r="S99" s="243">
        <f>INDEX('Entrada de Dados'!P$6:P$196,MATCH($C99,'Entrada de Dados'!$A$6:$A$196,0))</f>
        <v/>
      </c>
      <c r="T99" s="243">
        <f>INDEX('Entrada de Dados'!Q$6:Q$196,MATCH($C99,'Entrada de Dados'!$A$6:$A$196,0))</f>
        <v/>
      </c>
      <c r="U99" s="243">
        <f>INDEX('Entrada de Dados'!R$6:R$196,MATCH($C99,'Entrada de Dados'!$A$6:$A$196,0))</f>
        <v/>
      </c>
      <c r="V99" s="243">
        <f>INDEX('Entrada de Dados'!S$6:S$196,MATCH($C99,'Entrada de Dados'!$A$6:$A$196,0))</f>
        <v/>
      </c>
      <c r="W99" s="243">
        <f>INDEX('Entrada de Dados'!T$6:T$196,MATCH($C99,'Entrada de Dados'!$A$6:$A$196,0))</f>
        <v/>
      </c>
      <c r="X99" s="243">
        <f>INDEX('Entrada de Dados'!U$6:U$196,MATCH($C99,'Entrada de Dados'!$A$6:$A$196,0))</f>
        <v/>
      </c>
    </row>
    <row r="100">
      <c r="A100" s="241" t="n">
        <v>7</v>
      </c>
      <c r="B100" s="241" t="inlineStr"/>
      <c r="C100" s="241" t="inlineStr">
        <is>
          <t>2028</t>
        </is>
      </c>
      <c r="D100" s="242">
        <f>HYPERLINK("#'ESCOLA SÃO JOÃO BATISTA'!A1","ESCOLA SÃO JOÃO BATISTA")</f>
        <v/>
      </c>
      <c r="E100" s="242" t="inlineStr">
        <is>
          <t>BINGEN</t>
        </is>
      </c>
      <c r="F100" s="243">
        <f>INDEX('Entrada de Dados'!C$6:C$196,MATCH($C100,'Entrada de Dados'!$A$6:$A$196,0))</f>
        <v/>
      </c>
      <c r="G100" s="243">
        <f>INDEX('Entrada de Dados'!D$6:D$196,MATCH($C100,'Entrada de Dados'!$A$6:$A$196,0))</f>
        <v/>
      </c>
      <c r="H100" s="243">
        <f>INDEX('Entrada de Dados'!E$6:E$196,MATCH($C100,'Entrada de Dados'!$A$6:$A$196,0))</f>
        <v/>
      </c>
      <c r="I100" s="243">
        <f>INDEX('Entrada de Dados'!F$6:F$196,MATCH($C100,'Entrada de Dados'!$A$6:$A$196,0))</f>
        <v/>
      </c>
      <c r="J100" s="243">
        <f>INDEX('Entrada de Dados'!G$6:G$196,MATCH($C100,'Entrada de Dados'!$A$6:$A$196,0))</f>
        <v/>
      </c>
      <c r="K100" s="243">
        <f>INDEX('Entrada de Dados'!H$6:H$196,MATCH($C100,'Entrada de Dados'!$A$6:$A$196,0))</f>
        <v/>
      </c>
      <c r="L100" s="243">
        <f>INDEX('Entrada de Dados'!I$6:I$196,MATCH($C100,'Entrada de Dados'!$A$6:$A$196,0))</f>
        <v/>
      </c>
      <c r="M100" s="243">
        <f>INDEX('Entrada de Dados'!J$6:J$196,MATCH($C100,'Entrada de Dados'!$A$6:$A$196,0))</f>
        <v/>
      </c>
      <c r="N100" s="243">
        <f>INDEX('Entrada de Dados'!K$6:K$196,MATCH($C100,'Entrada de Dados'!$A$6:$A$196,0))</f>
        <v/>
      </c>
      <c r="O100" s="243">
        <f>INDEX('Entrada de Dados'!L$6:L$196,MATCH($C100,'Entrada de Dados'!$A$6:$A$196,0))</f>
        <v/>
      </c>
      <c r="P100" s="243">
        <f>INDEX('Entrada de Dados'!M$6:M$196,MATCH($C100,'Entrada de Dados'!$A$6:$A$196,0))</f>
        <v/>
      </c>
      <c r="Q100" s="243">
        <f>INDEX('Entrada de Dados'!N$6:N$196,MATCH($C100,'Entrada de Dados'!$A$6:$A$196,0))</f>
        <v/>
      </c>
      <c r="R100" s="243">
        <f>INDEX('Entrada de Dados'!O$6:O$196,MATCH($C100,'Entrada de Dados'!$A$6:$A$196,0))</f>
        <v/>
      </c>
      <c r="S100" s="243">
        <f>INDEX('Entrada de Dados'!P$6:P$196,MATCH($C100,'Entrada de Dados'!$A$6:$A$196,0))</f>
        <v/>
      </c>
      <c r="T100" s="243">
        <f>INDEX('Entrada de Dados'!Q$6:Q$196,MATCH($C100,'Entrada de Dados'!$A$6:$A$196,0))</f>
        <v/>
      </c>
      <c r="U100" s="243">
        <f>INDEX('Entrada de Dados'!R$6:R$196,MATCH($C100,'Entrada de Dados'!$A$6:$A$196,0))</f>
        <v/>
      </c>
      <c r="V100" s="243">
        <f>INDEX('Entrada de Dados'!S$6:S$196,MATCH($C100,'Entrada de Dados'!$A$6:$A$196,0))</f>
        <v/>
      </c>
      <c r="W100" s="243">
        <f>INDEX('Entrada de Dados'!T$6:T$196,MATCH($C100,'Entrada de Dados'!$A$6:$A$196,0))</f>
        <v/>
      </c>
      <c r="X100" s="243">
        <f>INDEX('Entrada de Dados'!U$6:U$196,MATCH($C100,'Entrada de Dados'!$A$6:$A$196,0))</f>
        <v/>
      </c>
    </row>
    <row r="101">
      <c r="A101" s="241" t="n">
        <v>8</v>
      </c>
      <c r="B101" s="241" t="inlineStr"/>
      <c r="C101" s="241" t="inlineStr">
        <is>
          <t>3007</t>
        </is>
      </c>
      <c r="D101" s="242">
        <f>HYPERLINK("#'CEI A SEMENTEIRA'!A1","CEI A SEMENTEIRA")</f>
        <v/>
      </c>
      <c r="E101" s="242" t="inlineStr">
        <is>
          <t>BINGEN</t>
        </is>
      </c>
      <c r="F101" s="243">
        <f>INDEX('Entrada de Dados'!C$6:C$196,MATCH($C101,'Entrada de Dados'!$A$6:$A$196,0))</f>
        <v/>
      </c>
      <c r="G101" s="243">
        <f>INDEX('Entrada de Dados'!D$6:D$196,MATCH($C101,'Entrada de Dados'!$A$6:$A$196,0))</f>
        <v/>
      </c>
      <c r="H101" s="243">
        <f>INDEX('Entrada de Dados'!E$6:E$196,MATCH($C101,'Entrada de Dados'!$A$6:$A$196,0))</f>
        <v/>
      </c>
      <c r="I101" s="243">
        <f>INDEX('Entrada de Dados'!F$6:F$196,MATCH($C101,'Entrada de Dados'!$A$6:$A$196,0))</f>
        <v/>
      </c>
      <c r="J101" s="243">
        <f>INDEX('Entrada de Dados'!G$6:G$196,MATCH($C101,'Entrada de Dados'!$A$6:$A$196,0))</f>
        <v/>
      </c>
      <c r="K101" s="243">
        <f>INDEX('Entrada de Dados'!H$6:H$196,MATCH($C101,'Entrada de Dados'!$A$6:$A$196,0))</f>
        <v/>
      </c>
      <c r="L101" s="243">
        <f>INDEX('Entrada de Dados'!I$6:I$196,MATCH($C101,'Entrada de Dados'!$A$6:$A$196,0))</f>
        <v/>
      </c>
      <c r="M101" s="243">
        <f>INDEX('Entrada de Dados'!J$6:J$196,MATCH($C101,'Entrada de Dados'!$A$6:$A$196,0))</f>
        <v/>
      </c>
      <c r="N101" s="243">
        <f>INDEX('Entrada de Dados'!K$6:K$196,MATCH($C101,'Entrada de Dados'!$A$6:$A$196,0))</f>
        <v/>
      </c>
      <c r="O101" s="243">
        <f>INDEX('Entrada de Dados'!L$6:L$196,MATCH($C101,'Entrada de Dados'!$A$6:$A$196,0))</f>
        <v/>
      </c>
      <c r="P101" s="243">
        <f>INDEX('Entrada de Dados'!M$6:M$196,MATCH($C101,'Entrada de Dados'!$A$6:$A$196,0))</f>
        <v/>
      </c>
      <c r="Q101" s="243">
        <f>INDEX('Entrada de Dados'!N$6:N$196,MATCH($C101,'Entrada de Dados'!$A$6:$A$196,0))</f>
        <v/>
      </c>
      <c r="R101" s="243">
        <f>INDEX('Entrada de Dados'!O$6:O$196,MATCH($C101,'Entrada de Dados'!$A$6:$A$196,0))</f>
        <v/>
      </c>
      <c r="S101" s="243">
        <f>INDEX('Entrada de Dados'!P$6:P$196,MATCH($C101,'Entrada de Dados'!$A$6:$A$196,0))</f>
        <v/>
      </c>
      <c r="T101" s="243">
        <f>INDEX('Entrada de Dados'!Q$6:Q$196,MATCH($C101,'Entrada de Dados'!$A$6:$A$196,0))</f>
        <v/>
      </c>
      <c r="U101" s="243">
        <f>INDEX('Entrada de Dados'!R$6:R$196,MATCH($C101,'Entrada de Dados'!$A$6:$A$196,0))</f>
        <v/>
      </c>
      <c r="V101" s="243">
        <f>INDEX('Entrada de Dados'!S$6:S$196,MATCH($C101,'Entrada de Dados'!$A$6:$A$196,0))</f>
        <v/>
      </c>
      <c r="W101" s="243">
        <f>INDEX('Entrada de Dados'!T$6:T$196,MATCH($C101,'Entrada de Dados'!$A$6:$A$196,0))</f>
        <v/>
      </c>
      <c r="X101" s="243">
        <f>INDEX('Entrada de Dados'!U$6:U$196,MATCH($C101,'Entrada de Dados'!$A$6:$A$196,0))</f>
        <v/>
      </c>
    </row>
    <row r="102">
      <c r="A102" s="241" t="n">
        <v>9</v>
      </c>
      <c r="B102" s="241" t="inlineStr"/>
      <c r="C102" s="241" t="inlineStr">
        <is>
          <t>3020</t>
        </is>
      </c>
      <c r="D102" s="242">
        <f>HYPERLINK("#'CEI VILA SAO JOSE'!A1","CEI VILA SAO JOSE")</f>
        <v/>
      </c>
      <c r="E102" s="242" t="inlineStr">
        <is>
          <t>BINGEN</t>
        </is>
      </c>
      <c r="F102" s="243">
        <f>INDEX('Entrada de Dados'!C$6:C$196,MATCH($C102,'Entrada de Dados'!$A$6:$A$196,0))</f>
        <v/>
      </c>
      <c r="G102" s="243">
        <f>INDEX('Entrada de Dados'!D$6:D$196,MATCH($C102,'Entrada de Dados'!$A$6:$A$196,0))</f>
        <v/>
      </c>
      <c r="H102" s="243">
        <f>INDEX('Entrada de Dados'!E$6:E$196,MATCH($C102,'Entrada de Dados'!$A$6:$A$196,0))</f>
        <v/>
      </c>
      <c r="I102" s="243">
        <f>INDEX('Entrada de Dados'!F$6:F$196,MATCH($C102,'Entrada de Dados'!$A$6:$A$196,0))</f>
        <v/>
      </c>
      <c r="J102" s="243">
        <f>INDEX('Entrada de Dados'!G$6:G$196,MATCH($C102,'Entrada de Dados'!$A$6:$A$196,0))</f>
        <v/>
      </c>
      <c r="K102" s="243">
        <f>INDEX('Entrada de Dados'!H$6:H$196,MATCH($C102,'Entrada de Dados'!$A$6:$A$196,0))</f>
        <v/>
      </c>
      <c r="L102" s="243">
        <f>INDEX('Entrada de Dados'!I$6:I$196,MATCH($C102,'Entrada de Dados'!$A$6:$A$196,0))</f>
        <v/>
      </c>
      <c r="M102" s="243">
        <f>INDEX('Entrada de Dados'!J$6:J$196,MATCH($C102,'Entrada de Dados'!$A$6:$A$196,0))</f>
        <v/>
      </c>
      <c r="N102" s="243">
        <f>INDEX('Entrada de Dados'!K$6:K$196,MATCH($C102,'Entrada de Dados'!$A$6:$A$196,0))</f>
        <v/>
      </c>
      <c r="O102" s="243">
        <f>INDEX('Entrada de Dados'!L$6:L$196,MATCH($C102,'Entrada de Dados'!$A$6:$A$196,0))</f>
        <v/>
      </c>
      <c r="P102" s="243">
        <f>INDEX('Entrada de Dados'!M$6:M$196,MATCH($C102,'Entrada de Dados'!$A$6:$A$196,0))</f>
        <v/>
      </c>
      <c r="Q102" s="243">
        <f>INDEX('Entrada de Dados'!N$6:N$196,MATCH($C102,'Entrada de Dados'!$A$6:$A$196,0))</f>
        <v/>
      </c>
      <c r="R102" s="243">
        <f>INDEX('Entrada de Dados'!O$6:O$196,MATCH($C102,'Entrada de Dados'!$A$6:$A$196,0))</f>
        <v/>
      </c>
      <c r="S102" s="243">
        <f>INDEX('Entrada de Dados'!P$6:P$196,MATCH($C102,'Entrada de Dados'!$A$6:$A$196,0))</f>
        <v/>
      </c>
      <c r="T102" s="243">
        <f>INDEX('Entrada de Dados'!Q$6:Q$196,MATCH($C102,'Entrada de Dados'!$A$6:$A$196,0))</f>
        <v/>
      </c>
      <c r="U102" s="243">
        <f>INDEX('Entrada de Dados'!R$6:R$196,MATCH($C102,'Entrada de Dados'!$A$6:$A$196,0))</f>
        <v/>
      </c>
      <c r="V102" s="243">
        <f>INDEX('Entrada de Dados'!S$6:S$196,MATCH($C102,'Entrada de Dados'!$A$6:$A$196,0))</f>
        <v/>
      </c>
      <c r="W102" s="243">
        <f>INDEX('Entrada de Dados'!T$6:T$196,MATCH($C102,'Entrada de Dados'!$A$6:$A$196,0))</f>
        <v/>
      </c>
      <c r="X102" s="243">
        <f>INDEX('Entrada de Dados'!U$6:U$196,MATCH($C102,'Entrada de Dados'!$A$6:$A$196,0))</f>
        <v/>
      </c>
    </row>
    <row r="103" ht="22" customHeight="1" s="107">
      <c r="A103" s="248" t="inlineStr">
        <is>
          <t>Peso previsto:</t>
        </is>
      </c>
      <c r="C103" s="249">
        <f>SUM(F94:F102)+SUM(G94:G102)+SUM(H94:H102)+SUM(I94:I102)+SUM(J94:J102)+SUM(K94:K102)+SUM(L94:L102)+SUM(M94:M102)+SUM(N94:N102)+SUM(O94:O102)+SUM(P94:P102)+SUM(Q94:Q102)+SUM(R94:R102)+SUM(S94:S102)+SUM(T94:T102)+SUM(U94:U102)+SUM(W94:W102)+SUM(X94:X102)</f>
        <v/>
      </c>
      <c r="D103" s="248" t="inlineStr">
        <is>
          <t>Peso embarcado (kg):</t>
        </is>
      </c>
      <c r="F103" s="250" t="n"/>
      <c r="G103" s="248" t="inlineStr">
        <is>
          <t>Veículo:</t>
        </is>
      </c>
      <c r="I103" s="250" t="n"/>
      <c r="J103" s="251" t="n"/>
      <c r="K103" s="248" t="inlineStr">
        <is>
          <t>Motorista:</t>
        </is>
      </c>
      <c r="M103" s="250" t="n"/>
      <c r="N103" s="252" t="n"/>
      <c r="O103" s="252" t="n"/>
      <c r="P103" s="252" t="n"/>
      <c r="Q103" s="252" t="n"/>
      <c r="R103" s="252" t="n"/>
      <c r="S103" s="252" t="n"/>
      <c r="T103" s="252" t="n"/>
      <c r="U103" s="252" t="n"/>
      <c r="V103" s="252" t="n"/>
      <c r="W103" s="252" t="n"/>
      <c r="X103" s="251" t="n"/>
    </row>
    <row r="105" ht="20" customHeight="1" s="107">
      <c r="A105" s="236" t="inlineStr">
        <is>
          <t>ROTA S7 — MOSELA - PEDRAS BRANCAS · KOMBI · 10 escolas · 9 paradas físicas</t>
        </is>
      </c>
    </row>
    <row r="106" ht="26" customHeight="1" s="107">
      <c r="A106" s="238" t="inlineStr">
        <is>
          <t>Sequência-base: Galpão Itaipava &gt; Mosela &gt; Pedras Brancas &gt; Galpão   Atenção: Subidas, vias locais e pouco espaço de parada. Rua Mosela, 1445 é uma única parada para duas escolas.</t>
        </is>
      </c>
    </row>
    <row r="107" ht="30" customHeight="1" s="107">
      <c r="A107" s="240" t="inlineStr">
        <is>
          <t>PAR.</t>
        </is>
      </c>
      <c r="B107" s="240" t="inlineStr">
        <is>
          <t>SUB</t>
        </is>
      </c>
      <c r="C107" s="240" t="inlineStr">
        <is>
          <t>CÓDIGO</t>
        </is>
      </c>
      <c r="D107" s="240" t="inlineStr">
        <is>
          <t>ESCOLA</t>
        </is>
      </c>
      <c r="E107" s="240" t="inlineStr">
        <is>
          <t>BAIRRO/CORREDOR</t>
        </is>
      </c>
      <c r="F107" s="240" t="inlineStr">
        <is>
          <t>Abacate</t>
        </is>
      </c>
      <c r="G107" s="240" t="inlineStr">
        <is>
          <t>Abobrinha</t>
        </is>
      </c>
      <c r="H107" s="240" t="inlineStr">
        <is>
          <t>Agrião</t>
        </is>
      </c>
      <c r="I107" s="240" t="inlineStr">
        <is>
          <t>Alface lisa</t>
        </is>
      </c>
      <c r="J107" s="240" t="inlineStr">
        <is>
          <t>Banana prata</t>
        </is>
      </c>
      <c r="K107" s="240" t="inlineStr">
        <is>
          <t>Batata inglesa</t>
        </is>
      </c>
      <c r="L107" s="240" t="inlineStr">
        <is>
          <t>Beterraba</t>
        </is>
      </c>
      <c r="M107" s="240" t="inlineStr">
        <is>
          <t>Brócolis</t>
        </is>
      </c>
      <c r="N107" s="240" t="inlineStr">
        <is>
          <t>Cenoura</t>
        </is>
      </c>
      <c r="O107" s="240" t="inlineStr">
        <is>
          <t>Cheiro verde</t>
        </is>
      </c>
      <c r="P107" s="240" t="inlineStr">
        <is>
          <t>Chuchu</t>
        </is>
      </c>
      <c r="Q107" s="240" t="inlineStr">
        <is>
          <t>Couve manteiga</t>
        </is>
      </c>
      <c r="R107" s="240" t="inlineStr">
        <is>
          <t>Couve-flor</t>
        </is>
      </c>
      <c r="S107" s="240" t="inlineStr">
        <is>
          <t>Espinafre</t>
        </is>
      </c>
      <c r="T107" s="240" t="inlineStr">
        <is>
          <t>Maçã gala</t>
        </is>
      </c>
      <c r="U107" s="240" t="inlineStr">
        <is>
          <t>Mel</t>
        </is>
      </c>
      <c r="V107" s="240" t="inlineStr">
        <is>
          <t>Ovos (dz)</t>
        </is>
      </c>
      <c r="W107" s="240" t="inlineStr">
        <is>
          <t>Repolho</t>
        </is>
      </c>
      <c r="X107" s="240" t="inlineStr">
        <is>
          <t>Tangerina ponkan</t>
        </is>
      </c>
    </row>
    <row r="108">
      <c r="A108" s="241" t="n">
        <v>1</v>
      </c>
      <c r="B108" s="241" t="inlineStr"/>
      <c r="C108" s="241" t="inlineStr">
        <is>
          <t>3032</t>
        </is>
      </c>
      <c r="D108" s="242">
        <f>HYPERLINK("#'CEI DONA ESPERANZA DE BOURBON D'!A1","CEI DONA ESPERANZA DE BOURBON DE ORLEANS E BRAGANÇA")</f>
        <v/>
      </c>
      <c r="E108" s="242" t="inlineStr">
        <is>
          <t>MOSELA</t>
        </is>
      </c>
      <c r="F108" s="243">
        <f>INDEX('Entrada de Dados'!C$6:C$196,MATCH($C108,'Entrada de Dados'!$A$6:$A$196,0))</f>
        <v/>
      </c>
      <c r="G108" s="243">
        <f>INDEX('Entrada de Dados'!D$6:D$196,MATCH($C108,'Entrada de Dados'!$A$6:$A$196,0))</f>
        <v/>
      </c>
      <c r="H108" s="243">
        <f>INDEX('Entrada de Dados'!E$6:E$196,MATCH($C108,'Entrada de Dados'!$A$6:$A$196,0))</f>
        <v/>
      </c>
      <c r="I108" s="243">
        <f>INDEX('Entrada de Dados'!F$6:F$196,MATCH($C108,'Entrada de Dados'!$A$6:$A$196,0))</f>
        <v/>
      </c>
      <c r="J108" s="243">
        <f>INDEX('Entrada de Dados'!G$6:G$196,MATCH($C108,'Entrada de Dados'!$A$6:$A$196,0))</f>
        <v/>
      </c>
      <c r="K108" s="243">
        <f>INDEX('Entrada de Dados'!H$6:H$196,MATCH($C108,'Entrada de Dados'!$A$6:$A$196,0))</f>
        <v/>
      </c>
      <c r="L108" s="243">
        <f>INDEX('Entrada de Dados'!I$6:I$196,MATCH($C108,'Entrada de Dados'!$A$6:$A$196,0))</f>
        <v/>
      </c>
      <c r="M108" s="243">
        <f>INDEX('Entrada de Dados'!J$6:J$196,MATCH($C108,'Entrada de Dados'!$A$6:$A$196,0))</f>
        <v/>
      </c>
      <c r="N108" s="243">
        <f>INDEX('Entrada de Dados'!K$6:K$196,MATCH($C108,'Entrada de Dados'!$A$6:$A$196,0))</f>
        <v/>
      </c>
      <c r="O108" s="243">
        <f>INDEX('Entrada de Dados'!L$6:L$196,MATCH($C108,'Entrada de Dados'!$A$6:$A$196,0))</f>
        <v/>
      </c>
      <c r="P108" s="243">
        <f>INDEX('Entrada de Dados'!M$6:M$196,MATCH($C108,'Entrada de Dados'!$A$6:$A$196,0))</f>
        <v/>
      </c>
      <c r="Q108" s="243">
        <f>INDEX('Entrada de Dados'!N$6:N$196,MATCH($C108,'Entrada de Dados'!$A$6:$A$196,0))</f>
        <v/>
      </c>
      <c r="R108" s="243">
        <f>INDEX('Entrada de Dados'!O$6:O$196,MATCH($C108,'Entrada de Dados'!$A$6:$A$196,0))</f>
        <v/>
      </c>
      <c r="S108" s="243">
        <f>INDEX('Entrada de Dados'!P$6:P$196,MATCH($C108,'Entrada de Dados'!$A$6:$A$196,0))</f>
        <v/>
      </c>
      <c r="T108" s="243">
        <f>INDEX('Entrada de Dados'!Q$6:Q$196,MATCH($C108,'Entrada de Dados'!$A$6:$A$196,0))</f>
        <v/>
      </c>
      <c r="U108" s="243">
        <f>INDEX('Entrada de Dados'!R$6:R$196,MATCH($C108,'Entrada de Dados'!$A$6:$A$196,0))</f>
        <v/>
      </c>
      <c r="V108" s="243">
        <f>INDEX('Entrada de Dados'!S$6:S$196,MATCH($C108,'Entrada de Dados'!$A$6:$A$196,0))</f>
        <v/>
      </c>
      <c r="W108" s="243">
        <f>INDEX('Entrada de Dados'!T$6:T$196,MATCH($C108,'Entrada de Dados'!$A$6:$A$196,0))</f>
        <v/>
      </c>
      <c r="X108" s="243">
        <f>INDEX('Entrada de Dados'!U$6:U$196,MATCH($C108,'Entrada de Dados'!$A$6:$A$196,0))</f>
        <v/>
      </c>
    </row>
    <row r="109">
      <c r="A109" s="241" t="n">
        <v>2</v>
      </c>
      <c r="B109" s="241" t="inlineStr"/>
      <c r="C109" s="241" t="inlineStr">
        <is>
          <t>1003</t>
        </is>
      </c>
      <c r="D109" s="242">
        <f>HYPERLINK("#'E M BATAILLARD'!A1","E M BATAILLARD")</f>
        <v/>
      </c>
      <c r="E109" s="242" t="inlineStr">
        <is>
          <t>MOSELA</t>
        </is>
      </c>
      <c r="F109" s="243">
        <f>INDEX('Entrada de Dados'!C$6:C$196,MATCH($C109,'Entrada de Dados'!$A$6:$A$196,0))</f>
        <v/>
      </c>
      <c r="G109" s="243">
        <f>INDEX('Entrada de Dados'!D$6:D$196,MATCH($C109,'Entrada de Dados'!$A$6:$A$196,0))</f>
        <v/>
      </c>
      <c r="H109" s="243">
        <f>INDEX('Entrada de Dados'!E$6:E$196,MATCH($C109,'Entrada de Dados'!$A$6:$A$196,0))</f>
        <v/>
      </c>
      <c r="I109" s="243">
        <f>INDEX('Entrada de Dados'!F$6:F$196,MATCH($C109,'Entrada de Dados'!$A$6:$A$196,0))</f>
        <v/>
      </c>
      <c r="J109" s="243">
        <f>INDEX('Entrada de Dados'!G$6:G$196,MATCH($C109,'Entrada de Dados'!$A$6:$A$196,0))</f>
        <v/>
      </c>
      <c r="K109" s="243">
        <f>INDEX('Entrada de Dados'!H$6:H$196,MATCH($C109,'Entrada de Dados'!$A$6:$A$196,0))</f>
        <v/>
      </c>
      <c r="L109" s="243">
        <f>INDEX('Entrada de Dados'!I$6:I$196,MATCH($C109,'Entrada de Dados'!$A$6:$A$196,0))</f>
        <v/>
      </c>
      <c r="M109" s="243">
        <f>INDEX('Entrada de Dados'!J$6:J$196,MATCH($C109,'Entrada de Dados'!$A$6:$A$196,0))</f>
        <v/>
      </c>
      <c r="N109" s="243">
        <f>INDEX('Entrada de Dados'!K$6:K$196,MATCH($C109,'Entrada de Dados'!$A$6:$A$196,0))</f>
        <v/>
      </c>
      <c r="O109" s="243">
        <f>INDEX('Entrada de Dados'!L$6:L$196,MATCH($C109,'Entrada de Dados'!$A$6:$A$196,0))</f>
        <v/>
      </c>
      <c r="P109" s="243">
        <f>INDEX('Entrada de Dados'!M$6:M$196,MATCH($C109,'Entrada de Dados'!$A$6:$A$196,0))</f>
        <v/>
      </c>
      <c r="Q109" s="243">
        <f>INDEX('Entrada de Dados'!N$6:N$196,MATCH($C109,'Entrada de Dados'!$A$6:$A$196,0))</f>
        <v/>
      </c>
      <c r="R109" s="243">
        <f>INDEX('Entrada de Dados'!O$6:O$196,MATCH($C109,'Entrada de Dados'!$A$6:$A$196,0))</f>
        <v/>
      </c>
      <c r="S109" s="243">
        <f>INDEX('Entrada de Dados'!P$6:P$196,MATCH($C109,'Entrada de Dados'!$A$6:$A$196,0))</f>
        <v/>
      </c>
      <c r="T109" s="243">
        <f>INDEX('Entrada de Dados'!Q$6:Q$196,MATCH($C109,'Entrada de Dados'!$A$6:$A$196,0))</f>
        <v/>
      </c>
      <c r="U109" s="243">
        <f>INDEX('Entrada de Dados'!R$6:R$196,MATCH($C109,'Entrada de Dados'!$A$6:$A$196,0))</f>
        <v/>
      </c>
      <c r="V109" s="243">
        <f>INDEX('Entrada de Dados'!S$6:S$196,MATCH($C109,'Entrada de Dados'!$A$6:$A$196,0))</f>
        <v/>
      </c>
      <c r="W109" s="243">
        <f>INDEX('Entrada de Dados'!T$6:T$196,MATCH($C109,'Entrada de Dados'!$A$6:$A$196,0))</f>
        <v/>
      </c>
      <c r="X109" s="243">
        <f>INDEX('Entrada de Dados'!U$6:U$196,MATCH($C109,'Entrada de Dados'!$A$6:$A$196,0))</f>
        <v/>
      </c>
    </row>
    <row r="110">
      <c r="A110" s="241" t="n">
        <v>3</v>
      </c>
      <c r="B110" s="241" t="inlineStr"/>
      <c r="C110" s="241" t="inlineStr">
        <is>
          <t>3021</t>
        </is>
      </c>
      <c r="D110" s="242">
        <f>HYPERLINK("#'CEI MARIA THEREZA KLING DO VALL'!A1","CEI MARIA THEREZA KLING DO VALLE")</f>
        <v/>
      </c>
      <c r="E110" s="242" t="inlineStr">
        <is>
          <t>MOSELA</t>
        </is>
      </c>
      <c r="F110" s="243">
        <f>INDEX('Entrada de Dados'!C$6:C$196,MATCH($C110,'Entrada de Dados'!$A$6:$A$196,0))</f>
        <v/>
      </c>
      <c r="G110" s="243">
        <f>INDEX('Entrada de Dados'!D$6:D$196,MATCH($C110,'Entrada de Dados'!$A$6:$A$196,0))</f>
        <v/>
      </c>
      <c r="H110" s="243">
        <f>INDEX('Entrada de Dados'!E$6:E$196,MATCH($C110,'Entrada de Dados'!$A$6:$A$196,0))</f>
        <v/>
      </c>
      <c r="I110" s="243">
        <f>INDEX('Entrada de Dados'!F$6:F$196,MATCH($C110,'Entrada de Dados'!$A$6:$A$196,0))</f>
        <v/>
      </c>
      <c r="J110" s="243">
        <f>INDEX('Entrada de Dados'!G$6:G$196,MATCH($C110,'Entrada de Dados'!$A$6:$A$196,0))</f>
        <v/>
      </c>
      <c r="K110" s="243">
        <f>INDEX('Entrada de Dados'!H$6:H$196,MATCH($C110,'Entrada de Dados'!$A$6:$A$196,0))</f>
        <v/>
      </c>
      <c r="L110" s="243">
        <f>INDEX('Entrada de Dados'!I$6:I$196,MATCH($C110,'Entrada de Dados'!$A$6:$A$196,0))</f>
        <v/>
      </c>
      <c r="M110" s="243">
        <f>INDEX('Entrada de Dados'!J$6:J$196,MATCH($C110,'Entrada de Dados'!$A$6:$A$196,0))</f>
        <v/>
      </c>
      <c r="N110" s="243">
        <f>INDEX('Entrada de Dados'!K$6:K$196,MATCH($C110,'Entrada de Dados'!$A$6:$A$196,0))</f>
        <v/>
      </c>
      <c r="O110" s="243">
        <f>INDEX('Entrada de Dados'!L$6:L$196,MATCH($C110,'Entrada de Dados'!$A$6:$A$196,0))</f>
        <v/>
      </c>
      <c r="P110" s="243">
        <f>INDEX('Entrada de Dados'!M$6:M$196,MATCH($C110,'Entrada de Dados'!$A$6:$A$196,0))</f>
        <v/>
      </c>
      <c r="Q110" s="243">
        <f>INDEX('Entrada de Dados'!N$6:N$196,MATCH($C110,'Entrada de Dados'!$A$6:$A$196,0))</f>
        <v/>
      </c>
      <c r="R110" s="243">
        <f>INDEX('Entrada de Dados'!O$6:O$196,MATCH($C110,'Entrada de Dados'!$A$6:$A$196,0))</f>
        <v/>
      </c>
      <c r="S110" s="243">
        <f>INDEX('Entrada de Dados'!P$6:P$196,MATCH($C110,'Entrada de Dados'!$A$6:$A$196,0))</f>
        <v/>
      </c>
      <c r="T110" s="243">
        <f>INDEX('Entrada de Dados'!Q$6:Q$196,MATCH($C110,'Entrada de Dados'!$A$6:$A$196,0))</f>
        <v/>
      </c>
      <c r="U110" s="243">
        <f>INDEX('Entrada de Dados'!R$6:R$196,MATCH($C110,'Entrada de Dados'!$A$6:$A$196,0))</f>
        <v/>
      </c>
      <c r="V110" s="243">
        <f>INDEX('Entrada de Dados'!S$6:S$196,MATCH($C110,'Entrada de Dados'!$A$6:$A$196,0))</f>
        <v/>
      </c>
      <c r="W110" s="243">
        <f>INDEX('Entrada de Dados'!T$6:T$196,MATCH($C110,'Entrada de Dados'!$A$6:$A$196,0))</f>
        <v/>
      </c>
      <c r="X110" s="243">
        <f>INDEX('Entrada de Dados'!U$6:U$196,MATCH($C110,'Entrada de Dados'!$A$6:$A$196,0))</f>
        <v/>
      </c>
    </row>
    <row r="111">
      <c r="A111" s="241" t="n">
        <v>4</v>
      </c>
      <c r="B111" s="241" t="inlineStr"/>
      <c r="C111" s="241" t="inlineStr">
        <is>
          <t>4021</t>
        </is>
      </c>
      <c r="D111" s="242">
        <f>HYPERLINK("#'CENTRO DE EDUCAÇÃO INFANTIL SÃO'!A1","CENTRO DE EDUCAÇÃO INFANTIL SÃO JUDAS TADEU")</f>
        <v/>
      </c>
      <c r="E111" s="242" t="inlineStr">
        <is>
          <t>MOSELA</t>
        </is>
      </c>
      <c r="F111" s="243">
        <f>INDEX('Entrada de Dados'!C$6:C$196,MATCH($C111,'Entrada de Dados'!$A$6:$A$196,0))</f>
        <v/>
      </c>
      <c r="G111" s="243">
        <f>INDEX('Entrada de Dados'!D$6:D$196,MATCH($C111,'Entrada de Dados'!$A$6:$A$196,0))</f>
        <v/>
      </c>
      <c r="H111" s="243">
        <f>INDEX('Entrada de Dados'!E$6:E$196,MATCH($C111,'Entrada de Dados'!$A$6:$A$196,0))</f>
        <v/>
      </c>
      <c r="I111" s="243">
        <f>INDEX('Entrada de Dados'!F$6:F$196,MATCH($C111,'Entrada de Dados'!$A$6:$A$196,0))</f>
        <v/>
      </c>
      <c r="J111" s="243">
        <f>INDEX('Entrada de Dados'!G$6:G$196,MATCH($C111,'Entrada de Dados'!$A$6:$A$196,0))</f>
        <v/>
      </c>
      <c r="K111" s="243">
        <f>INDEX('Entrada de Dados'!H$6:H$196,MATCH($C111,'Entrada de Dados'!$A$6:$A$196,0))</f>
        <v/>
      </c>
      <c r="L111" s="243">
        <f>INDEX('Entrada de Dados'!I$6:I$196,MATCH($C111,'Entrada de Dados'!$A$6:$A$196,0))</f>
        <v/>
      </c>
      <c r="M111" s="243">
        <f>INDEX('Entrada de Dados'!J$6:J$196,MATCH($C111,'Entrada de Dados'!$A$6:$A$196,0))</f>
        <v/>
      </c>
      <c r="N111" s="243">
        <f>INDEX('Entrada de Dados'!K$6:K$196,MATCH($C111,'Entrada de Dados'!$A$6:$A$196,0))</f>
        <v/>
      </c>
      <c r="O111" s="243">
        <f>INDEX('Entrada de Dados'!L$6:L$196,MATCH($C111,'Entrada de Dados'!$A$6:$A$196,0))</f>
        <v/>
      </c>
      <c r="P111" s="243">
        <f>INDEX('Entrada de Dados'!M$6:M$196,MATCH($C111,'Entrada de Dados'!$A$6:$A$196,0))</f>
        <v/>
      </c>
      <c r="Q111" s="243">
        <f>INDEX('Entrada de Dados'!N$6:N$196,MATCH($C111,'Entrada de Dados'!$A$6:$A$196,0))</f>
        <v/>
      </c>
      <c r="R111" s="243">
        <f>INDEX('Entrada de Dados'!O$6:O$196,MATCH($C111,'Entrada de Dados'!$A$6:$A$196,0))</f>
        <v/>
      </c>
      <c r="S111" s="243">
        <f>INDEX('Entrada de Dados'!P$6:P$196,MATCH($C111,'Entrada de Dados'!$A$6:$A$196,0))</f>
        <v/>
      </c>
      <c r="T111" s="243">
        <f>INDEX('Entrada de Dados'!Q$6:Q$196,MATCH($C111,'Entrada de Dados'!$A$6:$A$196,0))</f>
        <v/>
      </c>
      <c r="U111" s="243">
        <f>INDEX('Entrada de Dados'!R$6:R$196,MATCH($C111,'Entrada de Dados'!$A$6:$A$196,0))</f>
        <v/>
      </c>
      <c r="V111" s="243">
        <f>INDEX('Entrada de Dados'!S$6:S$196,MATCH($C111,'Entrada de Dados'!$A$6:$A$196,0))</f>
        <v/>
      </c>
      <c r="W111" s="243">
        <f>INDEX('Entrada de Dados'!T$6:T$196,MATCH($C111,'Entrada de Dados'!$A$6:$A$196,0))</f>
        <v/>
      </c>
      <c r="X111" s="243">
        <f>INDEX('Entrada de Dados'!U$6:U$196,MATCH($C111,'Entrada de Dados'!$A$6:$A$196,0))</f>
        <v/>
      </c>
    </row>
    <row r="112">
      <c r="A112" s="241" t="n">
        <v>5</v>
      </c>
      <c r="B112" s="241" t="inlineStr"/>
      <c r="C112" s="241" t="inlineStr">
        <is>
          <t>3057</t>
        </is>
      </c>
      <c r="D112" s="242">
        <f>HYPERLINK("#'CEI GIUSEPPE-NEVA VOLONTERIO'!A1","CEI GIUSEPPE-NEVA VOLONTERIO")</f>
        <v/>
      </c>
      <c r="E112" s="242" t="inlineStr">
        <is>
          <t>MOSELA</t>
        </is>
      </c>
      <c r="F112" s="243">
        <f>INDEX('Entrada de Dados'!C$6:C$196,MATCH($C112,'Entrada de Dados'!$A$6:$A$196,0))</f>
        <v/>
      </c>
      <c r="G112" s="243">
        <f>INDEX('Entrada de Dados'!D$6:D$196,MATCH($C112,'Entrada de Dados'!$A$6:$A$196,0))</f>
        <v/>
      </c>
      <c r="H112" s="243">
        <f>INDEX('Entrada de Dados'!E$6:E$196,MATCH($C112,'Entrada de Dados'!$A$6:$A$196,0))</f>
        <v/>
      </c>
      <c r="I112" s="243">
        <f>INDEX('Entrada de Dados'!F$6:F$196,MATCH($C112,'Entrada de Dados'!$A$6:$A$196,0))</f>
        <v/>
      </c>
      <c r="J112" s="243">
        <f>INDEX('Entrada de Dados'!G$6:G$196,MATCH($C112,'Entrada de Dados'!$A$6:$A$196,0))</f>
        <v/>
      </c>
      <c r="K112" s="243">
        <f>INDEX('Entrada de Dados'!H$6:H$196,MATCH($C112,'Entrada de Dados'!$A$6:$A$196,0))</f>
        <v/>
      </c>
      <c r="L112" s="243">
        <f>INDEX('Entrada de Dados'!I$6:I$196,MATCH($C112,'Entrada de Dados'!$A$6:$A$196,0))</f>
        <v/>
      </c>
      <c r="M112" s="243">
        <f>INDEX('Entrada de Dados'!J$6:J$196,MATCH($C112,'Entrada de Dados'!$A$6:$A$196,0))</f>
        <v/>
      </c>
      <c r="N112" s="243">
        <f>INDEX('Entrada de Dados'!K$6:K$196,MATCH($C112,'Entrada de Dados'!$A$6:$A$196,0))</f>
        <v/>
      </c>
      <c r="O112" s="243">
        <f>INDEX('Entrada de Dados'!L$6:L$196,MATCH($C112,'Entrada de Dados'!$A$6:$A$196,0))</f>
        <v/>
      </c>
      <c r="P112" s="243">
        <f>INDEX('Entrada de Dados'!M$6:M$196,MATCH($C112,'Entrada de Dados'!$A$6:$A$196,0))</f>
        <v/>
      </c>
      <c r="Q112" s="243">
        <f>INDEX('Entrada de Dados'!N$6:N$196,MATCH($C112,'Entrada de Dados'!$A$6:$A$196,0))</f>
        <v/>
      </c>
      <c r="R112" s="243">
        <f>INDEX('Entrada de Dados'!O$6:O$196,MATCH($C112,'Entrada de Dados'!$A$6:$A$196,0))</f>
        <v/>
      </c>
      <c r="S112" s="243">
        <f>INDEX('Entrada de Dados'!P$6:P$196,MATCH($C112,'Entrada de Dados'!$A$6:$A$196,0))</f>
        <v/>
      </c>
      <c r="T112" s="243">
        <f>INDEX('Entrada de Dados'!Q$6:Q$196,MATCH($C112,'Entrada de Dados'!$A$6:$A$196,0))</f>
        <v/>
      </c>
      <c r="U112" s="243">
        <f>INDEX('Entrada de Dados'!R$6:R$196,MATCH($C112,'Entrada de Dados'!$A$6:$A$196,0))</f>
        <v/>
      </c>
      <c r="V112" s="243">
        <f>INDEX('Entrada de Dados'!S$6:S$196,MATCH($C112,'Entrada de Dados'!$A$6:$A$196,0))</f>
        <v/>
      </c>
      <c r="W112" s="243">
        <f>INDEX('Entrada de Dados'!T$6:T$196,MATCH($C112,'Entrada de Dados'!$A$6:$A$196,0))</f>
        <v/>
      </c>
      <c r="X112" s="243">
        <f>INDEX('Entrada de Dados'!U$6:U$196,MATCH($C112,'Entrada de Dados'!$A$6:$A$196,0))</f>
        <v/>
      </c>
    </row>
    <row r="113">
      <c r="A113" s="241" t="n">
        <v>6</v>
      </c>
      <c r="B113" s="241" t="inlineStr"/>
      <c r="C113" s="241" t="inlineStr">
        <is>
          <t>1079</t>
        </is>
      </c>
      <c r="D113" s="242">
        <f>HYPERLINK("#'E M SALVADOR KLING'!A1","E M SALVADOR KLING")</f>
        <v/>
      </c>
      <c r="E113" s="242" t="inlineStr">
        <is>
          <t>MOSELA</t>
        </is>
      </c>
      <c r="F113" s="243">
        <f>INDEX('Entrada de Dados'!C$6:C$196,MATCH($C113,'Entrada de Dados'!$A$6:$A$196,0))</f>
        <v/>
      </c>
      <c r="G113" s="243">
        <f>INDEX('Entrada de Dados'!D$6:D$196,MATCH($C113,'Entrada de Dados'!$A$6:$A$196,0))</f>
        <v/>
      </c>
      <c r="H113" s="243">
        <f>INDEX('Entrada de Dados'!E$6:E$196,MATCH($C113,'Entrada de Dados'!$A$6:$A$196,0))</f>
        <v/>
      </c>
      <c r="I113" s="243">
        <f>INDEX('Entrada de Dados'!F$6:F$196,MATCH($C113,'Entrada de Dados'!$A$6:$A$196,0))</f>
        <v/>
      </c>
      <c r="J113" s="243">
        <f>INDEX('Entrada de Dados'!G$6:G$196,MATCH($C113,'Entrada de Dados'!$A$6:$A$196,0))</f>
        <v/>
      </c>
      <c r="K113" s="243">
        <f>INDEX('Entrada de Dados'!H$6:H$196,MATCH($C113,'Entrada de Dados'!$A$6:$A$196,0))</f>
        <v/>
      </c>
      <c r="L113" s="243">
        <f>INDEX('Entrada de Dados'!I$6:I$196,MATCH($C113,'Entrada de Dados'!$A$6:$A$196,0))</f>
        <v/>
      </c>
      <c r="M113" s="243">
        <f>INDEX('Entrada de Dados'!J$6:J$196,MATCH($C113,'Entrada de Dados'!$A$6:$A$196,0))</f>
        <v/>
      </c>
      <c r="N113" s="243">
        <f>INDEX('Entrada de Dados'!K$6:K$196,MATCH($C113,'Entrada de Dados'!$A$6:$A$196,0))</f>
        <v/>
      </c>
      <c r="O113" s="243">
        <f>INDEX('Entrada de Dados'!L$6:L$196,MATCH($C113,'Entrada de Dados'!$A$6:$A$196,0))</f>
        <v/>
      </c>
      <c r="P113" s="243">
        <f>INDEX('Entrada de Dados'!M$6:M$196,MATCH($C113,'Entrada de Dados'!$A$6:$A$196,0))</f>
        <v/>
      </c>
      <c r="Q113" s="243">
        <f>INDEX('Entrada de Dados'!N$6:N$196,MATCH($C113,'Entrada de Dados'!$A$6:$A$196,0))</f>
        <v/>
      </c>
      <c r="R113" s="243">
        <f>INDEX('Entrada de Dados'!O$6:O$196,MATCH($C113,'Entrada de Dados'!$A$6:$A$196,0))</f>
        <v/>
      </c>
      <c r="S113" s="243">
        <f>INDEX('Entrada de Dados'!P$6:P$196,MATCH($C113,'Entrada de Dados'!$A$6:$A$196,0))</f>
        <v/>
      </c>
      <c r="T113" s="243">
        <f>INDEX('Entrada de Dados'!Q$6:Q$196,MATCH($C113,'Entrada de Dados'!$A$6:$A$196,0))</f>
        <v/>
      </c>
      <c r="U113" s="243">
        <f>INDEX('Entrada de Dados'!R$6:R$196,MATCH($C113,'Entrada de Dados'!$A$6:$A$196,0))</f>
        <v/>
      </c>
      <c r="V113" s="243">
        <f>INDEX('Entrada de Dados'!S$6:S$196,MATCH($C113,'Entrada de Dados'!$A$6:$A$196,0))</f>
        <v/>
      </c>
      <c r="W113" s="243">
        <f>INDEX('Entrada de Dados'!T$6:T$196,MATCH($C113,'Entrada de Dados'!$A$6:$A$196,0))</f>
        <v/>
      </c>
      <c r="X113" s="243">
        <f>INDEX('Entrada de Dados'!U$6:U$196,MATCH($C113,'Entrada de Dados'!$A$6:$A$196,0))</f>
        <v/>
      </c>
    </row>
    <row r="114">
      <c r="A114" s="253" t="n">
        <v>7</v>
      </c>
      <c r="B114" s="253" t="inlineStr">
        <is>
          <t>A</t>
        </is>
      </c>
      <c r="C114" s="254" t="inlineStr">
        <is>
          <t>2029</t>
        </is>
      </c>
      <c r="D114" s="255">
        <f>HYPERLINK("#'ESCOLA SÃO JUDAS TADEU'!A1","ESCOLA SÃO JUDAS TADEU")</f>
        <v/>
      </c>
      <c r="E114" s="255" t="inlineStr">
        <is>
          <t>MOSELA</t>
        </is>
      </c>
      <c r="F114" s="256">
        <f>INDEX('Entrada de Dados'!C$6:C$196,MATCH($C114,'Entrada de Dados'!$A$6:$A$196,0))</f>
        <v/>
      </c>
      <c r="G114" s="256">
        <f>INDEX('Entrada de Dados'!D$6:D$196,MATCH($C114,'Entrada de Dados'!$A$6:$A$196,0))</f>
        <v/>
      </c>
      <c r="H114" s="256">
        <f>INDEX('Entrada de Dados'!E$6:E$196,MATCH($C114,'Entrada de Dados'!$A$6:$A$196,0))</f>
        <v/>
      </c>
      <c r="I114" s="256">
        <f>INDEX('Entrada de Dados'!F$6:F$196,MATCH($C114,'Entrada de Dados'!$A$6:$A$196,0))</f>
        <v/>
      </c>
      <c r="J114" s="256">
        <f>INDEX('Entrada de Dados'!G$6:G$196,MATCH($C114,'Entrada de Dados'!$A$6:$A$196,0))</f>
        <v/>
      </c>
      <c r="K114" s="256">
        <f>INDEX('Entrada de Dados'!H$6:H$196,MATCH($C114,'Entrada de Dados'!$A$6:$A$196,0))</f>
        <v/>
      </c>
      <c r="L114" s="256">
        <f>INDEX('Entrada de Dados'!I$6:I$196,MATCH($C114,'Entrada de Dados'!$A$6:$A$196,0))</f>
        <v/>
      </c>
      <c r="M114" s="256">
        <f>INDEX('Entrada de Dados'!J$6:J$196,MATCH($C114,'Entrada de Dados'!$A$6:$A$196,0))</f>
        <v/>
      </c>
      <c r="N114" s="256">
        <f>INDEX('Entrada de Dados'!K$6:K$196,MATCH($C114,'Entrada de Dados'!$A$6:$A$196,0))</f>
        <v/>
      </c>
      <c r="O114" s="256">
        <f>INDEX('Entrada de Dados'!L$6:L$196,MATCH($C114,'Entrada de Dados'!$A$6:$A$196,0))</f>
        <v/>
      </c>
      <c r="P114" s="256">
        <f>INDEX('Entrada de Dados'!M$6:M$196,MATCH($C114,'Entrada de Dados'!$A$6:$A$196,0))</f>
        <v/>
      </c>
      <c r="Q114" s="256">
        <f>INDEX('Entrada de Dados'!N$6:N$196,MATCH($C114,'Entrada de Dados'!$A$6:$A$196,0))</f>
        <v/>
      </c>
      <c r="R114" s="256">
        <f>INDEX('Entrada de Dados'!O$6:O$196,MATCH($C114,'Entrada de Dados'!$A$6:$A$196,0))</f>
        <v/>
      </c>
      <c r="S114" s="256">
        <f>INDEX('Entrada de Dados'!P$6:P$196,MATCH($C114,'Entrada de Dados'!$A$6:$A$196,0))</f>
        <v/>
      </c>
      <c r="T114" s="256">
        <f>INDEX('Entrada de Dados'!Q$6:Q$196,MATCH($C114,'Entrada de Dados'!$A$6:$A$196,0))</f>
        <v/>
      </c>
      <c r="U114" s="256">
        <f>INDEX('Entrada de Dados'!R$6:R$196,MATCH($C114,'Entrada de Dados'!$A$6:$A$196,0))</f>
        <v/>
      </c>
      <c r="V114" s="256">
        <f>INDEX('Entrada de Dados'!S$6:S$196,MATCH($C114,'Entrada de Dados'!$A$6:$A$196,0))</f>
        <v/>
      </c>
      <c r="W114" s="256">
        <f>INDEX('Entrada de Dados'!T$6:T$196,MATCH($C114,'Entrada de Dados'!$A$6:$A$196,0))</f>
        <v/>
      </c>
      <c r="X114" s="256">
        <f>INDEX('Entrada de Dados'!U$6:U$196,MATCH($C114,'Entrada de Dados'!$A$6:$A$196,0))</f>
        <v/>
      </c>
    </row>
    <row r="115">
      <c r="A115" s="253" t="n">
        <v>7</v>
      </c>
      <c r="B115" s="253" t="inlineStr">
        <is>
          <t>B</t>
        </is>
      </c>
      <c r="C115" s="254" t="inlineStr">
        <is>
          <t>1086</t>
        </is>
      </c>
      <c r="D115" s="255">
        <f>HYPERLINK("#'ESCOLA MUNICIPALIZADA FREI ANIC'!A1","ESCOLA MUNICIPALIZADA FREI ANICETO")</f>
        <v/>
      </c>
      <c r="E115" s="255" t="inlineStr">
        <is>
          <t>MOSELA</t>
        </is>
      </c>
      <c r="F115" s="256">
        <f>INDEX('Entrada de Dados'!C$6:C$196,MATCH($C115,'Entrada de Dados'!$A$6:$A$196,0))</f>
        <v/>
      </c>
      <c r="G115" s="256">
        <f>INDEX('Entrada de Dados'!D$6:D$196,MATCH($C115,'Entrada de Dados'!$A$6:$A$196,0))</f>
        <v/>
      </c>
      <c r="H115" s="256">
        <f>INDEX('Entrada de Dados'!E$6:E$196,MATCH($C115,'Entrada de Dados'!$A$6:$A$196,0))</f>
        <v/>
      </c>
      <c r="I115" s="256">
        <f>INDEX('Entrada de Dados'!F$6:F$196,MATCH($C115,'Entrada de Dados'!$A$6:$A$196,0))</f>
        <v/>
      </c>
      <c r="J115" s="256">
        <f>INDEX('Entrada de Dados'!G$6:G$196,MATCH($C115,'Entrada de Dados'!$A$6:$A$196,0))</f>
        <v/>
      </c>
      <c r="K115" s="256">
        <f>INDEX('Entrada de Dados'!H$6:H$196,MATCH($C115,'Entrada de Dados'!$A$6:$A$196,0))</f>
        <v/>
      </c>
      <c r="L115" s="256">
        <f>INDEX('Entrada de Dados'!I$6:I$196,MATCH($C115,'Entrada de Dados'!$A$6:$A$196,0))</f>
        <v/>
      </c>
      <c r="M115" s="256">
        <f>INDEX('Entrada de Dados'!J$6:J$196,MATCH($C115,'Entrada de Dados'!$A$6:$A$196,0))</f>
        <v/>
      </c>
      <c r="N115" s="256">
        <f>INDEX('Entrada de Dados'!K$6:K$196,MATCH($C115,'Entrada de Dados'!$A$6:$A$196,0))</f>
        <v/>
      </c>
      <c r="O115" s="256">
        <f>INDEX('Entrada de Dados'!L$6:L$196,MATCH($C115,'Entrada de Dados'!$A$6:$A$196,0))</f>
        <v/>
      </c>
      <c r="P115" s="256">
        <f>INDEX('Entrada de Dados'!M$6:M$196,MATCH($C115,'Entrada de Dados'!$A$6:$A$196,0))</f>
        <v/>
      </c>
      <c r="Q115" s="256">
        <f>INDEX('Entrada de Dados'!N$6:N$196,MATCH($C115,'Entrada de Dados'!$A$6:$A$196,0))</f>
        <v/>
      </c>
      <c r="R115" s="256">
        <f>INDEX('Entrada de Dados'!O$6:O$196,MATCH($C115,'Entrada de Dados'!$A$6:$A$196,0))</f>
        <v/>
      </c>
      <c r="S115" s="256">
        <f>INDEX('Entrada de Dados'!P$6:P$196,MATCH($C115,'Entrada de Dados'!$A$6:$A$196,0))</f>
        <v/>
      </c>
      <c r="T115" s="256">
        <f>INDEX('Entrada de Dados'!Q$6:Q$196,MATCH($C115,'Entrada de Dados'!$A$6:$A$196,0))</f>
        <v/>
      </c>
      <c r="U115" s="256">
        <f>INDEX('Entrada de Dados'!R$6:R$196,MATCH($C115,'Entrada de Dados'!$A$6:$A$196,0))</f>
        <v/>
      </c>
      <c r="V115" s="256">
        <f>INDEX('Entrada de Dados'!S$6:S$196,MATCH($C115,'Entrada de Dados'!$A$6:$A$196,0))</f>
        <v/>
      </c>
      <c r="W115" s="256">
        <f>INDEX('Entrada de Dados'!T$6:T$196,MATCH($C115,'Entrada de Dados'!$A$6:$A$196,0))</f>
        <v/>
      </c>
      <c r="X115" s="256">
        <f>INDEX('Entrada de Dados'!U$6:U$196,MATCH($C115,'Entrada de Dados'!$A$6:$A$196,0))</f>
        <v/>
      </c>
    </row>
    <row r="116">
      <c r="A116" s="241" t="n">
        <v>8</v>
      </c>
      <c r="B116" s="241" t="inlineStr"/>
      <c r="C116" s="241" t="inlineStr">
        <is>
          <t>3016</t>
        </is>
      </c>
      <c r="D116" s="242">
        <f>HYPERLINK("#'CEI PEDRAS BRANCAS'!A1","CEI PEDRAS BRANCAS")</f>
        <v/>
      </c>
      <c r="E116" s="242" t="inlineStr">
        <is>
          <t>MOSELA</t>
        </is>
      </c>
      <c r="F116" s="243">
        <f>INDEX('Entrada de Dados'!C$6:C$196,MATCH($C116,'Entrada de Dados'!$A$6:$A$196,0))</f>
        <v/>
      </c>
      <c r="G116" s="243">
        <f>INDEX('Entrada de Dados'!D$6:D$196,MATCH($C116,'Entrada de Dados'!$A$6:$A$196,0))</f>
        <v/>
      </c>
      <c r="H116" s="243">
        <f>INDEX('Entrada de Dados'!E$6:E$196,MATCH($C116,'Entrada de Dados'!$A$6:$A$196,0))</f>
        <v/>
      </c>
      <c r="I116" s="243">
        <f>INDEX('Entrada de Dados'!F$6:F$196,MATCH($C116,'Entrada de Dados'!$A$6:$A$196,0))</f>
        <v/>
      </c>
      <c r="J116" s="243">
        <f>INDEX('Entrada de Dados'!G$6:G$196,MATCH($C116,'Entrada de Dados'!$A$6:$A$196,0))</f>
        <v/>
      </c>
      <c r="K116" s="243">
        <f>INDEX('Entrada de Dados'!H$6:H$196,MATCH($C116,'Entrada de Dados'!$A$6:$A$196,0))</f>
        <v/>
      </c>
      <c r="L116" s="243">
        <f>INDEX('Entrada de Dados'!I$6:I$196,MATCH($C116,'Entrada de Dados'!$A$6:$A$196,0))</f>
        <v/>
      </c>
      <c r="M116" s="243">
        <f>INDEX('Entrada de Dados'!J$6:J$196,MATCH($C116,'Entrada de Dados'!$A$6:$A$196,0))</f>
        <v/>
      </c>
      <c r="N116" s="243">
        <f>INDEX('Entrada de Dados'!K$6:K$196,MATCH($C116,'Entrada de Dados'!$A$6:$A$196,0))</f>
        <v/>
      </c>
      <c r="O116" s="243">
        <f>INDEX('Entrada de Dados'!L$6:L$196,MATCH($C116,'Entrada de Dados'!$A$6:$A$196,0))</f>
        <v/>
      </c>
      <c r="P116" s="243">
        <f>INDEX('Entrada de Dados'!M$6:M$196,MATCH($C116,'Entrada de Dados'!$A$6:$A$196,0))</f>
        <v/>
      </c>
      <c r="Q116" s="243">
        <f>INDEX('Entrada de Dados'!N$6:N$196,MATCH($C116,'Entrada de Dados'!$A$6:$A$196,0))</f>
        <v/>
      </c>
      <c r="R116" s="243">
        <f>INDEX('Entrada de Dados'!O$6:O$196,MATCH($C116,'Entrada de Dados'!$A$6:$A$196,0))</f>
        <v/>
      </c>
      <c r="S116" s="243">
        <f>INDEX('Entrada de Dados'!P$6:P$196,MATCH($C116,'Entrada de Dados'!$A$6:$A$196,0))</f>
        <v/>
      </c>
      <c r="T116" s="243">
        <f>INDEX('Entrada de Dados'!Q$6:Q$196,MATCH($C116,'Entrada de Dados'!$A$6:$A$196,0))</f>
        <v/>
      </c>
      <c r="U116" s="243">
        <f>INDEX('Entrada de Dados'!R$6:R$196,MATCH($C116,'Entrada de Dados'!$A$6:$A$196,0))</f>
        <v/>
      </c>
      <c r="V116" s="243">
        <f>INDEX('Entrada de Dados'!S$6:S$196,MATCH($C116,'Entrada de Dados'!$A$6:$A$196,0))</f>
        <v/>
      </c>
      <c r="W116" s="243">
        <f>INDEX('Entrada de Dados'!T$6:T$196,MATCH($C116,'Entrada de Dados'!$A$6:$A$196,0))</f>
        <v/>
      </c>
      <c r="X116" s="243">
        <f>INDEX('Entrada de Dados'!U$6:U$196,MATCH($C116,'Entrada de Dados'!$A$6:$A$196,0))</f>
        <v/>
      </c>
    </row>
    <row r="117">
      <c r="A117" s="241" t="n">
        <v>9</v>
      </c>
      <c r="B117" s="241" t="inlineStr"/>
      <c r="C117" s="241" t="inlineStr">
        <is>
          <t>1024</t>
        </is>
      </c>
      <c r="D117" s="242">
        <f>HYPERLINK("#'E M SOROPTIMISTA'!A1","E M SOROPTIMISTA")</f>
        <v/>
      </c>
      <c r="E117" s="242" t="inlineStr">
        <is>
          <t>MOSELA</t>
        </is>
      </c>
      <c r="F117" s="243">
        <f>INDEX('Entrada de Dados'!C$6:C$196,MATCH($C117,'Entrada de Dados'!$A$6:$A$196,0))</f>
        <v/>
      </c>
      <c r="G117" s="243">
        <f>INDEX('Entrada de Dados'!D$6:D$196,MATCH($C117,'Entrada de Dados'!$A$6:$A$196,0))</f>
        <v/>
      </c>
      <c r="H117" s="243">
        <f>INDEX('Entrada de Dados'!E$6:E$196,MATCH($C117,'Entrada de Dados'!$A$6:$A$196,0))</f>
        <v/>
      </c>
      <c r="I117" s="243">
        <f>INDEX('Entrada de Dados'!F$6:F$196,MATCH($C117,'Entrada de Dados'!$A$6:$A$196,0))</f>
        <v/>
      </c>
      <c r="J117" s="243">
        <f>INDEX('Entrada de Dados'!G$6:G$196,MATCH($C117,'Entrada de Dados'!$A$6:$A$196,0))</f>
        <v/>
      </c>
      <c r="K117" s="243">
        <f>INDEX('Entrada de Dados'!H$6:H$196,MATCH($C117,'Entrada de Dados'!$A$6:$A$196,0))</f>
        <v/>
      </c>
      <c r="L117" s="243">
        <f>INDEX('Entrada de Dados'!I$6:I$196,MATCH($C117,'Entrada de Dados'!$A$6:$A$196,0))</f>
        <v/>
      </c>
      <c r="M117" s="243">
        <f>INDEX('Entrada de Dados'!J$6:J$196,MATCH($C117,'Entrada de Dados'!$A$6:$A$196,0))</f>
        <v/>
      </c>
      <c r="N117" s="243">
        <f>INDEX('Entrada de Dados'!K$6:K$196,MATCH($C117,'Entrada de Dados'!$A$6:$A$196,0))</f>
        <v/>
      </c>
      <c r="O117" s="243">
        <f>INDEX('Entrada de Dados'!L$6:L$196,MATCH($C117,'Entrada de Dados'!$A$6:$A$196,0))</f>
        <v/>
      </c>
      <c r="P117" s="243">
        <f>INDEX('Entrada de Dados'!M$6:M$196,MATCH($C117,'Entrada de Dados'!$A$6:$A$196,0))</f>
        <v/>
      </c>
      <c r="Q117" s="243">
        <f>INDEX('Entrada de Dados'!N$6:N$196,MATCH($C117,'Entrada de Dados'!$A$6:$A$196,0))</f>
        <v/>
      </c>
      <c r="R117" s="243">
        <f>INDEX('Entrada de Dados'!O$6:O$196,MATCH($C117,'Entrada de Dados'!$A$6:$A$196,0))</f>
        <v/>
      </c>
      <c r="S117" s="243">
        <f>INDEX('Entrada de Dados'!P$6:P$196,MATCH($C117,'Entrada de Dados'!$A$6:$A$196,0))</f>
        <v/>
      </c>
      <c r="T117" s="243">
        <f>INDEX('Entrada de Dados'!Q$6:Q$196,MATCH($C117,'Entrada de Dados'!$A$6:$A$196,0))</f>
        <v/>
      </c>
      <c r="U117" s="243">
        <f>INDEX('Entrada de Dados'!R$6:R$196,MATCH($C117,'Entrada de Dados'!$A$6:$A$196,0))</f>
        <v/>
      </c>
      <c r="V117" s="243">
        <f>INDEX('Entrada de Dados'!S$6:S$196,MATCH($C117,'Entrada de Dados'!$A$6:$A$196,0))</f>
        <v/>
      </c>
      <c r="W117" s="243">
        <f>INDEX('Entrada de Dados'!T$6:T$196,MATCH($C117,'Entrada de Dados'!$A$6:$A$196,0))</f>
        <v/>
      </c>
      <c r="X117" s="243">
        <f>INDEX('Entrada de Dados'!U$6:U$196,MATCH($C117,'Entrada de Dados'!$A$6:$A$196,0))</f>
        <v/>
      </c>
    </row>
    <row r="118" ht="22" customHeight="1" s="107">
      <c r="A118" s="248" t="inlineStr">
        <is>
          <t>Peso previsto:</t>
        </is>
      </c>
      <c r="C118" s="249">
        <f>SUM(F108:F117)+SUM(G108:G117)+SUM(H108:H117)+SUM(I108:I117)+SUM(J108:J117)+SUM(K108:K117)+SUM(L108:L117)+SUM(M108:M117)+SUM(N108:N117)+SUM(O108:O117)+SUM(P108:P117)+SUM(Q108:Q117)+SUM(R108:R117)+SUM(S108:S117)+SUM(T108:T117)+SUM(U108:U117)+SUM(W108:W117)+SUM(X108:X117)</f>
        <v/>
      </c>
      <c r="D118" s="248" t="inlineStr">
        <is>
          <t>Peso embarcado (kg):</t>
        </is>
      </c>
      <c r="F118" s="250" t="n"/>
      <c r="G118" s="248" t="inlineStr">
        <is>
          <t>Veículo:</t>
        </is>
      </c>
      <c r="I118" s="250" t="n"/>
      <c r="J118" s="251" t="n"/>
      <c r="K118" s="248" t="inlineStr">
        <is>
          <t>Motorista:</t>
        </is>
      </c>
      <c r="M118" s="250" t="n"/>
      <c r="N118" s="252" t="n"/>
      <c r="O118" s="252" t="n"/>
      <c r="P118" s="252" t="n"/>
      <c r="Q118" s="252" t="n"/>
      <c r="R118" s="252" t="n"/>
      <c r="S118" s="252" t="n"/>
      <c r="T118" s="252" t="n"/>
      <c r="U118" s="252" t="n"/>
      <c r="V118" s="252" t="n"/>
      <c r="W118" s="252" t="n"/>
      <c r="X118" s="251" t="n"/>
    </row>
    <row r="120" ht="20" customHeight="1" s="107">
      <c r="A120" s="236" t="inlineStr">
        <is>
          <t>ROTA S8 —  · KOMBI · 10 escolas · 9 paradas físicas</t>
        </is>
      </c>
    </row>
    <row r="121" ht="26" customHeight="1" s="107">
      <c r="A121" s="238" t="inlineStr">
        <is>
          <t>Sequência-base: Galpão Itaipava &gt; Pedro do Rio &gt; Taquaril &gt; Secretário &gt; Vila Rica &gt; Galpão   Atenção: Taquaril é candidato a último trecho por moto apenas se o pedido couber com segurança; não definir antes do peso.</t>
        </is>
      </c>
    </row>
    <row r="122" ht="30" customHeight="1" s="107">
      <c r="A122" s="240" t="inlineStr">
        <is>
          <t>PAR.</t>
        </is>
      </c>
      <c r="B122" s="240" t="inlineStr">
        <is>
          <t>SUB</t>
        </is>
      </c>
      <c r="C122" s="240" t="inlineStr">
        <is>
          <t>CÓDIGO</t>
        </is>
      </c>
      <c r="D122" s="240" t="inlineStr">
        <is>
          <t>ESCOLA</t>
        </is>
      </c>
      <c r="E122" s="240" t="inlineStr">
        <is>
          <t>BAIRRO/CORREDOR</t>
        </is>
      </c>
      <c r="F122" s="240" t="inlineStr">
        <is>
          <t>Abacate</t>
        </is>
      </c>
      <c r="G122" s="240" t="inlineStr">
        <is>
          <t>Abobrinha</t>
        </is>
      </c>
      <c r="H122" s="240" t="inlineStr">
        <is>
          <t>Agrião</t>
        </is>
      </c>
      <c r="I122" s="240" t="inlineStr">
        <is>
          <t>Alface lisa</t>
        </is>
      </c>
      <c r="J122" s="240" t="inlineStr">
        <is>
          <t>Banana prata</t>
        </is>
      </c>
      <c r="K122" s="240" t="inlineStr">
        <is>
          <t>Batata inglesa</t>
        </is>
      </c>
      <c r="L122" s="240" t="inlineStr">
        <is>
          <t>Beterraba</t>
        </is>
      </c>
      <c r="M122" s="240" t="inlineStr">
        <is>
          <t>Brócolis</t>
        </is>
      </c>
      <c r="N122" s="240" t="inlineStr">
        <is>
          <t>Cenoura</t>
        </is>
      </c>
      <c r="O122" s="240" t="inlineStr">
        <is>
          <t>Cheiro verde</t>
        </is>
      </c>
      <c r="P122" s="240" t="inlineStr">
        <is>
          <t>Chuchu</t>
        </is>
      </c>
      <c r="Q122" s="240" t="inlineStr">
        <is>
          <t>Couve manteiga</t>
        </is>
      </c>
      <c r="R122" s="240" t="inlineStr">
        <is>
          <t>Couve-flor</t>
        </is>
      </c>
      <c r="S122" s="240" t="inlineStr">
        <is>
          <t>Espinafre</t>
        </is>
      </c>
      <c r="T122" s="240" t="inlineStr">
        <is>
          <t>Maçã gala</t>
        </is>
      </c>
      <c r="U122" s="240" t="inlineStr">
        <is>
          <t>Mel</t>
        </is>
      </c>
      <c r="V122" s="240" t="inlineStr">
        <is>
          <t>Ovos (dz)</t>
        </is>
      </c>
      <c r="W122" s="240" t="inlineStr">
        <is>
          <t>Repolho</t>
        </is>
      </c>
      <c r="X122" s="240" t="inlineStr">
        <is>
          <t>Tangerina ponkan</t>
        </is>
      </c>
    </row>
    <row r="123">
      <c r="A123" s="241" t="n">
        <v>1</v>
      </c>
      <c r="B123" s="241" t="inlineStr"/>
      <c r="C123" s="241" t="inlineStr">
        <is>
          <t>1099</t>
        </is>
      </c>
      <c r="D123" s="242">
        <f>HYPERLINK("#'E M MONSENHOR JOÃO DE DEUS RODR'!A1","E M MONSENHOR JOÃO DE DEUS RODRIGUES")</f>
        <v/>
      </c>
      <c r="E123" s="242" t="inlineStr">
        <is>
          <t>PEDRO DO RIO</t>
        </is>
      </c>
      <c r="F123" s="243">
        <f>INDEX('Entrada de Dados'!C$6:C$196,MATCH($C123,'Entrada de Dados'!$A$6:$A$196,0))</f>
        <v/>
      </c>
      <c r="G123" s="243">
        <f>INDEX('Entrada de Dados'!D$6:D$196,MATCH($C123,'Entrada de Dados'!$A$6:$A$196,0))</f>
        <v/>
      </c>
      <c r="H123" s="243">
        <f>INDEX('Entrada de Dados'!E$6:E$196,MATCH($C123,'Entrada de Dados'!$A$6:$A$196,0))</f>
        <v/>
      </c>
      <c r="I123" s="243">
        <f>INDEX('Entrada de Dados'!F$6:F$196,MATCH($C123,'Entrada de Dados'!$A$6:$A$196,0))</f>
        <v/>
      </c>
      <c r="J123" s="243">
        <f>INDEX('Entrada de Dados'!G$6:G$196,MATCH($C123,'Entrada de Dados'!$A$6:$A$196,0))</f>
        <v/>
      </c>
      <c r="K123" s="243">
        <f>INDEX('Entrada de Dados'!H$6:H$196,MATCH($C123,'Entrada de Dados'!$A$6:$A$196,0))</f>
        <v/>
      </c>
      <c r="L123" s="243">
        <f>INDEX('Entrada de Dados'!I$6:I$196,MATCH($C123,'Entrada de Dados'!$A$6:$A$196,0))</f>
        <v/>
      </c>
      <c r="M123" s="243">
        <f>INDEX('Entrada de Dados'!J$6:J$196,MATCH($C123,'Entrada de Dados'!$A$6:$A$196,0))</f>
        <v/>
      </c>
      <c r="N123" s="243">
        <f>INDEX('Entrada de Dados'!K$6:K$196,MATCH($C123,'Entrada de Dados'!$A$6:$A$196,0))</f>
        <v/>
      </c>
      <c r="O123" s="243">
        <f>INDEX('Entrada de Dados'!L$6:L$196,MATCH($C123,'Entrada de Dados'!$A$6:$A$196,0))</f>
        <v/>
      </c>
      <c r="P123" s="243">
        <f>INDEX('Entrada de Dados'!M$6:M$196,MATCH($C123,'Entrada de Dados'!$A$6:$A$196,0))</f>
        <v/>
      </c>
      <c r="Q123" s="243">
        <f>INDEX('Entrada de Dados'!N$6:N$196,MATCH($C123,'Entrada de Dados'!$A$6:$A$196,0))</f>
        <v/>
      </c>
      <c r="R123" s="243">
        <f>INDEX('Entrada de Dados'!O$6:O$196,MATCH($C123,'Entrada de Dados'!$A$6:$A$196,0))</f>
        <v/>
      </c>
      <c r="S123" s="243">
        <f>INDEX('Entrada de Dados'!P$6:P$196,MATCH($C123,'Entrada de Dados'!$A$6:$A$196,0))</f>
        <v/>
      </c>
      <c r="T123" s="243">
        <f>INDEX('Entrada de Dados'!Q$6:Q$196,MATCH($C123,'Entrada de Dados'!$A$6:$A$196,0))</f>
        <v/>
      </c>
      <c r="U123" s="243">
        <f>INDEX('Entrada de Dados'!R$6:R$196,MATCH($C123,'Entrada de Dados'!$A$6:$A$196,0))</f>
        <v/>
      </c>
      <c r="V123" s="243">
        <f>INDEX('Entrada de Dados'!S$6:S$196,MATCH($C123,'Entrada de Dados'!$A$6:$A$196,0))</f>
        <v/>
      </c>
      <c r="W123" s="243">
        <f>INDEX('Entrada de Dados'!T$6:T$196,MATCH($C123,'Entrada de Dados'!$A$6:$A$196,0))</f>
        <v/>
      </c>
      <c r="X123" s="243">
        <f>INDEX('Entrada de Dados'!U$6:U$196,MATCH($C123,'Entrada de Dados'!$A$6:$A$196,0))</f>
        <v/>
      </c>
    </row>
    <row r="124">
      <c r="A124" s="241" t="n">
        <v>2</v>
      </c>
      <c r="B124" s="241" t="inlineStr"/>
      <c r="C124" s="241" t="inlineStr">
        <is>
          <t>3043</t>
        </is>
      </c>
      <c r="D124" s="242">
        <f>HYPERLINK("#'CEI PROFª GRAÇA COSTA'!A1","CEI PROFª GRAÇA COSTA")</f>
        <v/>
      </c>
      <c r="E124" s="242" t="inlineStr">
        <is>
          <t>PEDRO DO RIO</t>
        </is>
      </c>
      <c r="F124" s="243">
        <f>INDEX('Entrada de Dados'!C$6:C$196,MATCH($C124,'Entrada de Dados'!$A$6:$A$196,0))</f>
        <v/>
      </c>
      <c r="G124" s="243">
        <f>INDEX('Entrada de Dados'!D$6:D$196,MATCH($C124,'Entrada de Dados'!$A$6:$A$196,0))</f>
        <v/>
      </c>
      <c r="H124" s="243">
        <f>INDEX('Entrada de Dados'!E$6:E$196,MATCH($C124,'Entrada de Dados'!$A$6:$A$196,0))</f>
        <v/>
      </c>
      <c r="I124" s="243">
        <f>INDEX('Entrada de Dados'!F$6:F$196,MATCH($C124,'Entrada de Dados'!$A$6:$A$196,0))</f>
        <v/>
      </c>
      <c r="J124" s="243">
        <f>INDEX('Entrada de Dados'!G$6:G$196,MATCH($C124,'Entrada de Dados'!$A$6:$A$196,0))</f>
        <v/>
      </c>
      <c r="K124" s="243">
        <f>INDEX('Entrada de Dados'!H$6:H$196,MATCH($C124,'Entrada de Dados'!$A$6:$A$196,0))</f>
        <v/>
      </c>
      <c r="L124" s="243">
        <f>INDEX('Entrada de Dados'!I$6:I$196,MATCH($C124,'Entrada de Dados'!$A$6:$A$196,0))</f>
        <v/>
      </c>
      <c r="M124" s="243">
        <f>INDEX('Entrada de Dados'!J$6:J$196,MATCH($C124,'Entrada de Dados'!$A$6:$A$196,0))</f>
        <v/>
      </c>
      <c r="N124" s="243">
        <f>INDEX('Entrada de Dados'!K$6:K$196,MATCH($C124,'Entrada de Dados'!$A$6:$A$196,0))</f>
        <v/>
      </c>
      <c r="O124" s="243">
        <f>INDEX('Entrada de Dados'!L$6:L$196,MATCH($C124,'Entrada de Dados'!$A$6:$A$196,0))</f>
        <v/>
      </c>
      <c r="P124" s="243">
        <f>INDEX('Entrada de Dados'!M$6:M$196,MATCH($C124,'Entrada de Dados'!$A$6:$A$196,0))</f>
        <v/>
      </c>
      <c r="Q124" s="243">
        <f>INDEX('Entrada de Dados'!N$6:N$196,MATCH($C124,'Entrada de Dados'!$A$6:$A$196,0))</f>
        <v/>
      </c>
      <c r="R124" s="243">
        <f>INDEX('Entrada de Dados'!O$6:O$196,MATCH($C124,'Entrada de Dados'!$A$6:$A$196,0))</f>
        <v/>
      </c>
      <c r="S124" s="243">
        <f>INDEX('Entrada de Dados'!P$6:P$196,MATCH($C124,'Entrada de Dados'!$A$6:$A$196,0))</f>
        <v/>
      </c>
      <c r="T124" s="243">
        <f>INDEX('Entrada de Dados'!Q$6:Q$196,MATCH($C124,'Entrada de Dados'!$A$6:$A$196,0))</f>
        <v/>
      </c>
      <c r="U124" s="243">
        <f>INDEX('Entrada de Dados'!R$6:R$196,MATCH($C124,'Entrada de Dados'!$A$6:$A$196,0))</f>
        <v/>
      </c>
      <c r="V124" s="243">
        <f>INDEX('Entrada de Dados'!S$6:S$196,MATCH($C124,'Entrada de Dados'!$A$6:$A$196,0))</f>
        <v/>
      </c>
      <c r="W124" s="243">
        <f>INDEX('Entrada de Dados'!T$6:T$196,MATCH($C124,'Entrada de Dados'!$A$6:$A$196,0))</f>
        <v/>
      </c>
      <c r="X124" s="243">
        <f>INDEX('Entrada de Dados'!U$6:U$196,MATCH($C124,'Entrada de Dados'!$A$6:$A$196,0))</f>
        <v/>
      </c>
    </row>
    <row r="125">
      <c r="A125" s="253" t="n">
        <v>3</v>
      </c>
      <c r="B125" s="253" t="inlineStr">
        <is>
          <t>A</t>
        </is>
      </c>
      <c r="C125" s="254" t="inlineStr">
        <is>
          <t>1119</t>
        </is>
      </c>
      <c r="D125" s="255">
        <f>HYPERLINK("#'CENTRO DE REFERÊNCIA EM EDUC 2'!A1","CENTRO DE REFERÊNCIA EM EDUCAÇÃO INCLUSIVA ALINE DE SOUZA CORREA")</f>
        <v/>
      </c>
      <c r="E125" s="255" t="inlineStr">
        <is>
          <t>PEDRO DO RIO</t>
        </is>
      </c>
      <c r="F125" s="256">
        <f>INDEX('Entrada de Dados'!C$6:C$196,MATCH($C125,'Entrada de Dados'!$A$6:$A$196,0))</f>
        <v/>
      </c>
      <c r="G125" s="256">
        <f>INDEX('Entrada de Dados'!D$6:D$196,MATCH($C125,'Entrada de Dados'!$A$6:$A$196,0))</f>
        <v/>
      </c>
      <c r="H125" s="256">
        <f>INDEX('Entrada de Dados'!E$6:E$196,MATCH($C125,'Entrada de Dados'!$A$6:$A$196,0))</f>
        <v/>
      </c>
      <c r="I125" s="256">
        <f>INDEX('Entrada de Dados'!F$6:F$196,MATCH($C125,'Entrada de Dados'!$A$6:$A$196,0))</f>
        <v/>
      </c>
      <c r="J125" s="256">
        <f>INDEX('Entrada de Dados'!G$6:G$196,MATCH($C125,'Entrada de Dados'!$A$6:$A$196,0))</f>
        <v/>
      </c>
      <c r="K125" s="256">
        <f>INDEX('Entrada de Dados'!H$6:H$196,MATCH($C125,'Entrada de Dados'!$A$6:$A$196,0))</f>
        <v/>
      </c>
      <c r="L125" s="256">
        <f>INDEX('Entrada de Dados'!I$6:I$196,MATCH($C125,'Entrada de Dados'!$A$6:$A$196,0))</f>
        <v/>
      </c>
      <c r="M125" s="256">
        <f>INDEX('Entrada de Dados'!J$6:J$196,MATCH($C125,'Entrada de Dados'!$A$6:$A$196,0))</f>
        <v/>
      </c>
      <c r="N125" s="256">
        <f>INDEX('Entrada de Dados'!K$6:K$196,MATCH($C125,'Entrada de Dados'!$A$6:$A$196,0))</f>
        <v/>
      </c>
      <c r="O125" s="256">
        <f>INDEX('Entrada de Dados'!L$6:L$196,MATCH($C125,'Entrada de Dados'!$A$6:$A$196,0))</f>
        <v/>
      </c>
      <c r="P125" s="256">
        <f>INDEX('Entrada de Dados'!M$6:M$196,MATCH($C125,'Entrada de Dados'!$A$6:$A$196,0))</f>
        <v/>
      </c>
      <c r="Q125" s="256">
        <f>INDEX('Entrada de Dados'!N$6:N$196,MATCH($C125,'Entrada de Dados'!$A$6:$A$196,0))</f>
        <v/>
      </c>
      <c r="R125" s="256">
        <f>INDEX('Entrada de Dados'!O$6:O$196,MATCH($C125,'Entrada de Dados'!$A$6:$A$196,0))</f>
        <v/>
      </c>
      <c r="S125" s="256">
        <f>INDEX('Entrada de Dados'!P$6:P$196,MATCH($C125,'Entrada de Dados'!$A$6:$A$196,0))</f>
        <v/>
      </c>
      <c r="T125" s="256">
        <f>INDEX('Entrada de Dados'!Q$6:Q$196,MATCH($C125,'Entrada de Dados'!$A$6:$A$196,0))</f>
        <v/>
      </c>
      <c r="U125" s="256">
        <f>INDEX('Entrada de Dados'!R$6:R$196,MATCH($C125,'Entrada de Dados'!$A$6:$A$196,0))</f>
        <v/>
      </c>
      <c r="V125" s="256">
        <f>INDEX('Entrada de Dados'!S$6:S$196,MATCH($C125,'Entrada de Dados'!$A$6:$A$196,0))</f>
        <v/>
      </c>
      <c r="W125" s="256">
        <f>INDEX('Entrada de Dados'!T$6:T$196,MATCH($C125,'Entrada de Dados'!$A$6:$A$196,0))</f>
        <v/>
      </c>
      <c r="X125" s="256">
        <f>INDEX('Entrada de Dados'!U$6:U$196,MATCH($C125,'Entrada de Dados'!$A$6:$A$196,0))</f>
        <v/>
      </c>
    </row>
    <row r="126">
      <c r="A126" s="253" t="n">
        <v>3</v>
      </c>
      <c r="B126" s="253" t="inlineStr">
        <is>
          <t>B</t>
        </is>
      </c>
      <c r="C126" s="254" t="inlineStr">
        <is>
          <t>3074</t>
        </is>
      </c>
      <c r="D126" s="255">
        <f>HYPERLINK("#'CEI NILO PEÇANHA'!A1","CEI NILO PEÇANHA")</f>
        <v/>
      </c>
      <c r="E126" s="255" t="inlineStr">
        <is>
          <t>PEDRO DO RIO</t>
        </is>
      </c>
      <c r="F126" s="256">
        <f>INDEX('Entrada de Dados'!C$6:C$196,MATCH($C126,'Entrada de Dados'!$A$6:$A$196,0))</f>
        <v/>
      </c>
      <c r="G126" s="256">
        <f>INDEX('Entrada de Dados'!D$6:D$196,MATCH($C126,'Entrada de Dados'!$A$6:$A$196,0))</f>
        <v/>
      </c>
      <c r="H126" s="256">
        <f>INDEX('Entrada de Dados'!E$6:E$196,MATCH($C126,'Entrada de Dados'!$A$6:$A$196,0))</f>
        <v/>
      </c>
      <c r="I126" s="256">
        <f>INDEX('Entrada de Dados'!F$6:F$196,MATCH($C126,'Entrada de Dados'!$A$6:$A$196,0))</f>
        <v/>
      </c>
      <c r="J126" s="256">
        <f>INDEX('Entrada de Dados'!G$6:G$196,MATCH($C126,'Entrada de Dados'!$A$6:$A$196,0))</f>
        <v/>
      </c>
      <c r="K126" s="256">
        <f>INDEX('Entrada de Dados'!H$6:H$196,MATCH($C126,'Entrada de Dados'!$A$6:$A$196,0))</f>
        <v/>
      </c>
      <c r="L126" s="256">
        <f>INDEX('Entrada de Dados'!I$6:I$196,MATCH($C126,'Entrada de Dados'!$A$6:$A$196,0))</f>
        <v/>
      </c>
      <c r="M126" s="256">
        <f>INDEX('Entrada de Dados'!J$6:J$196,MATCH($C126,'Entrada de Dados'!$A$6:$A$196,0))</f>
        <v/>
      </c>
      <c r="N126" s="256">
        <f>INDEX('Entrada de Dados'!K$6:K$196,MATCH($C126,'Entrada de Dados'!$A$6:$A$196,0))</f>
        <v/>
      </c>
      <c r="O126" s="256">
        <f>INDEX('Entrada de Dados'!L$6:L$196,MATCH($C126,'Entrada de Dados'!$A$6:$A$196,0))</f>
        <v/>
      </c>
      <c r="P126" s="256">
        <f>INDEX('Entrada de Dados'!M$6:M$196,MATCH($C126,'Entrada de Dados'!$A$6:$A$196,0))</f>
        <v/>
      </c>
      <c r="Q126" s="256">
        <f>INDEX('Entrada de Dados'!N$6:N$196,MATCH($C126,'Entrada de Dados'!$A$6:$A$196,0))</f>
        <v/>
      </c>
      <c r="R126" s="256">
        <f>INDEX('Entrada de Dados'!O$6:O$196,MATCH($C126,'Entrada de Dados'!$A$6:$A$196,0))</f>
        <v/>
      </c>
      <c r="S126" s="256">
        <f>INDEX('Entrada de Dados'!P$6:P$196,MATCH($C126,'Entrada de Dados'!$A$6:$A$196,0))</f>
        <v/>
      </c>
      <c r="T126" s="256">
        <f>INDEX('Entrada de Dados'!Q$6:Q$196,MATCH($C126,'Entrada de Dados'!$A$6:$A$196,0))</f>
        <v/>
      </c>
      <c r="U126" s="256">
        <f>INDEX('Entrada de Dados'!R$6:R$196,MATCH($C126,'Entrada de Dados'!$A$6:$A$196,0))</f>
        <v/>
      </c>
      <c r="V126" s="256">
        <f>INDEX('Entrada de Dados'!S$6:S$196,MATCH($C126,'Entrada de Dados'!$A$6:$A$196,0))</f>
        <v/>
      </c>
      <c r="W126" s="256">
        <f>INDEX('Entrada de Dados'!T$6:T$196,MATCH($C126,'Entrada de Dados'!$A$6:$A$196,0))</f>
        <v/>
      </c>
      <c r="X126" s="256">
        <f>INDEX('Entrada de Dados'!U$6:U$196,MATCH($C126,'Entrada de Dados'!$A$6:$A$196,0))</f>
        <v/>
      </c>
    </row>
    <row r="127">
      <c r="A127" s="241" t="n">
        <v>4</v>
      </c>
      <c r="B127" s="241" t="inlineStr"/>
      <c r="C127" s="241" t="inlineStr">
        <is>
          <t>3050</t>
        </is>
      </c>
      <c r="D127" s="242">
        <f>HYPERLINK("#'CEI VILA LEOPOLDINA'!A1","CEI VILA LEOPOLDINA")</f>
        <v/>
      </c>
      <c r="E127" s="242" t="inlineStr">
        <is>
          <t>PEDRO DO RIO</t>
        </is>
      </c>
      <c r="F127" s="243">
        <f>INDEX('Entrada de Dados'!C$6:C$196,MATCH($C127,'Entrada de Dados'!$A$6:$A$196,0))</f>
        <v/>
      </c>
      <c r="G127" s="243">
        <f>INDEX('Entrada de Dados'!D$6:D$196,MATCH($C127,'Entrada de Dados'!$A$6:$A$196,0))</f>
        <v/>
      </c>
      <c r="H127" s="243">
        <f>INDEX('Entrada de Dados'!E$6:E$196,MATCH($C127,'Entrada de Dados'!$A$6:$A$196,0))</f>
        <v/>
      </c>
      <c r="I127" s="243">
        <f>INDEX('Entrada de Dados'!F$6:F$196,MATCH($C127,'Entrada de Dados'!$A$6:$A$196,0))</f>
        <v/>
      </c>
      <c r="J127" s="243">
        <f>INDEX('Entrada de Dados'!G$6:G$196,MATCH($C127,'Entrada de Dados'!$A$6:$A$196,0))</f>
        <v/>
      </c>
      <c r="K127" s="243">
        <f>INDEX('Entrada de Dados'!H$6:H$196,MATCH($C127,'Entrada de Dados'!$A$6:$A$196,0))</f>
        <v/>
      </c>
      <c r="L127" s="243">
        <f>INDEX('Entrada de Dados'!I$6:I$196,MATCH($C127,'Entrada de Dados'!$A$6:$A$196,0))</f>
        <v/>
      </c>
      <c r="M127" s="243">
        <f>INDEX('Entrada de Dados'!J$6:J$196,MATCH($C127,'Entrada de Dados'!$A$6:$A$196,0))</f>
        <v/>
      </c>
      <c r="N127" s="243">
        <f>INDEX('Entrada de Dados'!K$6:K$196,MATCH($C127,'Entrada de Dados'!$A$6:$A$196,0))</f>
        <v/>
      </c>
      <c r="O127" s="243">
        <f>INDEX('Entrada de Dados'!L$6:L$196,MATCH($C127,'Entrada de Dados'!$A$6:$A$196,0))</f>
        <v/>
      </c>
      <c r="P127" s="243">
        <f>INDEX('Entrada de Dados'!M$6:M$196,MATCH($C127,'Entrada de Dados'!$A$6:$A$196,0))</f>
        <v/>
      </c>
      <c r="Q127" s="243">
        <f>INDEX('Entrada de Dados'!N$6:N$196,MATCH($C127,'Entrada de Dados'!$A$6:$A$196,0))</f>
        <v/>
      </c>
      <c r="R127" s="243">
        <f>INDEX('Entrada de Dados'!O$6:O$196,MATCH($C127,'Entrada de Dados'!$A$6:$A$196,0))</f>
        <v/>
      </c>
      <c r="S127" s="243">
        <f>INDEX('Entrada de Dados'!P$6:P$196,MATCH($C127,'Entrada de Dados'!$A$6:$A$196,0))</f>
        <v/>
      </c>
      <c r="T127" s="243">
        <f>INDEX('Entrada de Dados'!Q$6:Q$196,MATCH($C127,'Entrada de Dados'!$A$6:$A$196,0))</f>
        <v/>
      </c>
      <c r="U127" s="243">
        <f>INDEX('Entrada de Dados'!R$6:R$196,MATCH($C127,'Entrada de Dados'!$A$6:$A$196,0))</f>
        <v/>
      </c>
      <c r="V127" s="243">
        <f>INDEX('Entrada de Dados'!S$6:S$196,MATCH($C127,'Entrada de Dados'!$A$6:$A$196,0))</f>
        <v/>
      </c>
      <c r="W127" s="243">
        <f>INDEX('Entrada de Dados'!T$6:T$196,MATCH($C127,'Entrada de Dados'!$A$6:$A$196,0))</f>
        <v/>
      </c>
      <c r="X127" s="243">
        <f>INDEX('Entrada de Dados'!U$6:U$196,MATCH($C127,'Entrada de Dados'!$A$6:$A$196,0))</f>
        <v/>
      </c>
    </row>
    <row r="128">
      <c r="A128" s="241" t="n">
        <v>5</v>
      </c>
      <c r="B128" s="241" t="inlineStr"/>
      <c r="C128" s="241" t="inlineStr">
        <is>
          <t>1065</t>
        </is>
      </c>
      <c r="D128" s="242">
        <f>HYPERLINK("#'E M TAQUARIL'!A1","E M TAQUARIL")</f>
        <v/>
      </c>
      <c r="E128" s="242" t="inlineStr">
        <is>
          <t>PEDRO DO RIO</t>
        </is>
      </c>
      <c r="F128" s="243">
        <f>INDEX('Entrada de Dados'!C$6:C$196,MATCH($C128,'Entrada de Dados'!$A$6:$A$196,0))</f>
        <v/>
      </c>
      <c r="G128" s="243">
        <f>INDEX('Entrada de Dados'!D$6:D$196,MATCH($C128,'Entrada de Dados'!$A$6:$A$196,0))</f>
        <v/>
      </c>
      <c r="H128" s="243">
        <f>INDEX('Entrada de Dados'!E$6:E$196,MATCH($C128,'Entrada de Dados'!$A$6:$A$196,0))</f>
        <v/>
      </c>
      <c r="I128" s="243">
        <f>INDEX('Entrada de Dados'!F$6:F$196,MATCH($C128,'Entrada de Dados'!$A$6:$A$196,0))</f>
        <v/>
      </c>
      <c r="J128" s="243">
        <f>INDEX('Entrada de Dados'!G$6:G$196,MATCH($C128,'Entrada de Dados'!$A$6:$A$196,0))</f>
        <v/>
      </c>
      <c r="K128" s="243">
        <f>INDEX('Entrada de Dados'!H$6:H$196,MATCH($C128,'Entrada de Dados'!$A$6:$A$196,0))</f>
        <v/>
      </c>
      <c r="L128" s="243">
        <f>INDEX('Entrada de Dados'!I$6:I$196,MATCH($C128,'Entrada de Dados'!$A$6:$A$196,0))</f>
        <v/>
      </c>
      <c r="M128" s="243">
        <f>INDEX('Entrada de Dados'!J$6:J$196,MATCH($C128,'Entrada de Dados'!$A$6:$A$196,0))</f>
        <v/>
      </c>
      <c r="N128" s="243">
        <f>INDEX('Entrada de Dados'!K$6:K$196,MATCH($C128,'Entrada de Dados'!$A$6:$A$196,0))</f>
        <v/>
      </c>
      <c r="O128" s="243">
        <f>INDEX('Entrada de Dados'!L$6:L$196,MATCH($C128,'Entrada de Dados'!$A$6:$A$196,0))</f>
        <v/>
      </c>
      <c r="P128" s="243">
        <f>INDEX('Entrada de Dados'!M$6:M$196,MATCH($C128,'Entrada de Dados'!$A$6:$A$196,0))</f>
        <v/>
      </c>
      <c r="Q128" s="243">
        <f>INDEX('Entrada de Dados'!N$6:N$196,MATCH($C128,'Entrada de Dados'!$A$6:$A$196,0))</f>
        <v/>
      </c>
      <c r="R128" s="243">
        <f>INDEX('Entrada de Dados'!O$6:O$196,MATCH($C128,'Entrada de Dados'!$A$6:$A$196,0))</f>
        <v/>
      </c>
      <c r="S128" s="243">
        <f>INDEX('Entrada de Dados'!P$6:P$196,MATCH($C128,'Entrada de Dados'!$A$6:$A$196,0))</f>
        <v/>
      </c>
      <c r="T128" s="243">
        <f>INDEX('Entrada de Dados'!Q$6:Q$196,MATCH($C128,'Entrada de Dados'!$A$6:$A$196,0))</f>
        <v/>
      </c>
      <c r="U128" s="243">
        <f>INDEX('Entrada de Dados'!R$6:R$196,MATCH($C128,'Entrada de Dados'!$A$6:$A$196,0))</f>
        <v/>
      </c>
      <c r="V128" s="243">
        <f>INDEX('Entrada de Dados'!S$6:S$196,MATCH($C128,'Entrada de Dados'!$A$6:$A$196,0))</f>
        <v/>
      </c>
      <c r="W128" s="243">
        <f>INDEX('Entrada de Dados'!T$6:T$196,MATCH($C128,'Entrada de Dados'!$A$6:$A$196,0))</f>
        <v/>
      </c>
      <c r="X128" s="243">
        <f>INDEX('Entrada de Dados'!U$6:U$196,MATCH($C128,'Entrada de Dados'!$A$6:$A$196,0))</f>
        <v/>
      </c>
    </row>
    <row r="129">
      <c r="A129" s="241" t="n">
        <v>6</v>
      </c>
      <c r="B129" s="241" t="inlineStr"/>
      <c r="C129" s="241" t="inlineStr">
        <is>
          <t>1057</t>
        </is>
      </c>
      <c r="D129" s="242">
        <f>HYPERLINK("#'E M DR BARROS FRANCO'!A1","E M DR BARROS FRANCO")</f>
        <v/>
      </c>
      <c r="E129" s="242" t="inlineStr">
        <is>
          <t>SECRETÁRIO</t>
        </is>
      </c>
      <c r="F129" s="243">
        <f>INDEX('Entrada de Dados'!C$6:C$196,MATCH($C129,'Entrada de Dados'!$A$6:$A$196,0))</f>
        <v/>
      </c>
      <c r="G129" s="243">
        <f>INDEX('Entrada de Dados'!D$6:D$196,MATCH($C129,'Entrada de Dados'!$A$6:$A$196,0))</f>
        <v/>
      </c>
      <c r="H129" s="243">
        <f>INDEX('Entrada de Dados'!E$6:E$196,MATCH($C129,'Entrada de Dados'!$A$6:$A$196,0))</f>
        <v/>
      </c>
      <c r="I129" s="243">
        <f>INDEX('Entrada de Dados'!F$6:F$196,MATCH($C129,'Entrada de Dados'!$A$6:$A$196,0))</f>
        <v/>
      </c>
      <c r="J129" s="243">
        <f>INDEX('Entrada de Dados'!G$6:G$196,MATCH($C129,'Entrada de Dados'!$A$6:$A$196,0))</f>
        <v/>
      </c>
      <c r="K129" s="243">
        <f>INDEX('Entrada de Dados'!H$6:H$196,MATCH($C129,'Entrada de Dados'!$A$6:$A$196,0))</f>
        <v/>
      </c>
      <c r="L129" s="243">
        <f>INDEX('Entrada de Dados'!I$6:I$196,MATCH($C129,'Entrada de Dados'!$A$6:$A$196,0))</f>
        <v/>
      </c>
      <c r="M129" s="243">
        <f>INDEX('Entrada de Dados'!J$6:J$196,MATCH($C129,'Entrada de Dados'!$A$6:$A$196,0))</f>
        <v/>
      </c>
      <c r="N129" s="243">
        <f>INDEX('Entrada de Dados'!K$6:K$196,MATCH($C129,'Entrada de Dados'!$A$6:$A$196,0))</f>
        <v/>
      </c>
      <c r="O129" s="243">
        <f>INDEX('Entrada de Dados'!L$6:L$196,MATCH($C129,'Entrada de Dados'!$A$6:$A$196,0))</f>
        <v/>
      </c>
      <c r="P129" s="243">
        <f>INDEX('Entrada de Dados'!M$6:M$196,MATCH($C129,'Entrada de Dados'!$A$6:$A$196,0))</f>
        <v/>
      </c>
      <c r="Q129" s="243">
        <f>INDEX('Entrada de Dados'!N$6:N$196,MATCH($C129,'Entrada de Dados'!$A$6:$A$196,0))</f>
        <v/>
      </c>
      <c r="R129" s="243">
        <f>INDEX('Entrada de Dados'!O$6:O$196,MATCH($C129,'Entrada de Dados'!$A$6:$A$196,0))</f>
        <v/>
      </c>
      <c r="S129" s="243">
        <f>INDEX('Entrada de Dados'!P$6:P$196,MATCH($C129,'Entrada de Dados'!$A$6:$A$196,0))</f>
        <v/>
      </c>
      <c r="T129" s="243">
        <f>INDEX('Entrada de Dados'!Q$6:Q$196,MATCH($C129,'Entrada de Dados'!$A$6:$A$196,0))</f>
        <v/>
      </c>
      <c r="U129" s="243">
        <f>INDEX('Entrada de Dados'!R$6:R$196,MATCH($C129,'Entrada de Dados'!$A$6:$A$196,0))</f>
        <v/>
      </c>
      <c r="V129" s="243">
        <f>INDEX('Entrada de Dados'!S$6:S$196,MATCH($C129,'Entrada de Dados'!$A$6:$A$196,0))</f>
        <v/>
      </c>
      <c r="W129" s="243">
        <f>INDEX('Entrada de Dados'!T$6:T$196,MATCH($C129,'Entrada de Dados'!$A$6:$A$196,0))</f>
        <v/>
      </c>
      <c r="X129" s="243">
        <f>INDEX('Entrada de Dados'!U$6:U$196,MATCH($C129,'Entrada de Dados'!$A$6:$A$196,0))</f>
        <v/>
      </c>
    </row>
    <row r="130">
      <c r="A130" s="241" t="n">
        <v>7</v>
      </c>
      <c r="B130" s="241" t="inlineStr"/>
      <c r="C130" s="241" t="inlineStr">
        <is>
          <t>1060</t>
        </is>
      </c>
      <c r="D130" s="242">
        <f>HYPERLINK("#'E M MAJOR THEÓFILO DE CARVALHO'!A1","E M MAJOR THEÓFILO DE CARVALHO")</f>
        <v/>
      </c>
      <c r="E130" s="242" t="inlineStr">
        <is>
          <t>SECRETÁRIO</t>
        </is>
      </c>
      <c r="F130" s="243">
        <f>INDEX('Entrada de Dados'!C$6:C$196,MATCH($C130,'Entrada de Dados'!$A$6:$A$196,0))</f>
        <v/>
      </c>
      <c r="G130" s="243">
        <f>INDEX('Entrada de Dados'!D$6:D$196,MATCH($C130,'Entrada de Dados'!$A$6:$A$196,0))</f>
        <v/>
      </c>
      <c r="H130" s="243">
        <f>INDEX('Entrada de Dados'!E$6:E$196,MATCH($C130,'Entrada de Dados'!$A$6:$A$196,0))</f>
        <v/>
      </c>
      <c r="I130" s="243">
        <f>INDEX('Entrada de Dados'!F$6:F$196,MATCH($C130,'Entrada de Dados'!$A$6:$A$196,0))</f>
        <v/>
      </c>
      <c r="J130" s="243">
        <f>INDEX('Entrada de Dados'!G$6:G$196,MATCH($C130,'Entrada de Dados'!$A$6:$A$196,0))</f>
        <v/>
      </c>
      <c r="K130" s="243">
        <f>INDEX('Entrada de Dados'!H$6:H$196,MATCH($C130,'Entrada de Dados'!$A$6:$A$196,0))</f>
        <v/>
      </c>
      <c r="L130" s="243">
        <f>INDEX('Entrada de Dados'!I$6:I$196,MATCH($C130,'Entrada de Dados'!$A$6:$A$196,0))</f>
        <v/>
      </c>
      <c r="M130" s="243">
        <f>INDEX('Entrada de Dados'!J$6:J$196,MATCH($C130,'Entrada de Dados'!$A$6:$A$196,0))</f>
        <v/>
      </c>
      <c r="N130" s="243">
        <f>INDEX('Entrada de Dados'!K$6:K$196,MATCH($C130,'Entrada de Dados'!$A$6:$A$196,0))</f>
        <v/>
      </c>
      <c r="O130" s="243">
        <f>INDEX('Entrada de Dados'!L$6:L$196,MATCH($C130,'Entrada de Dados'!$A$6:$A$196,0))</f>
        <v/>
      </c>
      <c r="P130" s="243">
        <f>INDEX('Entrada de Dados'!M$6:M$196,MATCH($C130,'Entrada de Dados'!$A$6:$A$196,0))</f>
        <v/>
      </c>
      <c r="Q130" s="243">
        <f>INDEX('Entrada de Dados'!N$6:N$196,MATCH($C130,'Entrada de Dados'!$A$6:$A$196,0))</f>
        <v/>
      </c>
      <c r="R130" s="243">
        <f>INDEX('Entrada de Dados'!O$6:O$196,MATCH($C130,'Entrada de Dados'!$A$6:$A$196,0))</f>
        <v/>
      </c>
      <c r="S130" s="243">
        <f>INDEX('Entrada de Dados'!P$6:P$196,MATCH($C130,'Entrada de Dados'!$A$6:$A$196,0))</f>
        <v/>
      </c>
      <c r="T130" s="243">
        <f>INDEX('Entrada de Dados'!Q$6:Q$196,MATCH($C130,'Entrada de Dados'!$A$6:$A$196,0))</f>
        <v/>
      </c>
      <c r="U130" s="243">
        <f>INDEX('Entrada de Dados'!R$6:R$196,MATCH($C130,'Entrada de Dados'!$A$6:$A$196,0))</f>
        <v/>
      </c>
      <c r="V130" s="243">
        <f>INDEX('Entrada de Dados'!S$6:S$196,MATCH($C130,'Entrada de Dados'!$A$6:$A$196,0))</f>
        <v/>
      </c>
      <c r="W130" s="243">
        <f>INDEX('Entrada de Dados'!T$6:T$196,MATCH($C130,'Entrada de Dados'!$A$6:$A$196,0))</f>
        <v/>
      </c>
      <c r="X130" s="243">
        <f>INDEX('Entrada de Dados'!U$6:U$196,MATCH($C130,'Entrada de Dados'!$A$6:$A$196,0))</f>
        <v/>
      </c>
    </row>
    <row r="131">
      <c r="A131" s="241" t="n">
        <v>8</v>
      </c>
      <c r="B131" s="241" t="inlineStr"/>
      <c r="C131" s="241" t="inlineStr">
        <is>
          <t>3013</t>
        </is>
      </c>
      <c r="D131" s="242">
        <f>HYPERLINK("#'CEI CRIANÇA SANTA EDWIGES'!A1","CEI CRIANÇA SANTA EDWIGES")</f>
        <v/>
      </c>
      <c r="E131" s="242" t="inlineStr">
        <is>
          <t>VILA RICA</t>
        </is>
      </c>
      <c r="F131" s="243">
        <f>INDEX('Entrada de Dados'!C$6:C$196,MATCH($C131,'Entrada de Dados'!$A$6:$A$196,0))</f>
        <v/>
      </c>
      <c r="G131" s="243">
        <f>INDEX('Entrada de Dados'!D$6:D$196,MATCH($C131,'Entrada de Dados'!$A$6:$A$196,0))</f>
        <v/>
      </c>
      <c r="H131" s="243">
        <f>INDEX('Entrada de Dados'!E$6:E$196,MATCH($C131,'Entrada de Dados'!$A$6:$A$196,0))</f>
        <v/>
      </c>
      <c r="I131" s="243">
        <f>INDEX('Entrada de Dados'!F$6:F$196,MATCH($C131,'Entrada de Dados'!$A$6:$A$196,0))</f>
        <v/>
      </c>
      <c r="J131" s="243">
        <f>INDEX('Entrada de Dados'!G$6:G$196,MATCH($C131,'Entrada de Dados'!$A$6:$A$196,0))</f>
        <v/>
      </c>
      <c r="K131" s="243">
        <f>INDEX('Entrada de Dados'!H$6:H$196,MATCH($C131,'Entrada de Dados'!$A$6:$A$196,0))</f>
        <v/>
      </c>
      <c r="L131" s="243">
        <f>INDEX('Entrada de Dados'!I$6:I$196,MATCH($C131,'Entrada de Dados'!$A$6:$A$196,0))</f>
        <v/>
      </c>
      <c r="M131" s="243">
        <f>INDEX('Entrada de Dados'!J$6:J$196,MATCH($C131,'Entrada de Dados'!$A$6:$A$196,0))</f>
        <v/>
      </c>
      <c r="N131" s="243">
        <f>INDEX('Entrada de Dados'!K$6:K$196,MATCH($C131,'Entrada de Dados'!$A$6:$A$196,0))</f>
        <v/>
      </c>
      <c r="O131" s="243">
        <f>INDEX('Entrada de Dados'!L$6:L$196,MATCH($C131,'Entrada de Dados'!$A$6:$A$196,0))</f>
        <v/>
      </c>
      <c r="P131" s="243">
        <f>INDEX('Entrada de Dados'!M$6:M$196,MATCH($C131,'Entrada de Dados'!$A$6:$A$196,0))</f>
        <v/>
      </c>
      <c r="Q131" s="243">
        <f>INDEX('Entrada de Dados'!N$6:N$196,MATCH($C131,'Entrada de Dados'!$A$6:$A$196,0))</f>
        <v/>
      </c>
      <c r="R131" s="243">
        <f>INDEX('Entrada de Dados'!O$6:O$196,MATCH($C131,'Entrada de Dados'!$A$6:$A$196,0))</f>
        <v/>
      </c>
      <c r="S131" s="243">
        <f>INDEX('Entrada de Dados'!P$6:P$196,MATCH($C131,'Entrada de Dados'!$A$6:$A$196,0))</f>
        <v/>
      </c>
      <c r="T131" s="243">
        <f>INDEX('Entrada de Dados'!Q$6:Q$196,MATCH($C131,'Entrada de Dados'!$A$6:$A$196,0))</f>
        <v/>
      </c>
      <c r="U131" s="243">
        <f>INDEX('Entrada de Dados'!R$6:R$196,MATCH($C131,'Entrada de Dados'!$A$6:$A$196,0))</f>
        <v/>
      </c>
      <c r="V131" s="243">
        <f>INDEX('Entrada de Dados'!S$6:S$196,MATCH($C131,'Entrada de Dados'!$A$6:$A$196,0))</f>
        <v/>
      </c>
      <c r="W131" s="243">
        <f>INDEX('Entrada de Dados'!T$6:T$196,MATCH($C131,'Entrada de Dados'!$A$6:$A$196,0))</f>
        <v/>
      </c>
      <c r="X131" s="243">
        <f>INDEX('Entrada de Dados'!U$6:U$196,MATCH($C131,'Entrada de Dados'!$A$6:$A$196,0))</f>
        <v/>
      </c>
    </row>
    <row r="132">
      <c r="A132" s="241" t="n">
        <v>9</v>
      </c>
      <c r="B132" s="241" t="inlineStr"/>
      <c r="C132" s="241" t="inlineStr">
        <is>
          <t>1102</t>
        </is>
      </c>
      <c r="D132" s="242">
        <f>HYPERLINK("#'E MZDA SANTA TEREZINHA'!A1","E MZDA SANTA TEREZINHA")</f>
        <v/>
      </c>
      <c r="E132" s="242" t="inlineStr">
        <is>
          <t>VILA RICA</t>
        </is>
      </c>
      <c r="F132" s="243">
        <f>INDEX('Entrada de Dados'!C$6:C$196,MATCH($C132,'Entrada de Dados'!$A$6:$A$196,0))</f>
        <v/>
      </c>
      <c r="G132" s="243">
        <f>INDEX('Entrada de Dados'!D$6:D$196,MATCH($C132,'Entrada de Dados'!$A$6:$A$196,0))</f>
        <v/>
      </c>
      <c r="H132" s="243">
        <f>INDEX('Entrada de Dados'!E$6:E$196,MATCH($C132,'Entrada de Dados'!$A$6:$A$196,0))</f>
        <v/>
      </c>
      <c r="I132" s="243">
        <f>INDEX('Entrada de Dados'!F$6:F$196,MATCH($C132,'Entrada de Dados'!$A$6:$A$196,0))</f>
        <v/>
      </c>
      <c r="J132" s="243">
        <f>INDEX('Entrada de Dados'!G$6:G$196,MATCH($C132,'Entrada de Dados'!$A$6:$A$196,0))</f>
        <v/>
      </c>
      <c r="K132" s="243">
        <f>INDEX('Entrada de Dados'!H$6:H$196,MATCH($C132,'Entrada de Dados'!$A$6:$A$196,0))</f>
        <v/>
      </c>
      <c r="L132" s="243">
        <f>INDEX('Entrada de Dados'!I$6:I$196,MATCH($C132,'Entrada de Dados'!$A$6:$A$196,0))</f>
        <v/>
      </c>
      <c r="M132" s="243">
        <f>INDEX('Entrada de Dados'!J$6:J$196,MATCH($C132,'Entrada de Dados'!$A$6:$A$196,0))</f>
        <v/>
      </c>
      <c r="N132" s="243">
        <f>INDEX('Entrada de Dados'!K$6:K$196,MATCH($C132,'Entrada de Dados'!$A$6:$A$196,0))</f>
        <v/>
      </c>
      <c r="O132" s="243">
        <f>INDEX('Entrada de Dados'!L$6:L$196,MATCH($C132,'Entrada de Dados'!$A$6:$A$196,0))</f>
        <v/>
      </c>
      <c r="P132" s="243">
        <f>INDEX('Entrada de Dados'!M$6:M$196,MATCH($C132,'Entrada de Dados'!$A$6:$A$196,0))</f>
        <v/>
      </c>
      <c r="Q132" s="243">
        <f>INDEX('Entrada de Dados'!N$6:N$196,MATCH($C132,'Entrada de Dados'!$A$6:$A$196,0))</f>
        <v/>
      </c>
      <c r="R132" s="243">
        <f>INDEX('Entrada de Dados'!O$6:O$196,MATCH($C132,'Entrada de Dados'!$A$6:$A$196,0))</f>
        <v/>
      </c>
      <c r="S132" s="243">
        <f>INDEX('Entrada de Dados'!P$6:P$196,MATCH($C132,'Entrada de Dados'!$A$6:$A$196,0))</f>
        <v/>
      </c>
      <c r="T132" s="243">
        <f>INDEX('Entrada de Dados'!Q$6:Q$196,MATCH($C132,'Entrada de Dados'!$A$6:$A$196,0))</f>
        <v/>
      </c>
      <c r="U132" s="243">
        <f>INDEX('Entrada de Dados'!R$6:R$196,MATCH($C132,'Entrada de Dados'!$A$6:$A$196,0))</f>
        <v/>
      </c>
      <c r="V132" s="243">
        <f>INDEX('Entrada de Dados'!S$6:S$196,MATCH($C132,'Entrada de Dados'!$A$6:$A$196,0))</f>
        <v/>
      </c>
      <c r="W132" s="243">
        <f>INDEX('Entrada de Dados'!T$6:T$196,MATCH($C132,'Entrada de Dados'!$A$6:$A$196,0))</f>
        <v/>
      </c>
      <c r="X132" s="243">
        <f>INDEX('Entrada de Dados'!U$6:U$196,MATCH($C132,'Entrada de Dados'!$A$6:$A$196,0))</f>
        <v/>
      </c>
    </row>
    <row r="133" ht="22" customHeight="1" s="107">
      <c r="A133" s="248" t="inlineStr">
        <is>
          <t>Peso previsto:</t>
        </is>
      </c>
      <c r="C133" s="249">
        <f>SUM(F123:F132)+SUM(G123:G132)+SUM(H123:H132)+SUM(I123:I132)+SUM(J123:J132)+SUM(K123:K132)+SUM(L123:L132)+SUM(M123:M132)+SUM(N123:N132)+SUM(O123:O132)+SUM(P123:P132)+SUM(Q123:Q132)+SUM(R123:R132)+SUM(S123:S132)+SUM(T123:T132)+SUM(U123:U132)+SUM(W123:W132)+SUM(X123:X132)</f>
        <v/>
      </c>
      <c r="D133" s="248" t="inlineStr">
        <is>
          <t>Peso embarcado (kg):</t>
        </is>
      </c>
      <c r="F133" s="250" t="n"/>
      <c r="G133" s="248" t="inlineStr">
        <is>
          <t>Veículo:</t>
        </is>
      </c>
      <c r="I133" s="250" t="n"/>
      <c r="J133" s="251" t="n"/>
      <c r="K133" s="248" t="inlineStr">
        <is>
          <t>Motorista:</t>
        </is>
      </c>
      <c r="M133" s="250" t="n"/>
      <c r="N133" s="252" t="n"/>
      <c r="O133" s="252" t="n"/>
      <c r="P133" s="252" t="n"/>
      <c r="Q133" s="252" t="n"/>
      <c r="R133" s="252" t="n"/>
      <c r="S133" s="252" t="n"/>
      <c r="T133" s="252" t="n"/>
      <c r="U133" s="252" t="n"/>
      <c r="V133" s="252" t="n"/>
      <c r="W133" s="252" t="n"/>
      <c r="X133" s="251" t="n"/>
    </row>
    <row r="135" ht="20" customHeight="1" s="107">
      <c r="A135" s="236" t="inlineStr">
        <is>
          <t>ROTA S9 — POSSE - EIXO PRINCIPAL · CAMINHÃO LEVE / KOMBI · 4 escolas · 4 paradas físicas</t>
        </is>
      </c>
    </row>
    <row r="136" ht="26" customHeight="1" s="107">
      <c r="A136" s="238" t="inlineStr">
        <is>
          <t>Sequência-base: Galpão Itaipava &gt; União e Indústria &gt; Reta da Posse &gt; Centro da Posse &gt; Galpão   Atenção: Eixo principal. Pode receber caminhão leve se peso, estacionamento e manobra forem compatíveis.</t>
        </is>
      </c>
    </row>
    <row r="137" ht="30" customHeight="1" s="107">
      <c r="A137" s="240" t="inlineStr">
        <is>
          <t>PAR.</t>
        </is>
      </c>
      <c r="B137" s="240" t="inlineStr">
        <is>
          <t>SUB</t>
        </is>
      </c>
      <c r="C137" s="240" t="inlineStr">
        <is>
          <t>CÓDIGO</t>
        </is>
      </c>
      <c r="D137" s="240" t="inlineStr">
        <is>
          <t>ESCOLA</t>
        </is>
      </c>
      <c r="E137" s="240" t="inlineStr">
        <is>
          <t>BAIRRO/CORREDOR</t>
        </is>
      </c>
      <c r="F137" s="240" t="inlineStr">
        <is>
          <t>Abacate</t>
        </is>
      </c>
      <c r="G137" s="240" t="inlineStr">
        <is>
          <t>Abobrinha</t>
        </is>
      </c>
      <c r="H137" s="240" t="inlineStr">
        <is>
          <t>Agrião</t>
        </is>
      </c>
      <c r="I137" s="240" t="inlineStr">
        <is>
          <t>Alface lisa</t>
        </is>
      </c>
      <c r="J137" s="240" t="inlineStr">
        <is>
          <t>Banana prata</t>
        </is>
      </c>
      <c r="K137" s="240" t="inlineStr">
        <is>
          <t>Batata inglesa</t>
        </is>
      </c>
      <c r="L137" s="240" t="inlineStr">
        <is>
          <t>Beterraba</t>
        </is>
      </c>
      <c r="M137" s="240" t="inlineStr">
        <is>
          <t>Brócolis</t>
        </is>
      </c>
      <c r="N137" s="240" t="inlineStr">
        <is>
          <t>Cenoura</t>
        </is>
      </c>
      <c r="O137" s="240" t="inlineStr">
        <is>
          <t>Cheiro verde</t>
        </is>
      </c>
      <c r="P137" s="240" t="inlineStr">
        <is>
          <t>Chuchu</t>
        </is>
      </c>
      <c r="Q137" s="240" t="inlineStr">
        <is>
          <t>Couve manteiga</t>
        </is>
      </c>
      <c r="R137" s="240" t="inlineStr">
        <is>
          <t>Couve-flor</t>
        </is>
      </c>
      <c r="S137" s="240" t="inlineStr">
        <is>
          <t>Espinafre</t>
        </is>
      </c>
      <c r="T137" s="240" t="inlineStr">
        <is>
          <t>Maçã gala</t>
        </is>
      </c>
      <c r="U137" s="240" t="inlineStr">
        <is>
          <t>Mel</t>
        </is>
      </c>
      <c r="V137" s="240" t="inlineStr">
        <is>
          <t>Ovos (dz)</t>
        </is>
      </c>
      <c r="W137" s="240" t="inlineStr">
        <is>
          <t>Repolho</t>
        </is>
      </c>
      <c r="X137" s="240" t="inlineStr">
        <is>
          <t>Tangerina ponkan</t>
        </is>
      </c>
    </row>
    <row r="138">
      <c r="A138" s="241" t="n">
        <v>1</v>
      </c>
      <c r="B138" s="241" t="inlineStr"/>
      <c r="C138" s="241" t="inlineStr">
        <is>
          <t>1067</t>
        </is>
      </c>
      <c r="D138" s="242">
        <f>HYPERLINK("#'E M BEATRIZ ZALESKI'!A1","E M BEATRIZ ZALESKI")</f>
        <v/>
      </c>
      <c r="E138" s="242" t="inlineStr">
        <is>
          <t>POSSE</t>
        </is>
      </c>
      <c r="F138" s="243">
        <f>INDEX('Entrada de Dados'!C$6:C$196,MATCH($C138,'Entrada de Dados'!$A$6:$A$196,0))</f>
        <v/>
      </c>
      <c r="G138" s="243">
        <f>INDEX('Entrada de Dados'!D$6:D$196,MATCH($C138,'Entrada de Dados'!$A$6:$A$196,0))</f>
        <v/>
      </c>
      <c r="H138" s="243">
        <f>INDEX('Entrada de Dados'!E$6:E$196,MATCH($C138,'Entrada de Dados'!$A$6:$A$196,0))</f>
        <v/>
      </c>
      <c r="I138" s="243">
        <f>INDEX('Entrada de Dados'!F$6:F$196,MATCH($C138,'Entrada de Dados'!$A$6:$A$196,0))</f>
        <v/>
      </c>
      <c r="J138" s="243">
        <f>INDEX('Entrada de Dados'!G$6:G$196,MATCH($C138,'Entrada de Dados'!$A$6:$A$196,0))</f>
        <v/>
      </c>
      <c r="K138" s="243">
        <f>INDEX('Entrada de Dados'!H$6:H$196,MATCH($C138,'Entrada de Dados'!$A$6:$A$196,0))</f>
        <v/>
      </c>
      <c r="L138" s="243">
        <f>INDEX('Entrada de Dados'!I$6:I$196,MATCH($C138,'Entrada de Dados'!$A$6:$A$196,0))</f>
        <v/>
      </c>
      <c r="M138" s="243">
        <f>INDEX('Entrada de Dados'!J$6:J$196,MATCH($C138,'Entrada de Dados'!$A$6:$A$196,0))</f>
        <v/>
      </c>
      <c r="N138" s="243">
        <f>INDEX('Entrada de Dados'!K$6:K$196,MATCH($C138,'Entrada de Dados'!$A$6:$A$196,0))</f>
        <v/>
      </c>
      <c r="O138" s="243">
        <f>INDEX('Entrada de Dados'!L$6:L$196,MATCH($C138,'Entrada de Dados'!$A$6:$A$196,0))</f>
        <v/>
      </c>
      <c r="P138" s="243">
        <f>INDEX('Entrada de Dados'!M$6:M$196,MATCH($C138,'Entrada de Dados'!$A$6:$A$196,0))</f>
        <v/>
      </c>
      <c r="Q138" s="243">
        <f>INDEX('Entrada de Dados'!N$6:N$196,MATCH($C138,'Entrada de Dados'!$A$6:$A$196,0))</f>
        <v/>
      </c>
      <c r="R138" s="243">
        <f>INDEX('Entrada de Dados'!O$6:O$196,MATCH($C138,'Entrada de Dados'!$A$6:$A$196,0))</f>
        <v/>
      </c>
      <c r="S138" s="243">
        <f>INDEX('Entrada de Dados'!P$6:P$196,MATCH($C138,'Entrada de Dados'!$A$6:$A$196,0))</f>
        <v/>
      </c>
      <c r="T138" s="243">
        <f>INDEX('Entrada de Dados'!Q$6:Q$196,MATCH($C138,'Entrada de Dados'!$A$6:$A$196,0))</f>
        <v/>
      </c>
      <c r="U138" s="243">
        <f>INDEX('Entrada de Dados'!R$6:R$196,MATCH($C138,'Entrada de Dados'!$A$6:$A$196,0))</f>
        <v/>
      </c>
      <c r="V138" s="243">
        <f>INDEX('Entrada de Dados'!S$6:S$196,MATCH($C138,'Entrada de Dados'!$A$6:$A$196,0))</f>
        <v/>
      </c>
      <c r="W138" s="243">
        <f>INDEX('Entrada de Dados'!T$6:T$196,MATCH($C138,'Entrada de Dados'!$A$6:$A$196,0))</f>
        <v/>
      </c>
      <c r="X138" s="243">
        <f>INDEX('Entrada de Dados'!U$6:U$196,MATCH($C138,'Entrada de Dados'!$A$6:$A$196,0))</f>
        <v/>
      </c>
    </row>
    <row r="139">
      <c r="A139" s="241" t="n">
        <v>2</v>
      </c>
      <c r="B139" s="241" t="inlineStr"/>
      <c r="C139" s="241" t="inlineStr">
        <is>
          <t>1055</t>
        </is>
      </c>
      <c r="D139" s="242">
        <f>HYPERLINK("#'E M CARLOS CANEDO'!A1","E M CARLOS CANEDO")</f>
        <v/>
      </c>
      <c r="E139" s="242" t="inlineStr">
        <is>
          <t>POSSE</t>
        </is>
      </c>
      <c r="F139" s="243">
        <f>INDEX('Entrada de Dados'!C$6:C$196,MATCH($C139,'Entrada de Dados'!$A$6:$A$196,0))</f>
        <v/>
      </c>
      <c r="G139" s="243">
        <f>INDEX('Entrada de Dados'!D$6:D$196,MATCH($C139,'Entrada de Dados'!$A$6:$A$196,0))</f>
        <v/>
      </c>
      <c r="H139" s="243">
        <f>INDEX('Entrada de Dados'!E$6:E$196,MATCH($C139,'Entrada de Dados'!$A$6:$A$196,0))</f>
        <v/>
      </c>
      <c r="I139" s="243">
        <f>INDEX('Entrada de Dados'!F$6:F$196,MATCH($C139,'Entrada de Dados'!$A$6:$A$196,0))</f>
        <v/>
      </c>
      <c r="J139" s="243">
        <f>INDEX('Entrada de Dados'!G$6:G$196,MATCH($C139,'Entrada de Dados'!$A$6:$A$196,0))</f>
        <v/>
      </c>
      <c r="K139" s="243">
        <f>INDEX('Entrada de Dados'!H$6:H$196,MATCH($C139,'Entrada de Dados'!$A$6:$A$196,0))</f>
        <v/>
      </c>
      <c r="L139" s="243">
        <f>INDEX('Entrada de Dados'!I$6:I$196,MATCH($C139,'Entrada de Dados'!$A$6:$A$196,0))</f>
        <v/>
      </c>
      <c r="M139" s="243">
        <f>INDEX('Entrada de Dados'!J$6:J$196,MATCH($C139,'Entrada de Dados'!$A$6:$A$196,0))</f>
        <v/>
      </c>
      <c r="N139" s="243">
        <f>INDEX('Entrada de Dados'!K$6:K$196,MATCH($C139,'Entrada de Dados'!$A$6:$A$196,0))</f>
        <v/>
      </c>
      <c r="O139" s="243">
        <f>INDEX('Entrada de Dados'!L$6:L$196,MATCH($C139,'Entrada de Dados'!$A$6:$A$196,0))</f>
        <v/>
      </c>
      <c r="P139" s="243">
        <f>INDEX('Entrada de Dados'!M$6:M$196,MATCH($C139,'Entrada de Dados'!$A$6:$A$196,0))</f>
        <v/>
      </c>
      <c r="Q139" s="243">
        <f>INDEX('Entrada de Dados'!N$6:N$196,MATCH($C139,'Entrada de Dados'!$A$6:$A$196,0))</f>
        <v/>
      </c>
      <c r="R139" s="243">
        <f>INDEX('Entrada de Dados'!O$6:O$196,MATCH($C139,'Entrada de Dados'!$A$6:$A$196,0))</f>
        <v/>
      </c>
      <c r="S139" s="243">
        <f>INDEX('Entrada de Dados'!P$6:P$196,MATCH($C139,'Entrada de Dados'!$A$6:$A$196,0))</f>
        <v/>
      </c>
      <c r="T139" s="243">
        <f>INDEX('Entrada de Dados'!Q$6:Q$196,MATCH($C139,'Entrada de Dados'!$A$6:$A$196,0))</f>
        <v/>
      </c>
      <c r="U139" s="243">
        <f>INDEX('Entrada de Dados'!R$6:R$196,MATCH($C139,'Entrada de Dados'!$A$6:$A$196,0))</f>
        <v/>
      </c>
      <c r="V139" s="243">
        <f>INDEX('Entrada de Dados'!S$6:S$196,MATCH($C139,'Entrada de Dados'!$A$6:$A$196,0))</f>
        <v/>
      </c>
      <c r="W139" s="243">
        <f>INDEX('Entrada de Dados'!T$6:T$196,MATCH($C139,'Entrada de Dados'!$A$6:$A$196,0))</f>
        <v/>
      </c>
      <c r="X139" s="243">
        <f>INDEX('Entrada de Dados'!U$6:U$196,MATCH($C139,'Entrada de Dados'!$A$6:$A$196,0))</f>
        <v/>
      </c>
    </row>
    <row r="140">
      <c r="A140" s="241" t="n">
        <v>3</v>
      </c>
      <c r="B140" s="241" t="inlineStr"/>
      <c r="C140" s="241" t="inlineStr">
        <is>
          <t>3044</t>
        </is>
      </c>
      <c r="D140" s="242">
        <f>HYPERLINK("#'CEI ANGELA MARIA DA CONCEIÇÃO S'!A1","CEI ANGELA MARIA DA CONCEIÇÃO SILVA")</f>
        <v/>
      </c>
      <c r="E140" s="242" t="inlineStr">
        <is>
          <t>POSSE</t>
        </is>
      </c>
      <c r="F140" s="243">
        <f>INDEX('Entrada de Dados'!C$6:C$196,MATCH($C140,'Entrada de Dados'!$A$6:$A$196,0))</f>
        <v/>
      </c>
      <c r="G140" s="243">
        <f>INDEX('Entrada de Dados'!D$6:D$196,MATCH($C140,'Entrada de Dados'!$A$6:$A$196,0))</f>
        <v/>
      </c>
      <c r="H140" s="243">
        <f>INDEX('Entrada de Dados'!E$6:E$196,MATCH($C140,'Entrada de Dados'!$A$6:$A$196,0))</f>
        <v/>
      </c>
      <c r="I140" s="243">
        <f>INDEX('Entrada de Dados'!F$6:F$196,MATCH($C140,'Entrada de Dados'!$A$6:$A$196,0))</f>
        <v/>
      </c>
      <c r="J140" s="243">
        <f>INDEX('Entrada de Dados'!G$6:G$196,MATCH($C140,'Entrada de Dados'!$A$6:$A$196,0))</f>
        <v/>
      </c>
      <c r="K140" s="243">
        <f>INDEX('Entrada de Dados'!H$6:H$196,MATCH($C140,'Entrada de Dados'!$A$6:$A$196,0))</f>
        <v/>
      </c>
      <c r="L140" s="243">
        <f>INDEX('Entrada de Dados'!I$6:I$196,MATCH($C140,'Entrada de Dados'!$A$6:$A$196,0))</f>
        <v/>
      </c>
      <c r="M140" s="243">
        <f>INDEX('Entrada de Dados'!J$6:J$196,MATCH($C140,'Entrada de Dados'!$A$6:$A$196,0))</f>
        <v/>
      </c>
      <c r="N140" s="243">
        <f>INDEX('Entrada de Dados'!K$6:K$196,MATCH($C140,'Entrada de Dados'!$A$6:$A$196,0))</f>
        <v/>
      </c>
      <c r="O140" s="243">
        <f>INDEX('Entrada de Dados'!L$6:L$196,MATCH($C140,'Entrada de Dados'!$A$6:$A$196,0))</f>
        <v/>
      </c>
      <c r="P140" s="243">
        <f>INDEX('Entrada de Dados'!M$6:M$196,MATCH($C140,'Entrada de Dados'!$A$6:$A$196,0))</f>
        <v/>
      </c>
      <c r="Q140" s="243">
        <f>INDEX('Entrada de Dados'!N$6:N$196,MATCH($C140,'Entrada de Dados'!$A$6:$A$196,0))</f>
        <v/>
      </c>
      <c r="R140" s="243">
        <f>INDEX('Entrada de Dados'!O$6:O$196,MATCH($C140,'Entrada de Dados'!$A$6:$A$196,0))</f>
        <v/>
      </c>
      <c r="S140" s="243">
        <f>INDEX('Entrada de Dados'!P$6:P$196,MATCH($C140,'Entrada de Dados'!$A$6:$A$196,0))</f>
        <v/>
      </c>
      <c r="T140" s="243">
        <f>INDEX('Entrada de Dados'!Q$6:Q$196,MATCH($C140,'Entrada de Dados'!$A$6:$A$196,0))</f>
        <v/>
      </c>
      <c r="U140" s="243">
        <f>INDEX('Entrada de Dados'!R$6:R$196,MATCH($C140,'Entrada de Dados'!$A$6:$A$196,0))</f>
        <v/>
      </c>
      <c r="V140" s="243">
        <f>INDEX('Entrada de Dados'!S$6:S$196,MATCH($C140,'Entrada de Dados'!$A$6:$A$196,0))</f>
        <v/>
      </c>
      <c r="W140" s="243">
        <f>INDEX('Entrada de Dados'!T$6:T$196,MATCH($C140,'Entrada de Dados'!$A$6:$A$196,0))</f>
        <v/>
      </c>
      <c r="X140" s="243">
        <f>INDEX('Entrada de Dados'!U$6:U$196,MATCH($C140,'Entrada de Dados'!$A$6:$A$196,0))</f>
        <v/>
      </c>
    </row>
    <row r="141">
      <c r="A141" s="241" t="n">
        <v>4</v>
      </c>
      <c r="B141" s="241" t="inlineStr"/>
      <c r="C141" s="241" t="inlineStr">
        <is>
          <t>1111</t>
        </is>
      </c>
      <c r="D141" s="242">
        <f>HYPERLINK("#'ESCOLA MUNICIPALIZADA MOYSÉS FU'!A1","ESCOLA MUNICIPALIZADA MOYSÉS FURTADO BRAVO")</f>
        <v/>
      </c>
      <c r="E141" s="242" t="inlineStr">
        <is>
          <t>POSSE</t>
        </is>
      </c>
      <c r="F141" s="243">
        <f>INDEX('Entrada de Dados'!C$6:C$196,MATCH($C141,'Entrada de Dados'!$A$6:$A$196,0))</f>
        <v/>
      </c>
      <c r="G141" s="243">
        <f>INDEX('Entrada de Dados'!D$6:D$196,MATCH($C141,'Entrada de Dados'!$A$6:$A$196,0))</f>
        <v/>
      </c>
      <c r="H141" s="243">
        <f>INDEX('Entrada de Dados'!E$6:E$196,MATCH($C141,'Entrada de Dados'!$A$6:$A$196,0))</f>
        <v/>
      </c>
      <c r="I141" s="243">
        <f>INDEX('Entrada de Dados'!F$6:F$196,MATCH($C141,'Entrada de Dados'!$A$6:$A$196,0))</f>
        <v/>
      </c>
      <c r="J141" s="243">
        <f>INDEX('Entrada de Dados'!G$6:G$196,MATCH($C141,'Entrada de Dados'!$A$6:$A$196,0))</f>
        <v/>
      </c>
      <c r="K141" s="243">
        <f>INDEX('Entrada de Dados'!H$6:H$196,MATCH($C141,'Entrada de Dados'!$A$6:$A$196,0))</f>
        <v/>
      </c>
      <c r="L141" s="243">
        <f>INDEX('Entrada de Dados'!I$6:I$196,MATCH($C141,'Entrada de Dados'!$A$6:$A$196,0))</f>
        <v/>
      </c>
      <c r="M141" s="243">
        <f>INDEX('Entrada de Dados'!J$6:J$196,MATCH($C141,'Entrada de Dados'!$A$6:$A$196,0))</f>
        <v/>
      </c>
      <c r="N141" s="243">
        <f>INDEX('Entrada de Dados'!K$6:K$196,MATCH($C141,'Entrada de Dados'!$A$6:$A$196,0))</f>
        <v/>
      </c>
      <c r="O141" s="243">
        <f>INDEX('Entrada de Dados'!L$6:L$196,MATCH($C141,'Entrada de Dados'!$A$6:$A$196,0))</f>
        <v/>
      </c>
      <c r="P141" s="243">
        <f>INDEX('Entrada de Dados'!M$6:M$196,MATCH($C141,'Entrada de Dados'!$A$6:$A$196,0))</f>
        <v/>
      </c>
      <c r="Q141" s="243">
        <f>INDEX('Entrada de Dados'!N$6:N$196,MATCH($C141,'Entrada de Dados'!$A$6:$A$196,0))</f>
        <v/>
      </c>
      <c r="R141" s="243">
        <f>INDEX('Entrada de Dados'!O$6:O$196,MATCH($C141,'Entrada de Dados'!$A$6:$A$196,0))</f>
        <v/>
      </c>
      <c r="S141" s="243">
        <f>INDEX('Entrada de Dados'!P$6:P$196,MATCH($C141,'Entrada de Dados'!$A$6:$A$196,0))</f>
        <v/>
      </c>
      <c r="T141" s="243">
        <f>INDEX('Entrada de Dados'!Q$6:Q$196,MATCH($C141,'Entrada de Dados'!$A$6:$A$196,0))</f>
        <v/>
      </c>
      <c r="U141" s="243">
        <f>INDEX('Entrada de Dados'!R$6:R$196,MATCH($C141,'Entrada de Dados'!$A$6:$A$196,0))</f>
        <v/>
      </c>
      <c r="V141" s="243">
        <f>INDEX('Entrada de Dados'!S$6:S$196,MATCH($C141,'Entrada de Dados'!$A$6:$A$196,0))</f>
        <v/>
      </c>
      <c r="W141" s="243">
        <f>INDEX('Entrada de Dados'!T$6:T$196,MATCH($C141,'Entrada de Dados'!$A$6:$A$196,0))</f>
        <v/>
      </c>
      <c r="X141" s="243">
        <f>INDEX('Entrada de Dados'!U$6:U$196,MATCH($C141,'Entrada de Dados'!$A$6:$A$196,0))</f>
        <v/>
      </c>
    </row>
    <row r="142" ht="22" customHeight="1" s="107">
      <c r="A142" s="248" t="inlineStr">
        <is>
          <t>Peso previsto:</t>
        </is>
      </c>
      <c r="C142" s="249">
        <f>SUM(F138:F141)+SUM(G138:G141)+SUM(H138:H141)+SUM(I138:I141)+SUM(J138:J141)+SUM(K138:K141)+SUM(L138:L141)+SUM(M138:M141)+SUM(N138:N141)+SUM(O138:O141)+SUM(P138:P141)+SUM(Q138:Q141)+SUM(R138:R141)+SUM(S138:S141)+SUM(T138:T141)+SUM(U138:U141)+SUM(W138:W141)+SUM(X138:X141)</f>
        <v/>
      </c>
      <c r="D142" s="248" t="inlineStr">
        <is>
          <t>Peso embarcado (kg):</t>
        </is>
      </c>
      <c r="F142" s="250" t="n"/>
      <c r="G142" s="248" t="inlineStr">
        <is>
          <t>Veículo:</t>
        </is>
      </c>
      <c r="I142" s="250" t="n"/>
      <c r="J142" s="251" t="n"/>
      <c r="K142" s="248" t="inlineStr">
        <is>
          <t>Motorista:</t>
        </is>
      </c>
      <c r="M142" s="250" t="n"/>
      <c r="N142" s="252" t="n"/>
      <c r="O142" s="252" t="n"/>
      <c r="P142" s="252" t="n"/>
      <c r="Q142" s="252" t="n"/>
      <c r="R142" s="252" t="n"/>
      <c r="S142" s="252" t="n"/>
      <c r="T142" s="252" t="n"/>
      <c r="U142" s="252" t="n"/>
      <c r="V142" s="252" t="n"/>
      <c r="W142" s="252" t="n"/>
      <c r="X142" s="251" t="n"/>
    </row>
    <row r="144" ht="20" customHeight="1" s="107">
      <c r="A144" s="236" t="inlineStr">
        <is>
          <t>ROTA S10 —  · KOMBI + ÚLTIMO TRECHO · 7 escolas · 7 paradas físicas</t>
        </is>
      </c>
    </row>
    <row r="145" ht="26" customHeight="1" s="107">
      <c r="A145" s="238" t="inlineStr">
        <is>
          <t>Sequência-base: Galpão Itaipava &gt; Posse &gt; ramais rurais &gt; retorno ao eixo principal &gt; Galpão   Atenção: Dividir em sub-ramais quando os pesos chegarem. Moto é recurso de último trecho, não veículo padrão da rota.</t>
        </is>
      </c>
    </row>
    <row r="146" ht="30" customHeight="1" s="107">
      <c r="A146" s="240" t="inlineStr">
        <is>
          <t>PAR.</t>
        </is>
      </c>
      <c r="B146" s="240" t="inlineStr">
        <is>
          <t>SUB</t>
        </is>
      </c>
      <c r="C146" s="240" t="inlineStr">
        <is>
          <t>CÓDIGO</t>
        </is>
      </c>
      <c r="D146" s="240" t="inlineStr">
        <is>
          <t>ESCOLA</t>
        </is>
      </c>
      <c r="E146" s="240" t="inlineStr">
        <is>
          <t>BAIRRO/CORREDOR</t>
        </is>
      </c>
      <c r="F146" s="240" t="inlineStr">
        <is>
          <t>Abacate</t>
        </is>
      </c>
      <c r="G146" s="240" t="inlineStr">
        <is>
          <t>Abobrinha</t>
        </is>
      </c>
      <c r="H146" s="240" t="inlineStr">
        <is>
          <t>Agrião</t>
        </is>
      </c>
      <c r="I146" s="240" t="inlineStr">
        <is>
          <t>Alface lisa</t>
        </is>
      </c>
      <c r="J146" s="240" t="inlineStr">
        <is>
          <t>Banana prata</t>
        </is>
      </c>
      <c r="K146" s="240" t="inlineStr">
        <is>
          <t>Batata inglesa</t>
        </is>
      </c>
      <c r="L146" s="240" t="inlineStr">
        <is>
          <t>Beterraba</t>
        </is>
      </c>
      <c r="M146" s="240" t="inlineStr">
        <is>
          <t>Brócolis</t>
        </is>
      </c>
      <c r="N146" s="240" t="inlineStr">
        <is>
          <t>Cenoura</t>
        </is>
      </c>
      <c r="O146" s="240" t="inlineStr">
        <is>
          <t>Cheiro verde</t>
        </is>
      </c>
      <c r="P146" s="240" t="inlineStr">
        <is>
          <t>Chuchu</t>
        </is>
      </c>
      <c r="Q146" s="240" t="inlineStr">
        <is>
          <t>Couve manteiga</t>
        </is>
      </c>
      <c r="R146" s="240" t="inlineStr">
        <is>
          <t>Couve-flor</t>
        </is>
      </c>
      <c r="S146" s="240" t="inlineStr">
        <is>
          <t>Espinafre</t>
        </is>
      </c>
      <c r="T146" s="240" t="inlineStr">
        <is>
          <t>Maçã gala</t>
        </is>
      </c>
      <c r="U146" s="240" t="inlineStr">
        <is>
          <t>Mel</t>
        </is>
      </c>
      <c r="V146" s="240" t="inlineStr">
        <is>
          <t>Ovos (dz)</t>
        </is>
      </c>
      <c r="W146" s="240" t="inlineStr">
        <is>
          <t>Repolho</t>
        </is>
      </c>
      <c r="X146" s="240" t="inlineStr">
        <is>
          <t>Tangerina ponkan</t>
        </is>
      </c>
    </row>
    <row r="147">
      <c r="A147" s="241" t="n">
        <v>1</v>
      </c>
      <c r="B147" s="241" t="inlineStr"/>
      <c r="C147" s="241" t="inlineStr">
        <is>
          <t>1052</t>
        </is>
      </c>
      <c r="D147" s="242">
        <f>HYPERLINK("#'E M ARNALDO DYCKERHOFF'!A1","E M ARNALDO DYCKERHOFF")</f>
        <v/>
      </c>
      <c r="E147" s="242" t="inlineStr">
        <is>
          <t>POSSE</t>
        </is>
      </c>
      <c r="F147" s="243">
        <f>INDEX('Entrada de Dados'!C$6:C$196,MATCH($C147,'Entrada de Dados'!$A$6:$A$196,0))</f>
        <v/>
      </c>
      <c r="G147" s="243">
        <f>INDEX('Entrada de Dados'!D$6:D$196,MATCH($C147,'Entrada de Dados'!$A$6:$A$196,0))</f>
        <v/>
      </c>
      <c r="H147" s="243">
        <f>INDEX('Entrada de Dados'!E$6:E$196,MATCH($C147,'Entrada de Dados'!$A$6:$A$196,0))</f>
        <v/>
      </c>
      <c r="I147" s="243">
        <f>INDEX('Entrada de Dados'!F$6:F$196,MATCH($C147,'Entrada de Dados'!$A$6:$A$196,0))</f>
        <v/>
      </c>
      <c r="J147" s="243">
        <f>INDEX('Entrada de Dados'!G$6:G$196,MATCH($C147,'Entrada de Dados'!$A$6:$A$196,0))</f>
        <v/>
      </c>
      <c r="K147" s="243">
        <f>INDEX('Entrada de Dados'!H$6:H$196,MATCH($C147,'Entrada de Dados'!$A$6:$A$196,0))</f>
        <v/>
      </c>
      <c r="L147" s="243">
        <f>INDEX('Entrada de Dados'!I$6:I$196,MATCH($C147,'Entrada de Dados'!$A$6:$A$196,0))</f>
        <v/>
      </c>
      <c r="M147" s="243">
        <f>INDEX('Entrada de Dados'!J$6:J$196,MATCH($C147,'Entrada de Dados'!$A$6:$A$196,0))</f>
        <v/>
      </c>
      <c r="N147" s="243">
        <f>INDEX('Entrada de Dados'!K$6:K$196,MATCH($C147,'Entrada de Dados'!$A$6:$A$196,0))</f>
        <v/>
      </c>
      <c r="O147" s="243">
        <f>INDEX('Entrada de Dados'!L$6:L$196,MATCH($C147,'Entrada de Dados'!$A$6:$A$196,0))</f>
        <v/>
      </c>
      <c r="P147" s="243">
        <f>INDEX('Entrada de Dados'!M$6:M$196,MATCH($C147,'Entrada de Dados'!$A$6:$A$196,0))</f>
        <v/>
      </c>
      <c r="Q147" s="243">
        <f>INDEX('Entrada de Dados'!N$6:N$196,MATCH($C147,'Entrada de Dados'!$A$6:$A$196,0))</f>
        <v/>
      </c>
      <c r="R147" s="243">
        <f>INDEX('Entrada de Dados'!O$6:O$196,MATCH($C147,'Entrada de Dados'!$A$6:$A$196,0))</f>
        <v/>
      </c>
      <c r="S147" s="243">
        <f>INDEX('Entrada de Dados'!P$6:P$196,MATCH($C147,'Entrada de Dados'!$A$6:$A$196,0))</f>
        <v/>
      </c>
      <c r="T147" s="243">
        <f>INDEX('Entrada de Dados'!Q$6:Q$196,MATCH($C147,'Entrada de Dados'!$A$6:$A$196,0))</f>
        <v/>
      </c>
      <c r="U147" s="243">
        <f>INDEX('Entrada de Dados'!R$6:R$196,MATCH($C147,'Entrada de Dados'!$A$6:$A$196,0))</f>
        <v/>
      </c>
      <c r="V147" s="243">
        <f>INDEX('Entrada de Dados'!S$6:S$196,MATCH($C147,'Entrada de Dados'!$A$6:$A$196,0))</f>
        <v/>
      </c>
      <c r="W147" s="243">
        <f>INDEX('Entrada de Dados'!T$6:T$196,MATCH($C147,'Entrada de Dados'!$A$6:$A$196,0))</f>
        <v/>
      </c>
      <c r="X147" s="243">
        <f>INDEX('Entrada de Dados'!U$6:U$196,MATCH($C147,'Entrada de Dados'!$A$6:$A$196,0))</f>
        <v/>
      </c>
    </row>
    <row r="148">
      <c r="A148" s="241" t="n">
        <v>2</v>
      </c>
      <c r="B148" s="241" t="inlineStr"/>
      <c r="C148" s="241" t="inlineStr">
        <is>
          <t>1076</t>
        </is>
      </c>
      <c r="D148" s="242">
        <f>HYPERLINK("#'E MZDA AVELINO DE CARVALHO'!A1","E MZDA AVELINO DE CARVALHO")</f>
        <v/>
      </c>
      <c r="E148" s="242" t="inlineStr">
        <is>
          <t>POSSE</t>
        </is>
      </c>
      <c r="F148" s="243">
        <f>INDEX('Entrada de Dados'!C$6:C$196,MATCH($C148,'Entrada de Dados'!$A$6:$A$196,0))</f>
        <v/>
      </c>
      <c r="G148" s="243">
        <f>INDEX('Entrada de Dados'!D$6:D$196,MATCH($C148,'Entrada de Dados'!$A$6:$A$196,0))</f>
        <v/>
      </c>
      <c r="H148" s="243">
        <f>INDEX('Entrada de Dados'!E$6:E$196,MATCH($C148,'Entrada de Dados'!$A$6:$A$196,0))</f>
        <v/>
      </c>
      <c r="I148" s="243">
        <f>INDEX('Entrada de Dados'!F$6:F$196,MATCH($C148,'Entrada de Dados'!$A$6:$A$196,0))</f>
        <v/>
      </c>
      <c r="J148" s="243">
        <f>INDEX('Entrada de Dados'!G$6:G$196,MATCH($C148,'Entrada de Dados'!$A$6:$A$196,0))</f>
        <v/>
      </c>
      <c r="K148" s="243">
        <f>INDEX('Entrada de Dados'!H$6:H$196,MATCH($C148,'Entrada de Dados'!$A$6:$A$196,0))</f>
        <v/>
      </c>
      <c r="L148" s="243">
        <f>INDEX('Entrada de Dados'!I$6:I$196,MATCH($C148,'Entrada de Dados'!$A$6:$A$196,0))</f>
        <v/>
      </c>
      <c r="M148" s="243">
        <f>INDEX('Entrada de Dados'!J$6:J$196,MATCH($C148,'Entrada de Dados'!$A$6:$A$196,0))</f>
        <v/>
      </c>
      <c r="N148" s="243">
        <f>INDEX('Entrada de Dados'!K$6:K$196,MATCH($C148,'Entrada de Dados'!$A$6:$A$196,0))</f>
        <v/>
      </c>
      <c r="O148" s="243">
        <f>INDEX('Entrada de Dados'!L$6:L$196,MATCH($C148,'Entrada de Dados'!$A$6:$A$196,0))</f>
        <v/>
      </c>
      <c r="P148" s="243">
        <f>INDEX('Entrada de Dados'!M$6:M$196,MATCH($C148,'Entrada de Dados'!$A$6:$A$196,0))</f>
        <v/>
      </c>
      <c r="Q148" s="243">
        <f>INDEX('Entrada de Dados'!N$6:N$196,MATCH($C148,'Entrada de Dados'!$A$6:$A$196,0))</f>
        <v/>
      </c>
      <c r="R148" s="243">
        <f>INDEX('Entrada de Dados'!O$6:O$196,MATCH($C148,'Entrada de Dados'!$A$6:$A$196,0))</f>
        <v/>
      </c>
      <c r="S148" s="243">
        <f>INDEX('Entrada de Dados'!P$6:P$196,MATCH($C148,'Entrada de Dados'!$A$6:$A$196,0))</f>
        <v/>
      </c>
      <c r="T148" s="243">
        <f>INDEX('Entrada de Dados'!Q$6:Q$196,MATCH($C148,'Entrada de Dados'!$A$6:$A$196,0))</f>
        <v/>
      </c>
      <c r="U148" s="243">
        <f>INDEX('Entrada de Dados'!R$6:R$196,MATCH($C148,'Entrada de Dados'!$A$6:$A$196,0))</f>
        <v/>
      </c>
      <c r="V148" s="243">
        <f>INDEX('Entrada de Dados'!S$6:S$196,MATCH($C148,'Entrada de Dados'!$A$6:$A$196,0))</f>
        <v/>
      </c>
      <c r="W148" s="243">
        <f>INDEX('Entrada de Dados'!T$6:T$196,MATCH($C148,'Entrada de Dados'!$A$6:$A$196,0))</f>
        <v/>
      </c>
      <c r="X148" s="243">
        <f>INDEX('Entrada de Dados'!U$6:U$196,MATCH($C148,'Entrada de Dados'!$A$6:$A$196,0))</f>
        <v/>
      </c>
    </row>
    <row r="149">
      <c r="A149" s="241" t="n">
        <v>3</v>
      </c>
      <c r="B149" s="241" t="inlineStr"/>
      <c r="C149" s="241" t="inlineStr">
        <is>
          <t>1073</t>
        </is>
      </c>
      <c r="D149" s="242">
        <f>HYPERLINK("#'E M OSWALDO DA COSTA FRIAS'!A1","E M OSWALDO DA COSTA FRIAS")</f>
        <v/>
      </c>
      <c r="E149" s="242" t="inlineStr">
        <is>
          <t>POSSE</t>
        </is>
      </c>
      <c r="F149" s="243">
        <f>INDEX('Entrada de Dados'!C$6:C$196,MATCH($C149,'Entrada de Dados'!$A$6:$A$196,0))</f>
        <v/>
      </c>
      <c r="G149" s="243">
        <f>INDEX('Entrada de Dados'!D$6:D$196,MATCH($C149,'Entrada de Dados'!$A$6:$A$196,0))</f>
        <v/>
      </c>
      <c r="H149" s="243">
        <f>INDEX('Entrada de Dados'!E$6:E$196,MATCH($C149,'Entrada de Dados'!$A$6:$A$196,0))</f>
        <v/>
      </c>
      <c r="I149" s="243">
        <f>INDEX('Entrada de Dados'!F$6:F$196,MATCH($C149,'Entrada de Dados'!$A$6:$A$196,0))</f>
        <v/>
      </c>
      <c r="J149" s="243">
        <f>INDEX('Entrada de Dados'!G$6:G$196,MATCH($C149,'Entrada de Dados'!$A$6:$A$196,0))</f>
        <v/>
      </c>
      <c r="K149" s="243">
        <f>INDEX('Entrada de Dados'!H$6:H$196,MATCH($C149,'Entrada de Dados'!$A$6:$A$196,0))</f>
        <v/>
      </c>
      <c r="L149" s="243">
        <f>INDEX('Entrada de Dados'!I$6:I$196,MATCH($C149,'Entrada de Dados'!$A$6:$A$196,0))</f>
        <v/>
      </c>
      <c r="M149" s="243">
        <f>INDEX('Entrada de Dados'!J$6:J$196,MATCH($C149,'Entrada de Dados'!$A$6:$A$196,0))</f>
        <v/>
      </c>
      <c r="N149" s="243">
        <f>INDEX('Entrada de Dados'!K$6:K$196,MATCH($C149,'Entrada de Dados'!$A$6:$A$196,0))</f>
        <v/>
      </c>
      <c r="O149" s="243">
        <f>INDEX('Entrada de Dados'!L$6:L$196,MATCH($C149,'Entrada de Dados'!$A$6:$A$196,0))</f>
        <v/>
      </c>
      <c r="P149" s="243">
        <f>INDEX('Entrada de Dados'!M$6:M$196,MATCH($C149,'Entrada de Dados'!$A$6:$A$196,0))</f>
        <v/>
      </c>
      <c r="Q149" s="243">
        <f>INDEX('Entrada de Dados'!N$6:N$196,MATCH($C149,'Entrada de Dados'!$A$6:$A$196,0))</f>
        <v/>
      </c>
      <c r="R149" s="243">
        <f>INDEX('Entrada de Dados'!O$6:O$196,MATCH($C149,'Entrada de Dados'!$A$6:$A$196,0))</f>
        <v/>
      </c>
      <c r="S149" s="243">
        <f>INDEX('Entrada de Dados'!P$6:P$196,MATCH($C149,'Entrada de Dados'!$A$6:$A$196,0))</f>
        <v/>
      </c>
      <c r="T149" s="243">
        <f>INDEX('Entrada de Dados'!Q$6:Q$196,MATCH($C149,'Entrada de Dados'!$A$6:$A$196,0))</f>
        <v/>
      </c>
      <c r="U149" s="243">
        <f>INDEX('Entrada de Dados'!R$6:R$196,MATCH($C149,'Entrada de Dados'!$A$6:$A$196,0))</f>
        <v/>
      </c>
      <c r="V149" s="243">
        <f>INDEX('Entrada de Dados'!S$6:S$196,MATCH($C149,'Entrada de Dados'!$A$6:$A$196,0))</f>
        <v/>
      </c>
      <c r="W149" s="243">
        <f>INDEX('Entrada de Dados'!T$6:T$196,MATCH($C149,'Entrada de Dados'!$A$6:$A$196,0))</f>
        <v/>
      </c>
      <c r="X149" s="243">
        <f>INDEX('Entrada de Dados'!U$6:U$196,MATCH($C149,'Entrada de Dados'!$A$6:$A$196,0))</f>
        <v/>
      </c>
    </row>
    <row r="150">
      <c r="A150" s="241" t="n">
        <v>4</v>
      </c>
      <c r="B150" s="241" t="inlineStr"/>
      <c r="C150" s="241" t="inlineStr">
        <is>
          <t>1068</t>
        </is>
      </c>
      <c r="D150" s="242">
        <f>HYPERLINK("#'E M ANTÔNIO JOSÉ DE LIMA'!A1","E M ANTÔNIO JOSÉ DE LIMA")</f>
        <v/>
      </c>
      <c r="E150" s="242" t="inlineStr">
        <is>
          <t>POSSE</t>
        </is>
      </c>
      <c r="F150" s="243">
        <f>INDEX('Entrada de Dados'!C$6:C$196,MATCH($C150,'Entrada de Dados'!$A$6:$A$196,0))</f>
        <v/>
      </c>
      <c r="G150" s="243">
        <f>INDEX('Entrada de Dados'!D$6:D$196,MATCH($C150,'Entrada de Dados'!$A$6:$A$196,0))</f>
        <v/>
      </c>
      <c r="H150" s="243">
        <f>INDEX('Entrada de Dados'!E$6:E$196,MATCH($C150,'Entrada de Dados'!$A$6:$A$196,0))</f>
        <v/>
      </c>
      <c r="I150" s="243">
        <f>INDEX('Entrada de Dados'!F$6:F$196,MATCH($C150,'Entrada de Dados'!$A$6:$A$196,0))</f>
        <v/>
      </c>
      <c r="J150" s="243">
        <f>INDEX('Entrada de Dados'!G$6:G$196,MATCH($C150,'Entrada de Dados'!$A$6:$A$196,0))</f>
        <v/>
      </c>
      <c r="K150" s="243">
        <f>INDEX('Entrada de Dados'!H$6:H$196,MATCH($C150,'Entrada de Dados'!$A$6:$A$196,0))</f>
        <v/>
      </c>
      <c r="L150" s="243">
        <f>INDEX('Entrada de Dados'!I$6:I$196,MATCH($C150,'Entrada de Dados'!$A$6:$A$196,0))</f>
        <v/>
      </c>
      <c r="M150" s="243">
        <f>INDEX('Entrada de Dados'!J$6:J$196,MATCH($C150,'Entrada de Dados'!$A$6:$A$196,0))</f>
        <v/>
      </c>
      <c r="N150" s="243">
        <f>INDEX('Entrada de Dados'!K$6:K$196,MATCH($C150,'Entrada de Dados'!$A$6:$A$196,0))</f>
        <v/>
      </c>
      <c r="O150" s="243">
        <f>INDEX('Entrada de Dados'!L$6:L$196,MATCH($C150,'Entrada de Dados'!$A$6:$A$196,0))</f>
        <v/>
      </c>
      <c r="P150" s="243">
        <f>INDEX('Entrada de Dados'!M$6:M$196,MATCH($C150,'Entrada de Dados'!$A$6:$A$196,0))</f>
        <v/>
      </c>
      <c r="Q150" s="243">
        <f>INDEX('Entrada de Dados'!N$6:N$196,MATCH($C150,'Entrada de Dados'!$A$6:$A$196,0))</f>
        <v/>
      </c>
      <c r="R150" s="243">
        <f>INDEX('Entrada de Dados'!O$6:O$196,MATCH($C150,'Entrada de Dados'!$A$6:$A$196,0))</f>
        <v/>
      </c>
      <c r="S150" s="243">
        <f>INDEX('Entrada de Dados'!P$6:P$196,MATCH($C150,'Entrada de Dados'!$A$6:$A$196,0))</f>
        <v/>
      </c>
      <c r="T150" s="243">
        <f>INDEX('Entrada de Dados'!Q$6:Q$196,MATCH($C150,'Entrada de Dados'!$A$6:$A$196,0))</f>
        <v/>
      </c>
      <c r="U150" s="243">
        <f>INDEX('Entrada de Dados'!R$6:R$196,MATCH($C150,'Entrada de Dados'!$A$6:$A$196,0))</f>
        <v/>
      </c>
      <c r="V150" s="243">
        <f>INDEX('Entrada de Dados'!S$6:S$196,MATCH($C150,'Entrada de Dados'!$A$6:$A$196,0))</f>
        <v/>
      </c>
      <c r="W150" s="243">
        <f>INDEX('Entrada de Dados'!T$6:T$196,MATCH($C150,'Entrada de Dados'!$A$6:$A$196,0))</f>
        <v/>
      </c>
      <c r="X150" s="243">
        <f>INDEX('Entrada de Dados'!U$6:U$196,MATCH($C150,'Entrada de Dados'!$A$6:$A$196,0))</f>
        <v/>
      </c>
    </row>
    <row r="151">
      <c r="A151" s="241" t="n">
        <v>5</v>
      </c>
      <c r="B151" s="241" t="inlineStr"/>
      <c r="C151" s="241" t="inlineStr">
        <is>
          <t>1070</t>
        </is>
      </c>
      <c r="D151" s="242">
        <f>HYPERLINK("#'ESCOLA MUNICIPAL HILDEBRANDO DE'!A1","ESCOLA MUNICIPAL HILDEBRANDO DE CARVALHO")</f>
        <v/>
      </c>
      <c r="E151" s="242" t="inlineStr">
        <is>
          <t>POSSE</t>
        </is>
      </c>
      <c r="F151" s="243">
        <f>INDEX('Entrada de Dados'!C$6:C$196,MATCH($C151,'Entrada de Dados'!$A$6:$A$196,0))</f>
        <v/>
      </c>
      <c r="G151" s="243">
        <f>INDEX('Entrada de Dados'!D$6:D$196,MATCH($C151,'Entrada de Dados'!$A$6:$A$196,0))</f>
        <v/>
      </c>
      <c r="H151" s="243">
        <f>INDEX('Entrada de Dados'!E$6:E$196,MATCH($C151,'Entrada de Dados'!$A$6:$A$196,0))</f>
        <v/>
      </c>
      <c r="I151" s="243">
        <f>INDEX('Entrada de Dados'!F$6:F$196,MATCH($C151,'Entrada de Dados'!$A$6:$A$196,0))</f>
        <v/>
      </c>
      <c r="J151" s="243">
        <f>INDEX('Entrada de Dados'!G$6:G$196,MATCH($C151,'Entrada de Dados'!$A$6:$A$196,0))</f>
        <v/>
      </c>
      <c r="K151" s="243">
        <f>INDEX('Entrada de Dados'!H$6:H$196,MATCH($C151,'Entrada de Dados'!$A$6:$A$196,0))</f>
        <v/>
      </c>
      <c r="L151" s="243">
        <f>INDEX('Entrada de Dados'!I$6:I$196,MATCH($C151,'Entrada de Dados'!$A$6:$A$196,0))</f>
        <v/>
      </c>
      <c r="M151" s="243">
        <f>INDEX('Entrada de Dados'!J$6:J$196,MATCH($C151,'Entrada de Dados'!$A$6:$A$196,0))</f>
        <v/>
      </c>
      <c r="N151" s="243">
        <f>INDEX('Entrada de Dados'!K$6:K$196,MATCH($C151,'Entrada de Dados'!$A$6:$A$196,0))</f>
        <v/>
      </c>
      <c r="O151" s="243">
        <f>INDEX('Entrada de Dados'!L$6:L$196,MATCH($C151,'Entrada de Dados'!$A$6:$A$196,0))</f>
        <v/>
      </c>
      <c r="P151" s="243">
        <f>INDEX('Entrada de Dados'!M$6:M$196,MATCH($C151,'Entrada de Dados'!$A$6:$A$196,0))</f>
        <v/>
      </c>
      <c r="Q151" s="243">
        <f>INDEX('Entrada de Dados'!N$6:N$196,MATCH($C151,'Entrada de Dados'!$A$6:$A$196,0))</f>
        <v/>
      </c>
      <c r="R151" s="243">
        <f>INDEX('Entrada de Dados'!O$6:O$196,MATCH($C151,'Entrada de Dados'!$A$6:$A$196,0))</f>
        <v/>
      </c>
      <c r="S151" s="243">
        <f>INDEX('Entrada de Dados'!P$6:P$196,MATCH($C151,'Entrada de Dados'!$A$6:$A$196,0))</f>
        <v/>
      </c>
      <c r="T151" s="243">
        <f>INDEX('Entrada de Dados'!Q$6:Q$196,MATCH($C151,'Entrada de Dados'!$A$6:$A$196,0))</f>
        <v/>
      </c>
      <c r="U151" s="243">
        <f>INDEX('Entrada de Dados'!R$6:R$196,MATCH($C151,'Entrada de Dados'!$A$6:$A$196,0))</f>
        <v/>
      </c>
      <c r="V151" s="243">
        <f>INDEX('Entrada de Dados'!S$6:S$196,MATCH($C151,'Entrada de Dados'!$A$6:$A$196,0))</f>
        <v/>
      </c>
      <c r="W151" s="243">
        <f>INDEX('Entrada de Dados'!T$6:T$196,MATCH($C151,'Entrada de Dados'!$A$6:$A$196,0))</f>
        <v/>
      </c>
      <c r="X151" s="243">
        <f>INDEX('Entrada de Dados'!U$6:U$196,MATCH($C151,'Entrada de Dados'!$A$6:$A$196,0))</f>
        <v/>
      </c>
    </row>
    <row r="152">
      <c r="A152" s="241" t="n">
        <v>6</v>
      </c>
      <c r="B152" s="241" t="inlineStr"/>
      <c r="C152" s="241" t="inlineStr">
        <is>
          <t>1069</t>
        </is>
      </c>
      <c r="D152" s="242">
        <f>HYPERLINK("#'E M FELIX WAN ERVEN DE BARROS'!A1","E M FELIX WAN ERVEN DE BARROS")</f>
        <v/>
      </c>
      <c r="E152" s="242" t="inlineStr">
        <is>
          <t>POSSE</t>
        </is>
      </c>
      <c r="F152" s="243">
        <f>INDEX('Entrada de Dados'!C$6:C$196,MATCH($C152,'Entrada de Dados'!$A$6:$A$196,0))</f>
        <v/>
      </c>
      <c r="G152" s="243">
        <f>INDEX('Entrada de Dados'!D$6:D$196,MATCH($C152,'Entrada de Dados'!$A$6:$A$196,0))</f>
        <v/>
      </c>
      <c r="H152" s="243">
        <f>INDEX('Entrada de Dados'!E$6:E$196,MATCH($C152,'Entrada de Dados'!$A$6:$A$196,0))</f>
        <v/>
      </c>
      <c r="I152" s="243">
        <f>INDEX('Entrada de Dados'!F$6:F$196,MATCH($C152,'Entrada de Dados'!$A$6:$A$196,0))</f>
        <v/>
      </c>
      <c r="J152" s="243">
        <f>INDEX('Entrada de Dados'!G$6:G$196,MATCH($C152,'Entrada de Dados'!$A$6:$A$196,0))</f>
        <v/>
      </c>
      <c r="K152" s="243">
        <f>INDEX('Entrada de Dados'!H$6:H$196,MATCH($C152,'Entrada de Dados'!$A$6:$A$196,0))</f>
        <v/>
      </c>
      <c r="L152" s="243">
        <f>INDEX('Entrada de Dados'!I$6:I$196,MATCH($C152,'Entrada de Dados'!$A$6:$A$196,0))</f>
        <v/>
      </c>
      <c r="M152" s="243">
        <f>INDEX('Entrada de Dados'!J$6:J$196,MATCH($C152,'Entrada de Dados'!$A$6:$A$196,0))</f>
        <v/>
      </c>
      <c r="N152" s="243">
        <f>INDEX('Entrada de Dados'!K$6:K$196,MATCH($C152,'Entrada de Dados'!$A$6:$A$196,0))</f>
        <v/>
      </c>
      <c r="O152" s="243">
        <f>INDEX('Entrada de Dados'!L$6:L$196,MATCH($C152,'Entrada de Dados'!$A$6:$A$196,0))</f>
        <v/>
      </c>
      <c r="P152" s="243">
        <f>INDEX('Entrada de Dados'!M$6:M$196,MATCH($C152,'Entrada de Dados'!$A$6:$A$196,0))</f>
        <v/>
      </c>
      <c r="Q152" s="243">
        <f>INDEX('Entrada de Dados'!N$6:N$196,MATCH($C152,'Entrada de Dados'!$A$6:$A$196,0))</f>
        <v/>
      </c>
      <c r="R152" s="243">
        <f>INDEX('Entrada de Dados'!O$6:O$196,MATCH($C152,'Entrada de Dados'!$A$6:$A$196,0))</f>
        <v/>
      </c>
      <c r="S152" s="243">
        <f>INDEX('Entrada de Dados'!P$6:P$196,MATCH($C152,'Entrada de Dados'!$A$6:$A$196,0))</f>
        <v/>
      </c>
      <c r="T152" s="243">
        <f>INDEX('Entrada de Dados'!Q$6:Q$196,MATCH($C152,'Entrada de Dados'!$A$6:$A$196,0))</f>
        <v/>
      </c>
      <c r="U152" s="243">
        <f>INDEX('Entrada de Dados'!R$6:R$196,MATCH($C152,'Entrada de Dados'!$A$6:$A$196,0))</f>
        <v/>
      </c>
      <c r="V152" s="243">
        <f>INDEX('Entrada de Dados'!S$6:S$196,MATCH($C152,'Entrada de Dados'!$A$6:$A$196,0))</f>
        <v/>
      </c>
      <c r="W152" s="243">
        <f>INDEX('Entrada de Dados'!T$6:T$196,MATCH($C152,'Entrada de Dados'!$A$6:$A$196,0))</f>
        <v/>
      </c>
      <c r="X152" s="243">
        <f>INDEX('Entrada de Dados'!U$6:U$196,MATCH($C152,'Entrada de Dados'!$A$6:$A$196,0))</f>
        <v/>
      </c>
    </row>
    <row r="153">
      <c r="A153" s="241" t="n">
        <v>7</v>
      </c>
      <c r="B153" s="241" t="inlineStr"/>
      <c r="C153" s="241" t="inlineStr">
        <is>
          <t>3062</t>
        </is>
      </c>
      <c r="D153" s="242">
        <f>HYPERLINK("#'CEI JOSÉ GONÇALVES DA MOTTA'!A1","CEI JOSÉ GONÇALVES DA MOTTA")</f>
        <v/>
      </c>
      <c r="E153" s="242" t="inlineStr">
        <is>
          <t>POSSE</t>
        </is>
      </c>
      <c r="F153" s="243">
        <f>INDEX('Entrada de Dados'!C$6:C$196,MATCH($C153,'Entrada de Dados'!$A$6:$A$196,0))</f>
        <v/>
      </c>
      <c r="G153" s="243">
        <f>INDEX('Entrada de Dados'!D$6:D$196,MATCH($C153,'Entrada de Dados'!$A$6:$A$196,0))</f>
        <v/>
      </c>
      <c r="H153" s="243">
        <f>INDEX('Entrada de Dados'!E$6:E$196,MATCH($C153,'Entrada de Dados'!$A$6:$A$196,0))</f>
        <v/>
      </c>
      <c r="I153" s="243">
        <f>INDEX('Entrada de Dados'!F$6:F$196,MATCH($C153,'Entrada de Dados'!$A$6:$A$196,0))</f>
        <v/>
      </c>
      <c r="J153" s="243">
        <f>INDEX('Entrada de Dados'!G$6:G$196,MATCH($C153,'Entrada de Dados'!$A$6:$A$196,0))</f>
        <v/>
      </c>
      <c r="K153" s="243">
        <f>INDEX('Entrada de Dados'!H$6:H$196,MATCH($C153,'Entrada de Dados'!$A$6:$A$196,0))</f>
        <v/>
      </c>
      <c r="L153" s="243">
        <f>INDEX('Entrada de Dados'!I$6:I$196,MATCH($C153,'Entrada de Dados'!$A$6:$A$196,0))</f>
        <v/>
      </c>
      <c r="M153" s="243">
        <f>INDEX('Entrada de Dados'!J$6:J$196,MATCH($C153,'Entrada de Dados'!$A$6:$A$196,0))</f>
        <v/>
      </c>
      <c r="N153" s="243">
        <f>INDEX('Entrada de Dados'!K$6:K$196,MATCH($C153,'Entrada de Dados'!$A$6:$A$196,0))</f>
        <v/>
      </c>
      <c r="O153" s="243">
        <f>INDEX('Entrada de Dados'!L$6:L$196,MATCH($C153,'Entrada de Dados'!$A$6:$A$196,0))</f>
        <v/>
      </c>
      <c r="P153" s="243">
        <f>INDEX('Entrada de Dados'!M$6:M$196,MATCH($C153,'Entrada de Dados'!$A$6:$A$196,0))</f>
        <v/>
      </c>
      <c r="Q153" s="243">
        <f>INDEX('Entrada de Dados'!N$6:N$196,MATCH($C153,'Entrada de Dados'!$A$6:$A$196,0))</f>
        <v/>
      </c>
      <c r="R153" s="243">
        <f>INDEX('Entrada de Dados'!O$6:O$196,MATCH($C153,'Entrada de Dados'!$A$6:$A$196,0))</f>
        <v/>
      </c>
      <c r="S153" s="243">
        <f>INDEX('Entrada de Dados'!P$6:P$196,MATCH($C153,'Entrada de Dados'!$A$6:$A$196,0))</f>
        <v/>
      </c>
      <c r="T153" s="243">
        <f>INDEX('Entrada de Dados'!Q$6:Q$196,MATCH($C153,'Entrada de Dados'!$A$6:$A$196,0))</f>
        <v/>
      </c>
      <c r="U153" s="243">
        <f>INDEX('Entrada de Dados'!R$6:R$196,MATCH($C153,'Entrada de Dados'!$A$6:$A$196,0))</f>
        <v/>
      </c>
      <c r="V153" s="243">
        <f>INDEX('Entrada de Dados'!S$6:S$196,MATCH($C153,'Entrada de Dados'!$A$6:$A$196,0))</f>
        <v/>
      </c>
      <c r="W153" s="243">
        <f>INDEX('Entrada de Dados'!T$6:T$196,MATCH($C153,'Entrada de Dados'!$A$6:$A$196,0))</f>
        <v/>
      </c>
      <c r="X153" s="243">
        <f>INDEX('Entrada de Dados'!U$6:U$196,MATCH($C153,'Entrada de Dados'!$A$6:$A$196,0))</f>
        <v/>
      </c>
    </row>
    <row r="154" ht="22" customHeight="1" s="107">
      <c r="A154" s="248" t="inlineStr">
        <is>
          <t>Peso previsto:</t>
        </is>
      </c>
      <c r="C154" s="249">
        <f>SUM(F147:F153)+SUM(G147:G153)+SUM(H147:H153)+SUM(I147:I153)+SUM(J147:J153)+SUM(K147:K153)+SUM(L147:L153)+SUM(M147:M153)+SUM(N147:N153)+SUM(O147:O153)+SUM(P147:P153)+SUM(Q147:Q153)+SUM(R147:R153)+SUM(S147:S153)+SUM(T147:T153)+SUM(U147:U153)+SUM(W147:W153)+SUM(X147:X153)</f>
        <v/>
      </c>
      <c r="D154" s="248" t="inlineStr">
        <is>
          <t>Peso embarcado (kg):</t>
        </is>
      </c>
      <c r="F154" s="250" t="n"/>
      <c r="G154" s="248" t="inlineStr">
        <is>
          <t>Veículo:</t>
        </is>
      </c>
      <c r="I154" s="250" t="n"/>
      <c r="J154" s="251" t="n"/>
      <c r="K154" s="248" t="inlineStr">
        <is>
          <t>Motorista:</t>
        </is>
      </c>
      <c r="M154" s="250" t="n"/>
      <c r="N154" s="252" t="n"/>
      <c r="O154" s="252" t="n"/>
      <c r="P154" s="252" t="n"/>
      <c r="Q154" s="252" t="n"/>
      <c r="R154" s="252" t="n"/>
      <c r="S154" s="252" t="n"/>
      <c r="T154" s="252" t="n"/>
      <c r="U154" s="252" t="n"/>
      <c r="V154" s="252" t="n"/>
      <c r="W154" s="252" t="n"/>
      <c r="X154" s="251" t="n"/>
    </row>
    <row r="156" ht="24" customHeight="1" s="107">
      <c r="A156" s="234" t="inlineStr">
        <is>
          <t>TERÇA-FEIRA</t>
        </is>
      </c>
    </row>
    <row r="157" ht="20" customHeight="1" s="107">
      <c r="A157" s="236" t="inlineStr">
        <is>
          <t>ROTA T1 —  · KOMBI · 5 escolas · 5 paradas físicas</t>
        </is>
      </c>
    </row>
    <row r="158" ht="26" customHeight="1" s="107">
      <c r="A158" s="238" t="inlineStr">
        <is>
          <t>Sequência-base: Galpão Itaipava &gt; Rocio &gt; Santa Rosa &gt; Rio da Cidade &gt; Bela Vista &gt; Contorno &gt; Galpão   Atenção: Bloco de acessos dispersos. Confirmar sentido das vias e restrições da BR-040 antes da operação.</t>
        </is>
      </c>
    </row>
    <row r="159" ht="30" customHeight="1" s="107">
      <c r="A159" s="240" t="inlineStr">
        <is>
          <t>PAR.</t>
        </is>
      </c>
      <c r="B159" s="240" t="inlineStr">
        <is>
          <t>SUB</t>
        </is>
      </c>
      <c r="C159" s="240" t="inlineStr">
        <is>
          <t>CÓDIGO</t>
        </is>
      </c>
      <c r="D159" s="240" t="inlineStr">
        <is>
          <t>ESCOLA</t>
        </is>
      </c>
      <c r="E159" s="240" t="inlineStr">
        <is>
          <t>BAIRRO/CORREDOR</t>
        </is>
      </c>
      <c r="F159" s="240" t="inlineStr">
        <is>
          <t>Abacate</t>
        </is>
      </c>
      <c r="G159" s="240" t="inlineStr">
        <is>
          <t>Abobrinha</t>
        </is>
      </c>
      <c r="H159" s="240" t="inlineStr">
        <is>
          <t>Agrião</t>
        </is>
      </c>
      <c r="I159" s="240" t="inlineStr">
        <is>
          <t>Alface lisa</t>
        </is>
      </c>
      <c r="J159" s="240" t="inlineStr">
        <is>
          <t>Banana prata</t>
        </is>
      </c>
      <c r="K159" s="240" t="inlineStr">
        <is>
          <t>Batata inglesa</t>
        </is>
      </c>
      <c r="L159" s="240" t="inlineStr">
        <is>
          <t>Beterraba</t>
        </is>
      </c>
      <c r="M159" s="240" t="inlineStr">
        <is>
          <t>Brócolis</t>
        </is>
      </c>
      <c r="N159" s="240" t="inlineStr">
        <is>
          <t>Cenoura</t>
        </is>
      </c>
      <c r="O159" s="240" t="inlineStr">
        <is>
          <t>Cheiro verde</t>
        </is>
      </c>
      <c r="P159" s="240" t="inlineStr">
        <is>
          <t>Chuchu</t>
        </is>
      </c>
      <c r="Q159" s="240" t="inlineStr">
        <is>
          <t>Couve manteiga</t>
        </is>
      </c>
      <c r="R159" s="240" t="inlineStr">
        <is>
          <t>Couve-flor</t>
        </is>
      </c>
      <c r="S159" s="240" t="inlineStr">
        <is>
          <t>Espinafre</t>
        </is>
      </c>
      <c r="T159" s="240" t="inlineStr">
        <is>
          <t>Maçã gala</t>
        </is>
      </c>
      <c r="U159" s="240" t="inlineStr">
        <is>
          <t>Mel</t>
        </is>
      </c>
      <c r="V159" s="240" t="inlineStr">
        <is>
          <t>Ovos (dz)</t>
        </is>
      </c>
      <c r="W159" s="240" t="inlineStr">
        <is>
          <t>Repolho</t>
        </is>
      </c>
      <c r="X159" s="240" t="inlineStr">
        <is>
          <t>Tangerina ponkan</t>
        </is>
      </c>
    </row>
    <row r="160">
      <c r="A160" s="241" t="n">
        <v>1</v>
      </c>
      <c r="B160" s="241" t="inlineStr"/>
      <c r="C160" s="241" t="inlineStr">
        <is>
          <t>1090</t>
        </is>
      </c>
      <c r="D160" s="242">
        <f>HYPERLINK("#'E M SEBASTIÃO LACERDA'!A1","E M SEBASTIÃO LACERDA")</f>
        <v/>
      </c>
      <c r="E160" s="242" t="inlineStr">
        <is>
          <t>ROCIO</t>
        </is>
      </c>
      <c r="F160" s="243">
        <f>INDEX('Entrada de Dados'!C$6:C$196,MATCH($C160,'Entrada de Dados'!$A$6:$A$196,0))</f>
        <v/>
      </c>
      <c r="G160" s="243">
        <f>INDEX('Entrada de Dados'!D$6:D$196,MATCH($C160,'Entrada de Dados'!$A$6:$A$196,0))</f>
        <v/>
      </c>
      <c r="H160" s="243">
        <f>INDEX('Entrada de Dados'!E$6:E$196,MATCH($C160,'Entrada de Dados'!$A$6:$A$196,0))</f>
        <v/>
      </c>
      <c r="I160" s="243">
        <f>INDEX('Entrada de Dados'!F$6:F$196,MATCH($C160,'Entrada de Dados'!$A$6:$A$196,0))</f>
        <v/>
      </c>
      <c r="J160" s="243">
        <f>INDEX('Entrada de Dados'!G$6:G$196,MATCH($C160,'Entrada de Dados'!$A$6:$A$196,0))</f>
        <v/>
      </c>
      <c r="K160" s="243">
        <f>INDEX('Entrada de Dados'!H$6:H$196,MATCH($C160,'Entrada de Dados'!$A$6:$A$196,0))</f>
        <v/>
      </c>
      <c r="L160" s="243">
        <f>INDEX('Entrada de Dados'!I$6:I$196,MATCH($C160,'Entrada de Dados'!$A$6:$A$196,0))</f>
        <v/>
      </c>
      <c r="M160" s="243">
        <f>INDEX('Entrada de Dados'!J$6:J$196,MATCH($C160,'Entrada de Dados'!$A$6:$A$196,0))</f>
        <v/>
      </c>
      <c r="N160" s="243">
        <f>INDEX('Entrada de Dados'!K$6:K$196,MATCH($C160,'Entrada de Dados'!$A$6:$A$196,0))</f>
        <v/>
      </c>
      <c r="O160" s="243">
        <f>INDEX('Entrada de Dados'!L$6:L$196,MATCH($C160,'Entrada de Dados'!$A$6:$A$196,0))</f>
        <v/>
      </c>
      <c r="P160" s="243">
        <f>INDEX('Entrada de Dados'!M$6:M$196,MATCH($C160,'Entrada de Dados'!$A$6:$A$196,0))</f>
        <v/>
      </c>
      <c r="Q160" s="243">
        <f>INDEX('Entrada de Dados'!N$6:N$196,MATCH($C160,'Entrada de Dados'!$A$6:$A$196,0))</f>
        <v/>
      </c>
      <c r="R160" s="243">
        <f>INDEX('Entrada de Dados'!O$6:O$196,MATCH($C160,'Entrada de Dados'!$A$6:$A$196,0))</f>
        <v/>
      </c>
      <c r="S160" s="243">
        <f>INDEX('Entrada de Dados'!P$6:P$196,MATCH($C160,'Entrada de Dados'!$A$6:$A$196,0))</f>
        <v/>
      </c>
      <c r="T160" s="243">
        <f>INDEX('Entrada de Dados'!Q$6:Q$196,MATCH($C160,'Entrada de Dados'!$A$6:$A$196,0))</f>
        <v/>
      </c>
      <c r="U160" s="243">
        <f>INDEX('Entrada de Dados'!R$6:R$196,MATCH($C160,'Entrada de Dados'!$A$6:$A$196,0))</f>
        <v/>
      </c>
      <c r="V160" s="243">
        <f>INDEX('Entrada de Dados'!S$6:S$196,MATCH($C160,'Entrada de Dados'!$A$6:$A$196,0))</f>
        <v/>
      </c>
      <c r="W160" s="243">
        <f>INDEX('Entrada de Dados'!T$6:T$196,MATCH($C160,'Entrada de Dados'!$A$6:$A$196,0))</f>
        <v/>
      </c>
      <c r="X160" s="243">
        <f>INDEX('Entrada de Dados'!U$6:U$196,MATCH($C160,'Entrada de Dados'!$A$6:$A$196,0))</f>
        <v/>
      </c>
    </row>
    <row r="161">
      <c r="A161" s="241" t="n">
        <v>2</v>
      </c>
      <c r="B161" s="241" t="inlineStr"/>
      <c r="C161" s="241" t="inlineStr">
        <is>
          <t>1006</t>
        </is>
      </c>
      <c r="D161" s="242">
        <f>HYPERLINK("#'E M DOM PEDRO DE ALCÂNTARA'!A1","E M DOM PEDRO DE ALCÂNTARA")</f>
        <v/>
      </c>
      <c r="E161" s="242" t="inlineStr">
        <is>
          <t>SANTA ROSA DE LIMA</t>
        </is>
      </c>
      <c r="F161" s="243">
        <f>INDEX('Entrada de Dados'!C$6:C$196,MATCH($C161,'Entrada de Dados'!$A$6:$A$196,0))</f>
        <v/>
      </c>
      <c r="G161" s="243">
        <f>INDEX('Entrada de Dados'!D$6:D$196,MATCH($C161,'Entrada de Dados'!$A$6:$A$196,0))</f>
        <v/>
      </c>
      <c r="H161" s="243">
        <f>INDEX('Entrada de Dados'!E$6:E$196,MATCH($C161,'Entrada de Dados'!$A$6:$A$196,0))</f>
        <v/>
      </c>
      <c r="I161" s="243">
        <f>INDEX('Entrada de Dados'!F$6:F$196,MATCH($C161,'Entrada de Dados'!$A$6:$A$196,0))</f>
        <v/>
      </c>
      <c r="J161" s="243">
        <f>INDEX('Entrada de Dados'!G$6:G$196,MATCH($C161,'Entrada de Dados'!$A$6:$A$196,0))</f>
        <v/>
      </c>
      <c r="K161" s="243">
        <f>INDEX('Entrada de Dados'!H$6:H$196,MATCH($C161,'Entrada de Dados'!$A$6:$A$196,0))</f>
        <v/>
      </c>
      <c r="L161" s="243">
        <f>INDEX('Entrada de Dados'!I$6:I$196,MATCH($C161,'Entrada de Dados'!$A$6:$A$196,0))</f>
        <v/>
      </c>
      <c r="M161" s="243">
        <f>INDEX('Entrada de Dados'!J$6:J$196,MATCH($C161,'Entrada de Dados'!$A$6:$A$196,0))</f>
        <v/>
      </c>
      <c r="N161" s="243">
        <f>INDEX('Entrada de Dados'!K$6:K$196,MATCH($C161,'Entrada de Dados'!$A$6:$A$196,0))</f>
        <v/>
      </c>
      <c r="O161" s="243">
        <f>INDEX('Entrada de Dados'!L$6:L$196,MATCH($C161,'Entrada de Dados'!$A$6:$A$196,0))</f>
        <v/>
      </c>
      <c r="P161" s="243">
        <f>INDEX('Entrada de Dados'!M$6:M$196,MATCH($C161,'Entrada de Dados'!$A$6:$A$196,0))</f>
        <v/>
      </c>
      <c r="Q161" s="243">
        <f>INDEX('Entrada de Dados'!N$6:N$196,MATCH($C161,'Entrada de Dados'!$A$6:$A$196,0))</f>
        <v/>
      </c>
      <c r="R161" s="243">
        <f>INDEX('Entrada de Dados'!O$6:O$196,MATCH($C161,'Entrada de Dados'!$A$6:$A$196,0))</f>
        <v/>
      </c>
      <c r="S161" s="243">
        <f>INDEX('Entrada de Dados'!P$6:P$196,MATCH($C161,'Entrada de Dados'!$A$6:$A$196,0))</f>
        <v/>
      </c>
      <c r="T161" s="243">
        <f>INDEX('Entrada de Dados'!Q$6:Q$196,MATCH($C161,'Entrada de Dados'!$A$6:$A$196,0))</f>
        <v/>
      </c>
      <c r="U161" s="243">
        <f>INDEX('Entrada de Dados'!R$6:R$196,MATCH($C161,'Entrada de Dados'!$A$6:$A$196,0))</f>
        <v/>
      </c>
      <c r="V161" s="243">
        <f>INDEX('Entrada de Dados'!S$6:S$196,MATCH($C161,'Entrada de Dados'!$A$6:$A$196,0))</f>
        <v/>
      </c>
      <c r="W161" s="243">
        <f>INDEX('Entrada de Dados'!T$6:T$196,MATCH($C161,'Entrada de Dados'!$A$6:$A$196,0))</f>
        <v/>
      </c>
      <c r="X161" s="243">
        <f>INDEX('Entrada de Dados'!U$6:U$196,MATCH($C161,'Entrada de Dados'!$A$6:$A$196,0))</f>
        <v/>
      </c>
    </row>
    <row r="162">
      <c r="A162" s="241" t="n">
        <v>3</v>
      </c>
      <c r="B162" s="241" t="inlineStr"/>
      <c r="C162" s="241" t="inlineStr">
        <is>
          <t>2036</t>
        </is>
      </c>
      <c r="D162" s="242">
        <f>HYPERLINK("#'ESCOLA NOSSA SENHORA DE FÁTIMA'!A1","ESCOLA NOSSA SENHORA DE FÁTIMA")</f>
        <v/>
      </c>
      <c r="E162" s="242" t="inlineStr">
        <is>
          <t>RIO DA CIDADE</t>
        </is>
      </c>
      <c r="F162" s="243">
        <f>INDEX('Entrada de Dados'!C$6:C$196,MATCH($C162,'Entrada de Dados'!$A$6:$A$196,0))</f>
        <v/>
      </c>
      <c r="G162" s="243">
        <f>INDEX('Entrada de Dados'!D$6:D$196,MATCH($C162,'Entrada de Dados'!$A$6:$A$196,0))</f>
        <v/>
      </c>
      <c r="H162" s="243">
        <f>INDEX('Entrada de Dados'!E$6:E$196,MATCH($C162,'Entrada de Dados'!$A$6:$A$196,0))</f>
        <v/>
      </c>
      <c r="I162" s="243">
        <f>INDEX('Entrada de Dados'!F$6:F$196,MATCH($C162,'Entrada de Dados'!$A$6:$A$196,0))</f>
        <v/>
      </c>
      <c r="J162" s="243">
        <f>INDEX('Entrada de Dados'!G$6:G$196,MATCH($C162,'Entrada de Dados'!$A$6:$A$196,0))</f>
        <v/>
      </c>
      <c r="K162" s="243">
        <f>INDEX('Entrada de Dados'!H$6:H$196,MATCH($C162,'Entrada de Dados'!$A$6:$A$196,0))</f>
        <v/>
      </c>
      <c r="L162" s="243">
        <f>INDEX('Entrada de Dados'!I$6:I$196,MATCH($C162,'Entrada de Dados'!$A$6:$A$196,0))</f>
        <v/>
      </c>
      <c r="M162" s="243">
        <f>INDEX('Entrada de Dados'!J$6:J$196,MATCH($C162,'Entrada de Dados'!$A$6:$A$196,0))</f>
        <v/>
      </c>
      <c r="N162" s="243">
        <f>INDEX('Entrada de Dados'!K$6:K$196,MATCH($C162,'Entrada de Dados'!$A$6:$A$196,0))</f>
        <v/>
      </c>
      <c r="O162" s="243">
        <f>INDEX('Entrada de Dados'!L$6:L$196,MATCH($C162,'Entrada de Dados'!$A$6:$A$196,0))</f>
        <v/>
      </c>
      <c r="P162" s="243">
        <f>INDEX('Entrada de Dados'!M$6:M$196,MATCH($C162,'Entrada de Dados'!$A$6:$A$196,0))</f>
        <v/>
      </c>
      <c r="Q162" s="243">
        <f>INDEX('Entrada de Dados'!N$6:N$196,MATCH($C162,'Entrada de Dados'!$A$6:$A$196,0))</f>
        <v/>
      </c>
      <c r="R162" s="243">
        <f>INDEX('Entrada de Dados'!O$6:O$196,MATCH($C162,'Entrada de Dados'!$A$6:$A$196,0))</f>
        <v/>
      </c>
      <c r="S162" s="243">
        <f>INDEX('Entrada de Dados'!P$6:P$196,MATCH($C162,'Entrada de Dados'!$A$6:$A$196,0))</f>
        <v/>
      </c>
      <c r="T162" s="243">
        <f>INDEX('Entrada de Dados'!Q$6:Q$196,MATCH($C162,'Entrada de Dados'!$A$6:$A$196,0))</f>
        <v/>
      </c>
      <c r="U162" s="243">
        <f>INDEX('Entrada de Dados'!R$6:R$196,MATCH($C162,'Entrada de Dados'!$A$6:$A$196,0))</f>
        <v/>
      </c>
      <c r="V162" s="243">
        <f>INDEX('Entrada de Dados'!S$6:S$196,MATCH($C162,'Entrada de Dados'!$A$6:$A$196,0))</f>
        <v/>
      </c>
      <c r="W162" s="243">
        <f>INDEX('Entrada de Dados'!T$6:T$196,MATCH($C162,'Entrada de Dados'!$A$6:$A$196,0))</f>
        <v/>
      </c>
      <c r="X162" s="243">
        <f>INDEX('Entrada de Dados'!U$6:U$196,MATCH($C162,'Entrada de Dados'!$A$6:$A$196,0))</f>
        <v/>
      </c>
    </row>
    <row r="163">
      <c r="A163" s="241" t="n">
        <v>4</v>
      </c>
      <c r="B163" s="241" t="inlineStr"/>
      <c r="C163" s="241" t="inlineStr">
        <is>
          <t>2026</t>
        </is>
      </c>
      <c r="D163" s="242">
        <f>HYPERLINK("#'ESCOLA PAROQUIAL SÃO FRANCISCO '!A1","ESCOLA PAROQUIAL SÃO FRANCISCO DE ASSIS - BV")</f>
        <v/>
      </c>
      <c r="E163" s="242" t="inlineStr">
        <is>
          <t>BELA VISTA</t>
        </is>
      </c>
      <c r="F163" s="243">
        <f>INDEX('Entrada de Dados'!C$6:C$196,MATCH($C163,'Entrada de Dados'!$A$6:$A$196,0))</f>
        <v/>
      </c>
      <c r="G163" s="243">
        <f>INDEX('Entrada de Dados'!D$6:D$196,MATCH($C163,'Entrada de Dados'!$A$6:$A$196,0))</f>
        <v/>
      </c>
      <c r="H163" s="243">
        <f>INDEX('Entrada de Dados'!E$6:E$196,MATCH($C163,'Entrada de Dados'!$A$6:$A$196,0))</f>
        <v/>
      </c>
      <c r="I163" s="243">
        <f>INDEX('Entrada de Dados'!F$6:F$196,MATCH($C163,'Entrada de Dados'!$A$6:$A$196,0))</f>
        <v/>
      </c>
      <c r="J163" s="243">
        <f>INDEX('Entrada de Dados'!G$6:G$196,MATCH($C163,'Entrada de Dados'!$A$6:$A$196,0))</f>
        <v/>
      </c>
      <c r="K163" s="243">
        <f>INDEX('Entrada de Dados'!H$6:H$196,MATCH($C163,'Entrada de Dados'!$A$6:$A$196,0))</f>
        <v/>
      </c>
      <c r="L163" s="243">
        <f>INDEX('Entrada de Dados'!I$6:I$196,MATCH($C163,'Entrada de Dados'!$A$6:$A$196,0))</f>
        <v/>
      </c>
      <c r="M163" s="243">
        <f>INDEX('Entrada de Dados'!J$6:J$196,MATCH($C163,'Entrada de Dados'!$A$6:$A$196,0))</f>
        <v/>
      </c>
      <c r="N163" s="243">
        <f>INDEX('Entrada de Dados'!K$6:K$196,MATCH($C163,'Entrada de Dados'!$A$6:$A$196,0))</f>
        <v/>
      </c>
      <c r="O163" s="243">
        <f>INDEX('Entrada de Dados'!L$6:L$196,MATCH($C163,'Entrada de Dados'!$A$6:$A$196,0))</f>
        <v/>
      </c>
      <c r="P163" s="243">
        <f>INDEX('Entrada de Dados'!M$6:M$196,MATCH($C163,'Entrada de Dados'!$A$6:$A$196,0))</f>
        <v/>
      </c>
      <c r="Q163" s="243">
        <f>INDEX('Entrada de Dados'!N$6:N$196,MATCH($C163,'Entrada de Dados'!$A$6:$A$196,0))</f>
        <v/>
      </c>
      <c r="R163" s="243">
        <f>INDEX('Entrada de Dados'!O$6:O$196,MATCH($C163,'Entrada de Dados'!$A$6:$A$196,0))</f>
        <v/>
      </c>
      <c r="S163" s="243">
        <f>INDEX('Entrada de Dados'!P$6:P$196,MATCH($C163,'Entrada de Dados'!$A$6:$A$196,0))</f>
        <v/>
      </c>
      <c r="T163" s="243">
        <f>INDEX('Entrada de Dados'!Q$6:Q$196,MATCH($C163,'Entrada de Dados'!$A$6:$A$196,0))</f>
        <v/>
      </c>
      <c r="U163" s="243">
        <f>INDEX('Entrada de Dados'!R$6:R$196,MATCH($C163,'Entrada de Dados'!$A$6:$A$196,0))</f>
        <v/>
      </c>
      <c r="V163" s="243">
        <f>INDEX('Entrada de Dados'!S$6:S$196,MATCH($C163,'Entrada de Dados'!$A$6:$A$196,0))</f>
        <v/>
      </c>
      <c r="W163" s="243">
        <f>INDEX('Entrada de Dados'!T$6:T$196,MATCH($C163,'Entrada de Dados'!$A$6:$A$196,0))</f>
        <v/>
      </c>
      <c r="X163" s="243">
        <f>INDEX('Entrada de Dados'!U$6:U$196,MATCH($C163,'Entrada de Dados'!$A$6:$A$196,0))</f>
        <v/>
      </c>
    </row>
    <row r="164">
      <c r="A164" s="241" t="n">
        <v>5</v>
      </c>
      <c r="B164" s="241" t="inlineStr"/>
      <c r="C164" s="241" t="inlineStr">
        <is>
          <t>3026</t>
        </is>
      </c>
      <c r="D164" s="242">
        <f>HYPERLINK("#'CEI ALDEIA DA CRIANCA'!A1","CEI ALDEIA DA CRIANCA")</f>
        <v/>
      </c>
      <c r="E164" s="242" t="inlineStr">
        <is>
          <t>CONTORNO</t>
        </is>
      </c>
      <c r="F164" s="243">
        <f>INDEX('Entrada de Dados'!C$6:C$196,MATCH($C164,'Entrada de Dados'!$A$6:$A$196,0))</f>
        <v/>
      </c>
      <c r="G164" s="243">
        <f>INDEX('Entrada de Dados'!D$6:D$196,MATCH($C164,'Entrada de Dados'!$A$6:$A$196,0))</f>
        <v/>
      </c>
      <c r="H164" s="243">
        <f>INDEX('Entrada de Dados'!E$6:E$196,MATCH($C164,'Entrada de Dados'!$A$6:$A$196,0))</f>
        <v/>
      </c>
      <c r="I164" s="243">
        <f>INDEX('Entrada de Dados'!F$6:F$196,MATCH($C164,'Entrada de Dados'!$A$6:$A$196,0))</f>
        <v/>
      </c>
      <c r="J164" s="243">
        <f>INDEX('Entrada de Dados'!G$6:G$196,MATCH($C164,'Entrada de Dados'!$A$6:$A$196,0))</f>
        <v/>
      </c>
      <c r="K164" s="243">
        <f>INDEX('Entrada de Dados'!H$6:H$196,MATCH($C164,'Entrada de Dados'!$A$6:$A$196,0))</f>
        <v/>
      </c>
      <c r="L164" s="243">
        <f>INDEX('Entrada de Dados'!I$6:I$196,MATCH($C164,'Entrada de Dados'!$A$6:$A$196,0))</f>
        <v/>
      </c>
      <c r="M164" s="243">
        <f>INDEX('Entrada de Dados'!J$6:J$196,MATCH($C164,'Entrada de Dados'!$A$6:$A$196,0))</f>
        <v/>
      </c>
      <c r="N164" s="243">
        <f>INDEX('Entrada de Dados'!K$6:K$196,MATCH($C164,'Entrada de Dados'!$A$6:$A$196,0))</f>
        <v/>
      </c>
      <c r="O164" s="243">
        <f>INDEX('Entrada de Dados'!L$6:L$196,MATCH($C164,'Entrada de Dados'!$A$6:$A$196,0))</f>
        <v/>
      </c>
      <c r="P164" s="243">
        <f>INDEX('Entrada de Dados'!M$6:M$196,MATCH($C164,'Entrada de Dados'!$A$6:$A$196,0))</f>
        <v/>
      </c>
      <c r="Q164" s="243">
        <f>INDEX('Entrada de Dados'!N$6:N$196,MATCH($C164,'Entrada de Dados'!$A$6:$A$196,0))</f>
        <v/>
      </c>
      <c r="R164" s="243">
        <f>INDEX('Entrada de Dados'!O$6:O$196,MATCH($C164,'Entrada de Dados'!$A$6:$A$196,0))</f>
        <v/>
      </c>
      <c r="S164" s="243">
        <f>INDEX('Entrada de Dados'!P$6:P$196,MATCH($C164,'Entrada de Dados'!$A$6:$A$196,0))</f>
        <v/>
      </c>
      <c r="T164" s="243">
        <f>INDEX('Entrada de Dados'!Q$6:Q$196,MATCH($C164,'Entrada de Dados'!$A$6:$A$196,0))</f>
        <v/>
      </c>
      <c r="U164" s="243">
        <f>INDEX('Entrada de Dados'!R$6:R$196,MATCH($C164,'Entrada de Dados'!$A$6:$A$196,0))</f>
        <v/>
      </c>
      <c r="V164" s="243">
        <f>INDEX('Entrada de Dados'!S$6:S$196,MATCH($C164,'Entrada de Dados'!$A$6:$A$196,0))</f>
        <v/>
      </c>
      <c r="W164" s="243">
        <f>INDEX('Entrada de Dados'!T$6:T$196,MATCH($C164,'Entrada de Dados'!$A$6:$A$196,0))</f>
        <v/>
      </c>
      <c r="X164" s="243">
        <f>INDEX('Entrada de Dados'!U$6:U$196,MATCH($C164,'Entrada de Dados'!$A$6:$A$196,0))</f>
        <v/>
      </c>
    </row>
    <row r="165" ht="22" customHeight="1" s="107">
      <c r="A165" s="248" t="inlineStr">
        <is>
          <t>Peso previsto:</t>
        </is>
      </c>
      <c r="C165" s="249">
        <f>SUM(F160:F164)+SUM(G160:G164)+SUM(H160:H164)+SUM(I160:I164)+SUM(J160:J164)+SUM(K160:K164)+SUM(L160:L164)+SUM(M160:M164)+SUM(N160:N164)+SUM(O160:O164)+SUM(P160:P164)+SUM(Q160:Q164)+SUM(R160:R164)+SUM(S160:S164)+SUM(T160:T164)+SUM(U160:U164)+SUM(W160:W164)+SUM(X160:X164)</f>
        <v/>
      </c>
      <c r="D165" s="248" t="inlineStr">
        <is>
          <t>Peso embarcado (kg):</t>
        </is>
      </c>
      <c r="F165" s="250" t="n"/>
      <c r="G165" s="248" t="inlineStr">
        <is>
          <t>Veículo:</t>
        </is>
      </c>
      <c r="I165" s="250" t="n"/>
      <c r="J165" s="251" t="n"/>
      <c r="K165" s="248" t="inlineStr">
        <is>
          <t>Motorista:</t>
        </is>
      </c>
      <c r="M165" s="250" t="n"/>
      <c r="N165" s="252" t="n"/>
      <c r="O165" s="252" t="n"/>
      <c r="P165" s="252" t="n"/>
      <c r="Q165" s="252" t="n"/>
      <c r="R165" s="252" t="n"/>
      <c r="S165" s="252" t="n"/>
      <c r="T165" s="252" t="n"/>
      <c r="U165" s="252" t="n"/>
      <c r="V165" s="252" t="n"/>
      <c r="W165" s="252" t="n"/>
      <c r="X165" s="251" t="n"/>
    </row>
    <row r="167" ht="20" customHeight="1" s="107">
      <c r="A167" s="236" t="inlineStr">
        <is>
          <t>ROTA T2 —  · KOMBI · 7 escolas · 7 paradas físicas</t>
        </is>
      </c>
    </row>
    <row r="168" ht="26" customHeight="1" s="107">
      <c r="A168" s="238" t="inlineStr">
        <is>
          <t>Sequência-base: Galpão Itaipava &gt; Ingelheim &gt; Fazenda Inglesa &gt; Moinho Preto &gt; Duarte da Silveira &gt; Galpão   Atenção: Corredor serrano e residencial. Caminhão somente após confirmação de largura e giro.</t>
        </is>
      </c>
    </row>
    <row r="169" ht="30" customHeight="1" s="107">
      <c r="A169" s="240" t="inlineStr">
        <is>
          <t>PAR.</t>
        </is>
      </c>
      <c r="B169" s="240" t="inlineStr">
        <is>
          <t>SUB</t>
        </is>
      </c>
      <c r="C169" s="240" t="inlineStr">
        <is>
          <t>CÓDIGO</t>
        </is>
      </c>
      <c r="D169" s="240" t="inlineStr">
        <is>
          <t>ESCOLA</t>
        </is>
      </c>
      <c r="E169" s="240" t="inlineStr">
        <is>
          <t>BAIRRO/CORREDOR</t>
        </is>
      </c>
      <c r="F169" s="240" t="inlineStr">
        <is>
          <t>Abacate</t>
        </is>
      </c>
      <c r="G169" s="240" t="inlineStr">
        <is>
          <t>Abobrinha</t>
        </is>
      </c>
      <c r="H169" s="240" t="inlineStr">
        <is>
          <t>Agrião</t>
        </is>
      </c>
      <c r="I169" s="240" t="inlineStr">
        <is>
          <t>Alface lisa</t>
        </is>
      </c>
      <c r="J169" s="240" t="inlineStr">
        <is>
          <t>Banana prata</t>
        </is>
      </c>
      <c r="K169" s="240" t="inlineStr">
        <is>
          <t>Batata inglesa</t>
        </is>
      </c>
      <c r="L169" s="240" t="inlineStr">
        <is>
          <t>Beterraba</t>
        </is>
      </c>
      <c r="M169" s="240" t="inlineStr">
        <is>
          <t>Brócolis</t>
        </is>
      </c>
      <c r="N169" s="240" t="inlineStr">
        <is>
          <t>Cenoura</t>
        </is>
      </c>
      <c r="O169" s="240" t="inlineStr">
        <is>
          <t>Cheiro verde</t>
        </is>
      </c>
      <c r="P169" s="240" t="inlineStr">
        <is>
          <t>Chuchu</t>
        </is>
      </c>
      <c r="Q169" s="240" t="inlineStr">
        <is>
          <t>Couve manteiga</t>
        </is>
      </c>
      <c r="R169" s="240" t="inlineStr">
        <is>
          <t>Couve-flor</t>
        </is>
      </c>
      <c r="S169" s="240" t="inlineStr">
        <is>
          <t>Espinafre</t>
        </is>
      </c>
      <c r="T169" s="240" t="inlineStr">
        <is>
          <t>Maçã gala</t>
        </is>
      </c>
      <c r="U169" s="240" t="inlineStr">
        <is>
          <t>Mel</t>
        </is>
      </c>
      <c r="V169" s="240" t="inlineStr">
        <is>
          <t>Ovos (dz)</t>
        </is>
      </c>
      <c r="W169" s="240" t="inlineStr">
        <is>
          <t>Repolho</t>
        </is>
      </c>
      <c r="X169" s="240" t="inlineStr">
        <is>
          <t>Tangerina ponkan</t>
        </is>
      </c>
    </row>
    <row r="170">
      <c r="A170" s="241" t="n">
        <v>1</v>
      </c>
      <c r="B170" s="241" t="inlineStr"/>
      <c r="C170" s="241" t="inlineStr">
        <is>
          <t>3060</t>
        </is>
      </c>
      <c r="D170" s="242">
        <f>HYPERLINK("#'CEI OSWALDO CRUZ'!A1","CEI OSWALDO CRUZ")</f>
        <v/>
      </c>
      <c r="E170" s="242" t="inlineStr">
        <is>
          <t>QUARTEIRÃO INGELHEIM</t>
        </is>
      </c>
      <c r="F170" s="243">
        <f>INDEX('Entrada de Dados'!C$6:C$196,MATCH($C170,'Entrada de Dados'!$A$6:$A$196,0))</f>
        <v/>
      </c>
      <c r="G170" s="243">
        <f>INDEX('Entrada de Dados'!D$6:D$196,MATCH($C170,'Entrada de Dados'!$A$6:$A$196,0))</f>
        <v/>
      </c>
      <c r="H170" s="243">
        <f>INDEX('Entrada de Dados'!E$6:E$196,MATCH($C170,'Entrada de Dados'!$A$6:$A$196,0))</f>
        <v/>
      </c>
      <c r="I170" s="243">
        <f>INDEX('Entrada de Dados'!F$6:F$196,MATCH($C170,'Entrada de Dados'!$A$6:$A$196,0))</f>
        <v/>
      </c>
      <c r="J170" s="243">
        <f>INDEX('Entrada de Dados'!G$6:G$196,MATCH($C170,'Entrada de Dados'!$A$6:$A$196,0))</f>
        <v/>
      </c>
      <c r="K170" s="243">
        <f>INDEX('Entrada de Dados'!H$6:H$196,MATCH($C170,'Entrada de Dados'!$A$6:$A$196,0))</f>
        <v/>
      </c>
      <c r="L170" s="243">
        <f>INDEX('Entrada de Dados'!I$6:I$196,MATCH($C170,'Entrada de Dados'!$A$6:$A$196,0))</f>
        <v/>
      </c>
      <c r="M170" s="243">
        <f>INDEX('Entrada de Dados'!J$6:J$196,MATCH($C170,'Entrada de Dados'!$A$6:$A$196,0))</f>
        <v/>
      </c>
      <c r="N170" s="243">
        <f>INDEX('Entrada de Dados'!K$6:K$196,MATCH($C170,'Entrada de Dados'!$A$6:$A$196,0))</f>
        <v/>
      </c>
      <c r="O170" s="243">
        <f>INDEX('Entrada de Dados'!L$6:L$196,MATCH($C170,'Entrada de Dados'!$A$6:$A$196,0))</f>
        <v/>
      </c>
      <c r="P170" s="243">
        <f>INDEX('Entrada de Dados'!M$6:M$196,MATCH($C170,'Entrada de Dados'!$A$6:$A$196,0))</f>
        <v/>
      </c>
      <c r="Q170" s="243">
        <f>INDEX('Entrada de Dados'!N$6:N$196,MATCH($C170,'Entrada de Dados'!$A$6:$A$196,0))</f>
        <v/>
      </c>
      <c r="R170" s="243">
        <f>INDEX('Entrada de Dados'!O$6:O$196,MATCH($C170,'Entrada de Dados'!$A$6:$A$196,0))</f>
        <v/>
      </c>
      <c r="S170" s="243">
        <f>INDEX('Entrada de Dados'!P$6:P$196,MATCH($C170,'Entrada de Dados'!$A$6:$A$196,0))</f>
        <v/>
      </c>
      <c r="T170" s="243">
        <f>INDEX('Entrada de Dados'!Q$6:Q$196,MATCH($C170,'Entrada de Dados'!$A$6:$A$196,0))</f>
        <v/>
      </c>
      <c r="U170" s="243">
        <f>INDEX('Entrada de Dados'!R$6:R$196,MATCH($C170,'Entrada de Dados'!$A$6:$A$196,0))</f>
        <v/>
      </c>
      <c r="V170" s="243">
        <f>INDEX('Entrada de Dados'!S$6:S$196,MATCH($C170,'Entrada de Dados'!$A$6:$A$196,0))</f>
        <v/>
      </c>
      <c r="W170" s="243">
        <f>INDEX('Entrada de Dados'!T$6:T$196,MATCH($C170,'Entrada de Dados'!$A$6:$A$196,0))</f>
        <v/>
      </c>
      <c r="X170" s="243">
        <f>INDEX('Entrada de Dados'!U$6:U$196,MATCH($C170,'Entrada de Dados'!$A$6:$A$196,0))</f>
        <v/>
      </c>
    </row>
    <row r="171">
      <c r="A171" s="241" t="n">
        <v>2</v>
      </c>
      <c r="B171" s="241" t="inlineStr"/>
      <c r="C171" s="241" t="inlineStr">
        <is>
          <t>3001</t>
        </is>
      </c>
      <c r="D171" s="242">
        <f>HYPERLINK("#'CEI ASSOCIAÇÃO BENEFICENTE FAZE'!A1","CEI ASSOCIAÇÃO BENEFICENTE FAZENDA INGLESA")</f>
        <v/>
      </c>
      <c r="E171" s="242" t="inlineStr">
        <is>
          <t>FAZENDA INGLESA</t>
        </is>
      </c>
      <c r="F171" s="243">
        <f>INDEX('Entrada de Dados'!C$6:C$196,MATCH($C171,'Entrada de Dados'!$A$6:$A$196,0))</f>
        <v/>
      </c>
      <c r="G171" s="243">
        <f>INDEX('Entrada de Dados'!D$6:D$196,MATCH($C171,'Entrada de Dados'!$A$6:$A$196,0))</f>
        <v/>
      </c>
      <c r="H171" s="243">
        <f>INDEX('Entrada de Dados'!E$6:E$196,MATCH($C171,'Entrada de Dados'!$A$6:$A$196,0))</f>
        <v/>
      </c>
      <c r="I171" s="243">
        <f>INDEX('Entrada de Dados'!F$6:F$196,MATCH($C171,'Entrada de Dados'!$A$6:$A$196,0))</f>
        <v/>
      </c>
      <c r="J171" s="243">
        <f>INDEX('Entrada de Dados'!G$6:G$196,MATCH($C171,'Entrada de Dados'!$A$6:$A$196,0))</f>
        <v/>
      </c>
      <c r="K171" s="243">
        <f>INDEX('Entrada de Dados'!H$6:H$196,MATCH($C171,'Entrada de Dados'!$A$6:$A$196,0))</f>
        <v/>
      </c>
      <c r="L171" s="243">
        <f>INDEX('Entrada de Dados'!I$6:I$196,MATCH($C171,'Entrada de Dados'!$A$6:$A$196,0))</f>
        <v/>
      </c>
      <c r="M171" s="243">
        <f>INDEX('Entrada de Dados'!J$6:J$196,MATCH($C171,'Entrada de Dados'!$A$6:$A$196,0))</f>
        <v/>
      </c>
      <c r="N171" s="243">
        <f>INDEX('Entrada de Dados'!K$6:K$196,MATCH($C171,'Entrada de Dados'!$A$6:$A$196,0))</f>
        <v/>
      </c>
      <c r="O171" s="243">
        <f>INDEX('Entrada de Dados'!L$6:L$196,MATCH($C171,'Entrada de Dados'!$A$6:$A$196,0))</f>
        <v/>
      </c>
      <c r="P171" s="243">
        <f>INDEX('Entrada de Dados'!M$6:M$196,MATCH($C171,'Entrada de Dados'!$A$6:$A$196,0))</f>
        <v/>
      </c>
      <c r="Q171" s="243">
        <f>INDEX('Entrada de Dados'!N$6:N$196,MATCH($C171,'Entrada de Dados'!$A$6:$A$196,0))</f>
        <v/>
      </c>
      <c r="R171" s="243">
        <f>INDEX('Entrada de Dados'!O$6:O$196,MATCH($C171,'Entrada de Dados'!$A$6:$A$196,0))</f>
        <v/>
      </c>
      <c r="S171" s="243">
        <f>INDEX('Entrada de Dados'!P$6:P$196,MATCH($C171,'Entrada de Dados'!$A$6:$A$196,0))</f>
        <v/>
      </c>
      <c r="T171" s="243">
        <f>INDEX('Entrada de Dados'!Q$6:Q$196,MATCH($C171,'Entrada de Dados'!$A$6:$A$196,0))</f>
        <v/>
      </c>
      <c r="U171" s="243">
        <f>INDEX('Entrada de Dados'!R$6:R$196,MATCH($C171,'Entrada de Dados'!$A$6:$A$196,0))</f>
        <v/>
      </c>
      <c r="V171" s="243">
        <f>INDEX('Entrada de Dados'!S$6:S$196,MATCH($C171,'Entrada de Dados'!$A$6:$A$196,0))</f>
        <v/>
      </c>
      <c r="W171" s="243">
        <f>INDEX('Entrada de Dados'!T$6:T$196,MATCH($C171,'Entrada de Dados'!$A$6:$A$196,0))</f>
        <v/>
      </c>
      <c r="X171" s="243">
        <f>INDEX('Entrada de Dados'!U$6:U$196,MATCH($C171,'Entrada de Dados'!$A$6:$A$196,0))</f>
        <v/>
      </c>
    </row>
    <row r="172">
      <c r="A172" s="241" t="n">
        <v>3</v>
      </c>
      <c r="B172" s="241" t="inlineStr"/>
      <c r="C172" s="241" t="inlineStr">
        <is>
          <t>1011</t>
        </is>
      </c>
      <c r="D172" s="242">
        <f>HYPERLINK("#'E M JOÃO KOPKE'!A1","E M JOÃO KOPKE")</f>
        <v/>
      </c>
      <c r="E172" s="242" t="inlineStr">
        <is>
          <t>FAZENDA INGLESA</t>
        </is>
      </c>
      <c r="F172" s="243">
        <f>INDEX('Entrada de Dados'!C$6:C$196,MATCH($C172,'Entrada de Dados'!$A$6:$A$196,0))</f>
        <v/>
      </c>
      <c r="G172" s="243">
        <f>INDEX('Entrada de Dados'!D$6:D$196,MATCH($C172,'Entrada de Dados'!$A$6:$A$196,0))</f>
        <v/>
      </c>
      <c r="H172" s="243">
        <f>INDEX('Entrada de Dados'!E$6:E$196,MATCH($C172,'Entrada de Dados'!$A$6:$A$196,0))</f>
        <v/>
      </c>
      <c r="I172" s="243">
        <f>INDEX('Entrada de Dados'!F$6:F$196,MATCH($C172,'Entrada de Dados'!$A$6:$A$196,0))</f>
        <v/>
      </c>
      <c r="J172" s="243">
        <f>INDEX('Entrada de Dados'!G$6:G$196,MATCH($C172,'Entrada de Dados'!$A$6:$A$196,0))</f>
        <v/>
      </c>
      <c r="K172" s="243">
        <f>INDEX('Entrada de Dados'!H$6:H$196,MATCH($C172,'Entrada de Dados'!$A$6:$A$196,0))</f>
        <v/>
      </c>
      <c r="L172" s="243">
        <f>INDEX('Entrada de Dados'!I$6:I$196,MATCH($C172,'Entrada de Dados'!$A$6:$A$196,0))</f>
        <v/>
      </c>
      <c r="M172" s="243">
        <f>INDEX('Entrada de Dados'!J$6:J$196,MATCH($C172,'Entrada de Dados'!$A$6:$A$196,0))</f>
        <v/>
      </c>
      <c r="N172" s="243">
        <f>INDEX('Entrada de Dados'!K$6:K$196,MATCH($C172,'Entrada de Dados'!$A$6:$A$196,0))</f>
        <v/>
      </c>
      <c r="O172" s="243">
        <f>INDEX('Entrada de Dados'!L$6:L$196,MATCH($C172,'Entrada de Dados'!$A$6:$A$196,0))</f>
        <v/>
      </c>
      <c r="P172" s="243">
        <f>INDEX('Entrada de Dados'!M$6:M$196,MATCH($C172,'Entrada de Dados'!$A$6:$A$196,0))</f>
        <v/>
      </c>
      <c r="Q172" s="243">
        <f>INDEX('Entrada de Dados'!N$6:N$196,MATCH($C172,'Entrada de Dados'!$A$6:$A$196,0))</f>
        <v/>
      </c>
      <c r="R172" s="243">
        <f>INDEX('Entrada de Dados'!O$6:O$196,MATCH($C172,'Entrada de Dados'!$A$6:$A$196,0))</f>
        <v/>
      </c>
      <c r="S172" s="243">
        <f>INDEX('Entrada de Dados'!P$6:P$196,MATCH($C172,'Entrada de Dados'!$A$6:$A$196,0))</f>
        <v/>
      </c>
      <c r="T172" s="243">
        <f>INDEX('Entrada de Dados'!Q$6:Q$196,MATCH($C172,'Entrada de Dados'!$A$6:$A$196,0))</f>
        <v/>
      </c>
      <c r="U172" s="243">
        <f>INDEX('Entrada de Dados'!R$6:R$196,MATCH($C172,'Entrada de Dados'!$A$6:$A$196,0))</f>
        <v/>
      </c>
      <c r="V172" s="243">
        <f>INDEX('Entrada de Dados'!S$6:S$196,MATCH($C172,'Entrada de Dados'!$A$6:$A$196,0))</f>
        <v/>
      </c>
      <c r="W172" s="243">
        <f>INDEX('Entrada de Dados'!T$6:T$196,MATCH($C172,'Entrada de Dados'!$A$6:$A$196,0))</f>
        <v/>
      </c>
      <c r="X172" s="243">
        <f>INDEX('Entrada de Dados'!U$6:U$196,MATCH($C172,'Entrada de Dados'!$A$6:$A$196,0))</f>
        <v/>
      </c>
    </row>
    <row r="173">
      <c r="A173" s="241" t="n">
        <v>4</v>
      </c>
      <c r="B173" s="241" t="inlineStr"/>
      <c r="C173" s="241" t="inlineStr">
        <is>
          <t>3006</t>
        </is>
      </c>
      <c r="D173" s="242">
        <f>HYPERLINK("#'CEI SÃO FRANCISCO ASSIS'!A1","CEI SÃO FRANCISCO ASSIS")</f>
        <v/>
      </c>
      <c r="E173" s="242" t="inlineStr">
        <is>
          <t>MOINHO PRETO</t>
        </is>
      </c>
      <c r="F173" s="243">
        <f>INDEX('Entrada de Dados'!C$6:C$196,MATCH($C173,'Entrada de Dados'!$A$6:$A$196,0))</f>
        <v/>
      </c>
      <c r="G173" s="243">
        <f>INDEX('Entrada de Dados'!D$6:D$196,MATCH($C173,'Entrada de Dados'!$A$6:$A$196,0))</f>
        <v/>
      </c>
      <c r="H173" s="243">
        <f>INDEX('Entrada de Dados'!E$6:E$196,MATCH($C173,'Entrada de Dados'!$A$6:$A$196,0))</f>
        <v/>
      </c>
      <c r="I173" s="243">
        <f>INDEX('Entrada de Dados'!F$6:F$196,MATCH($C173,'Entrada de Dados'!$A$6:$A$196,0))</f>
        <v/>
      </c>
      <c r="J173" s="243">
        <f>INDEX('Entrada de Dados'!G$6:G$196,MATCH($C173,'Entrada de Dados'!$A$6:$A$196,0))</f>
        <v/>
      </c>
      <c r="K173" s="243">
        <f>INDEX('Entrada de Dados'!H$6:H$196,MATCH($C173,'Entrada de Dados'!$A$6:$A$196,0))</f>
        <v/>
      </c>
      <c r="L173" s="243">
        <f>INDEX('Entrada de Dados'!I$6:I$196,MATCH($C173,'Entrada de Dados'!$A$6:$A$196,0))</f>
        <v/>
      </c>
      <c r="M173" s="243">
        <f>INDEX('Entrada de Dados'!J$6:J$196,MATCH($C173,'Entrada de Dados'!$A$6:$A$196,0))</f>
        <v/>
      </c>
      <c r="N173" s="243">
        <f>INDEX('Entrada de Dados'!K$6:K$196,MATCH($C173,'Entrada de Dados'!$A$6:$A$196,0))</f>
        <v/>
      </c>
      <c r="O173" s="243">
        <f>INDEX('Entrada de Dados'!L$6:L$196,MATCH($C173,'Entrada de Dados'!$A$6:$A$196,0))</f>
        <v/>
      </c>
      <c r="P173" s="243">
        <f>INDEX('Entrada de Dados'!M$6:M$196,MATCH($C173,'Entrada de Dados'!$A$6:$A$196,0))</f>
        <v/>
      </c>
      <c r="Q173" s="243">
        <f>INDEX('Entrada de Dados'!N$6:N$196,MATCH($C173,'Entrada de Dados'!$A$6:$A$196,0))</f>
        <v/>
      </c>
      <c r="R173" s="243">
        <f>INDEX('Entrada de Dados'!O$6:O$196,MATCH($C173,'Entrada de Dados'!$A$6:$A$196,0))</f>
        <v/>
      </c>
      <c r="S173" s="243">
        <f>INDEX('Entrada de Dados'!P$6:P$196,MATCH($C173,'Entrada de Dados'!$A$6:$A$196,0))</f>
        <v/>
      </c>
      <c r="T173" s="243">
        <f>INDEX('Entrada de Dados'!Q$6:Q$196,MATCH($C173,'Entrada de Dados'!$A$6:$A$196,0))</f>
        <v/>
      </c>
      <c r="U173" s="243">
        <f>INDEX('Entrada de Dados'!R$6:R$196,MATCH($C173,'Entrada de Dados'!$A$6:$A$196,0))</f>
        <v/>
      </c>
      <c r="V173" s="243">
        <f>INDEX('Entrada de Dados'!S$6:S$196,MATCH($C173,'Entrada de Dados'!$A$6:$A$196,0))</f>
        <v/>
      </c>
      <c r="W173" s="243">
        <f>INDEX('Entrada de Dados'!T$6:T$196,MATCH($C173,'Entrada de Dados'!$A$6:$A$196,0))</f>
        <v/>
      </c>
      <c r="X173" s="243">
        <f>INDEX('Entrada de Dados'!U$6:U$196,MATCH($C173,'Entrada de Dados'!$A$6:$A$196,0))</f>
        <v/>
      </c>
    </row>
    <row r="174">
      <c r="A174" s="241" t="n">
        <v>5</v>
      </c>
      <c r="B174" s="241" t="inlineStr"/>
      <c r="C174" s="241" t="inlineStr">
        <is>
          <t>2027</t>
        </is>
      </c>
      <c r="D174" s="242">
        <f>HYPERLINK("#'ESCOLA SAO FRANCISCO DE ASSIS'!A1","ESCOLA SAO FRANCISCO DE ASSIS")</f>
        <v/>
      </c>
      <c r="E174" s="242" t="inlineStr">
        <is>
          <t>MOINHO PRETO</t>
        </is>
      </c>
      <c r="F174" s="243">
        <f>INDEX('Entrada de Dados'!C$6:C$196,MATCH($C174,'Entrada de Dados'!$A$6:$A$196,0))</f>
        <v/>
      </c>
      <c r="G174" s="243">
        <f>INDEX('Entrada de Dados'!D$6:D$196,MATCH($C174,'Entrada de Dados'!$A$6:$A$196,0))</f>
        <v/>
      </c>
      <c r="H174" s="243">
        <f>INDEX('Entrada de Dados'!E$6:E$196,MATCH($C174,'Entrada de Dados'!$A$6:$A$196,0))</f>
        <v/>
      </c>
      <c r="I174" s="243">
        <f>INDEX('Entrada de Dados'!F$6:F$196,MATCH($C174,'Entrada de Dados'!$A$6:$A$196,0))</f>
        <v/>
      </c>
      <c r="J174" s="243">
        <f>INDEX('Entrada de Dados'!G$6:G$196,MATCH($C174,'Entrada de Dados'!$A$6:$A$196,0))</f>
        <v/>
      </c>
      <c r="K174" s="243">
        <f>INDEX('Entrada de Dados'!H$6:H$196,MATCH($C174,'Entrada de Dados'!$A$6:$A$196,0))</f>
        <v/>
      </c>
      <c r="L174" s="243">
        <f>INDEX('Entrada de Dados'!I$6:I$196,MATCH($C174,'Entrada de Dados'!$A$6:$A$196,0))</f>
        <v/>
      </c>
      <c r="M174" s="243">
        <f>INDEX('Entrada de Dados'!J$6:J$196,MATCH($C174,'Entrada de Dados'!$A$6:$A$196,0))</f>
        <v/>
      </c>
      <c r="N174" s="243">
        <f>INDEX('Entrada de Dados'!K$6:K$196,MATCH($C174,'Entrada de Dados'!$A$6:$A$196,0))</f>
        <v/>
      </c>
      <c r="O174" s="243">
        <f>INDEX('Entrada de Dados'!L$6:L$196,MATCH($C174,'Entrada de Dados'!$A$6:$A$196,0))</f>
        <v/>
      </c>
      <c r="P174" s="243">
        <f>INDEX('Entrada de Dados'!M$6:M$196,MATCH($C174,'Entrada de Dados'!$A$6:$A$196,0))</f>
        <v/>
      </c>
      <c r="Q174" s="243">
        <f>INDEX('Entrada de Dados'!N$6:N$196,MATCH($C174,'Entrada de Dados'!$A$6:$A$196,0))</f>
        <v/>
      </c>
      <c r="R174" s="243">
        <f>INDEX('Entrada de Dados'!O$6:O$196,MATCH($C174,'Entrada de Dados'!$A$6:$A$196,0))</f>
        <v/>
      </c>
      <c r="S174" s="243">
        <f>INDEX('Entrada de Dados'!P$6:P$196,MATCH($C174,'Entrada de Dados'!$A$6:$A$196,0))</f>
        <v/>
      </c>
      <c r="T174" s="243">
        <f>INDEX('Entrada de Dados'!Q$6:Q$196,MATCH($C174,'Entrada de Dados'!$A$6:$A$196,0))</f>
        <v/>
      </c>
      <c r="U174" s="243">
        <f>INDEX('Entrada de Dados'!R$6:R$196,MATCH($C174,'Entrada de Dados'!$A$6:$A$196,0))</f>
        <v/>
      </c>
      <c r="V174" s="243">
        <f>INDEX('Entrada de Dados'!S$6:S$196,MATCH($C174,'Entrada de Dados'!$A$6:$A$196,0))</f>
        <v/>
      </c>
      <c r="W174" s="243">
        <f>INDEX('Entrada de Dados'!T$6:T$196,MATCH($C174,'Entrada de Dados'!$A$6:$A$196,0))</f>
        <v/>
      </c>
      <c r="X174" s="243">
        <f>INDEX('Entrada de Dados'!U$6:U$196,MATCH($C174,'Entrada de Dados'!$A$6:$A$196,0))</f>
        <v/>
      </c>
    </row>
    <row r="175">
      <c r="A175" s="241" t="n">
        <v>6</v>
      </c>
      <c r="B175" s="241" t="inlineStr"/>
      <c r="C175" s="241" t="inlineStr">
        <is>
          <t>3005</t>
        </is>
      </c>
      <c r="D175" s="242">
        <f>HYPERLINK("#'CEI SÃO JOÃO BATISTA'!A1","CEI SÃO JOÃO BATISTA")</f>
        <v/>
      </c>
      <c r="E175" s="242" t="inlineStr">
        <is>
          <t>DUARTE DA SILVEIRA</t>
        </is>
      </c>
      <c r="F175" s="243">
        <f>INDEX('Entrada de Dados'!C$6:C$196,MATCH($C175,'Entrada de Dados'!$A$6:$A$196,0))</f>
        <v/>
      </c>
      <c r="G175" s="243">
        <f>INDEX('Entrada de Dados'!D$6:D$196,MATCH($C175,'Entrada de Dados'!$A$6:$A$196,0))</f>
        <v/>
      </c>
      <c r="H175" s="243">
        <f>INDEX('Entrada de Dados'!E$6:E$196,MATCH($C175,'Entrada de Dados'!$A$6:$A$196,0))</f>
        <v/>
      </c>
      <c r="I175" s="243">
        <f>INDEX('Entrada de Dados'!F$6:F$196,MATCH($C175,'Entrada de Dados'!$A$6:$A$196,0))</f>
        <v/>
      </c>
      <c r="J175" s="243">
        <f>INDEX('Entrada de Dados'!G$6:G$196,MATCH($C175,'Entrada de Dados'!$A$6:$A$196,0))</f>
        <v/>
      </c>
      <c r="K175" s="243">
        <f>INDEX('Entrada de Dados'!H$6:H$196,MATCH($C175,'Entrada de Dados'!$A$6:$A$196,0))</f>
        <v/>
      </c>
      <c r="L175" s="243">
        <f>INDEX('Entrada de Dados'!I$6:I$196,MATCH($C175,'Entrada de Dados'!$A$6:$A$196,0))</f>
        <v/>
      </c>
      <c r="M175" s="243">
        <f>INDEX('Entrada de Dados'!J$6:J$196,MATCH($C175,'Entrada de Dados'!$A$6:$A$196,0))</f>
        <v/>
      </c>
      <c r="N175" s="243">
        <f>INDEX('Entrada de Dados'!K$6:K$196,MATCH($C175,'Entrada de Dados'!$A$6:$A$196,0))</f>
        <v/>
      </c>
      <c r="O175" s="243">
        <f>INDEX('Entrada de Dados'!L$6:L$196,MATCH($C175,'Entrada de Dados'!$A$6:$A$196,0))</f>
        <v/>
      </c>
      <c r="P175" s="243">
        <f>INDEX('Entrada de Dados'!M$6:M$196,MATCH($C175,'Entrada de Dados'!$A$6:$A$196,0))</f>
        <v/>
      </c>
      <c r="Q175" s="243">
        <f>INDEX('Entrada de Dados'!N$6:N$196,MATCH($C175,'Entrada de Dados'!$A$6:$A$196,0))</f>
        <v/>
      </c>
      <c r="R175" s="243">
        <f>INDEX('Entrada de Dados'!O$6:O$196,MATCH($C175,'Entrada de Dados'!$A$6:$A$196,0))</f>
        <v/>
      </c>
      <c r="S175" s="243">
        <f>INDEX('Entrada de Dados'!P$6:P$196,MATCH($C175,'Entrada de Dados'!$A$6:$A$196,0))</f>
        <v/>
      </c>
      <c r="T175" s="243">
        <f>INDEX('Entrada de Dados'!Q$6:Q$196,MATCH($C175,'Entrada de Dados'!$A$6:$A$196,0))</f>
        <v/>
      </c>
      <c r="U175" s="243">
        <f>INDEX('Entrada de Dados'!R$6:R$196,MATCH($C175,'Entrada de Dados'!$A$6:$A$196,0))</f>
        <v/>
      </c>
      <c r="V175" s="243">
        <f>INDEX('Entrada de Dados'!S$6:S$196,MATCH($C175,'Entrada de Dados'!$A$6:$A$196,0))</f>
        <v/>
      </c>
      <c r="W175" s="243">
        <f>INDEX('Entrada de Dados'!T$6:T$196,MATCH($C175,'Entrada de Dados'!$A$6:$A$196,0))</f>
        <v/>
      </c>
      <c r="X175" s="243">
        <f>INDEX('Entrada de Dados'!U$6:U$196,MATCH($C175,'Entrada de Dados'!$A$6:$A$196,0))</f>
        <v/>
      </c>
    </row>
    <row r="176">
      <c r="A176" s="241" t="n">
        <v>7</v>
      </c>
      <c r="B176" s="241" t="inlineStr"/>
      <c r="C176" s="241" t="inlineStr">
        <is>
          <t>3080</t>
        </is>
      </c>
      <c r="D176" s="242">
        <f>HYPERLINK("#'CEI JURACI PINTO DO AMARAL DE C'!A1","CEI JURACI PINTO DO AMARAL DE CASTRO")</f>
        <v/>
      </c>
      <c r="E176" s="242" t="inlineStr">
        <is>
          <t>DUARTE DA SILVEIRA</t>
        </is>
      </c>
      <c r="F176" s="243">
        <f>INDEX('Entrada de Dados'!C$6:C$196,MATCH($C176,'Entrada de Dados'!$A$6:$A$196,0))</f>
        <v/>
      </c>
      <c r="G176" s="243">
        <f>INDEX('Entrada de Dados'!D$6:D$196,MATCH($C176,'Entrada de Dados'!$A$6:$A$196,0))</f>
        <v/>
      </c>
      <c r="H176" s="243">
        <f>INDEX('Entrada de Dados'!E$6:E$196,MATCH($C176,'Entrada de Dados'!$A$6:$A$196,0))</f>
        <v/>
      </c>
      <c r="I176" s="243">
        <f>INDEX('Entrada de Dados'!F$6:F$196,MATCH($C176,'Entrada de Dados'!$A$6:$A$196,0))</f>
        <v/>
      </c>
      <c r="J176" s="243">
        <f>INDEX('Entrada de Dados'!G$6:G$196,MATCH($C176,'Entrada de Dados'!$A$6:$A$196,0))</f>
        <v/>
      </c>
      <c r="K176" s="243">
        <f>INDEX('Entrada de Dados'!H$6:H$196,MATCH($C176,'Entrada de Dados'!$A$6:$A$196,0))</f>
        <v/>
      </c>
      <c r="L176" s="243">
        <f>INDEX('Entrada de Dados'!I$6:I$196,MATCH($C176,'Entrada de Dados'!$A$6:$A$196,0))</f>
        <v/>
      </c>
      <c r="M176" s="243">
        <f>INDEX('Entrada de Dados'!J$6:J$196,MATCH($C176,'Entrada de Dados'!$A$6:$A$196,0))</f>
        <v/>
      </c>
      <c r="N176" s="243">
        <f>INDEX('Entrada de Dados'!K$6:K$196,MATCH($C176,'Entrada de Dados'!$A$6:$A$196,0))</f>
        <v/>
      </c>
      <c r="O176" s="243">
        <f>INDEX('Entrada de Dados'!L$6:L$196,MATCH($C176,'Entrada de Dados'!$A$6:$A$196,0))</f>
        <v/>
      </c>
      <c r="P176" s="243">
        <f>INDEX('Entrada de Dados'!M$6:M$196,MATCH($C176,'Entrada de Dados'!$A$6:$A$196,0))</f>
        <v/>
      </c>
      <c r="Q176" s="243">
        <f>INDEX('Entrada de Dados'!N$6:N$196,MATCH($C176,'Entrada de Dados'!$A$6:$A$196,0))</f>
        <v/>
      </c>
      <c r="R176" s="243">
        <f>INDEX('Entrada de Dados'!O$6:O$196,MATCH($C176,'Entrada de Dados'!$A$6:$A$196,0))</f>
        <v/>
      </c>
      <c r="S176" s="243">
        <f>INDEX('Entrada de Dados'!P$6:P$196,MATCH($C176,'Entrada de Dados'!$A$6:$A$196,0))</f>
        <v/>
      </c>
      <c r="T176" s="243">
        <f>INDEX('Entrada de Dados'!Q$6:Q$196,MATCH($C176,'Entrada de Dados'!$A$6:$A$196,0))</f>
        <v/>
      </c>
      <c r="U176" s="243">
        <f>INDEX('Entrada de Dados'!R$6:R$196,MATCH($C176,'Entrada de Dados'!$A$6:$A$196,0))</f>
        <v/>
      </c>
      <c r="V176" s="243">
        <f>INDEX('Entrada de Dados'!S$6:S$196,MATCH($C176,'Entrada de Dados'!$A$6:$A$196,0))</f>
        <v/>
      </c>
      <c r="W176" s="243">
        <f>INDEX('Entrada de Dados'!T$6:T$196,MATCH($C176,'Entrada de Dados'!$A$6:$A$196,0))</f>
        <v/>
      </c>
      <c r="X176" s="243">
        <f>INDEX('Entrada de Dados'!U$6:U$196,MATCH($C176,'Entrada de Dados'!$A$6:$A$196,0))</f>
        <v/>
      </c>
    </row>
    <row r="177" ht="22" customHeight="1" s="107">
      <c r="A177" s="248" t="inlineStr">
        <is>
          <t>Peso previsto:</t>
        </is>
      </c>
      <c r="C177" s="249">
        <f>SUM(F170:F176)+SUM(G170:G176)+SUM(H170:H176)+SUM(I170:I176)+SUM(J170:J176)+SUM(K170:K176)+SUM(L170:L176)+SUM(M170:M176)+SUM(N170:N176)+SUM(O170:O176)+SUM(P170:P176)+SUM(Q170:Q176)+SUM(R170:R176)+SUM(S170:S176)+SUM(T170:T176)+SUM(U170:U176)+SUM(W170:W176)+SUM(X170:X176)</f>
        <v/>
      </c>
      <c r="D177" s="248" t="inlineStr">
        <is>
          <t>Peso embarcado (kg):</t>
        </is>
      </c>
      <c r="F177" s="250" t="n"/>
      <c r="G177" s="248" t="inlineStr">
        <is>
          <t>Veículo:</t>
        </is>
      </c>
      <c r="I177" s="250" t="n"/>
      <c r="J177" s="251" t="n"/>
      <c r="K177" s="248" t="inlineStr">
        <is>
          <t>Motorista:</t>
        </is>
      </c>
      <c r="M177" s="250" t="n"/>
      <c r="N177" s="252" t="n"/>
      <c r="O177" s="252" t="n"/>
      <c r="P177" s="252" t="n"/>
      <c r="Q177" s="252" t="n"/>
      <c r="R177" s="252" t="n"/>
      <c r="S177" s="252" t="n"/>
      <c r="T177" s="252" t="n"/>
      <c r="U177" s="252" t="n"/>
      <c r="V177" s="252" t="n"/>
      <c r="W177" s="252" t="n"/>
      <c r="X177" s="251" t="n"/>
    </row>
    <row r="179" ht="20" customHeight="1" s="107">
      <c r="A179" s="236" t="inlineStr">
        <is>
          <t>ROTA T3 — CENTRO - TERRA SANTA · CAMINHÃO MÉDIO · 21 escolas · 19 paradas físicas</t>
        </is>
      </c>
    </row>
    <row r="180" ht="26" customHeight="1" s="107">
      <c r="A180" s="238" t="inlineStr">
        <is>
          <t>Sequência-base: Galpão Itaipava &gt; Centro &gt; Terra Santa &gt; Galpão   Atenção: São 21 escolas, mas 19 paradas físicas. Se exceder 3.000 kg, dividir mantendo a mesma sequência.</t>
        </is>
      </c>
    </row>
    <row r="181" ht="30" customHeight="1" s="107">
      <c r="A181" s="240" t="inlineStr">
        <is>
          <t>PAR.</t>
        </is>
      </c>
      <c r="B181" s="240" t="inlineStr">
        <is>
          <t>SUB</t>
        </is>
      </c>
      <c r="C181" s="240" t="inlineStr">
        <is>
          <t>CÓDIGO</t>
        </is>
      </c>
      <c r="D181" s="240" t="inlineStr">
        <is>
          <t>ESCOLA</t>
        </is>
      </c>
      <c r="E181" s="240" t="inlineStr">
        <is>
          <t>BAIRRO/CORREDOR</t>
        </is>
      </c>
      <c r="F181" s="240" t="inlineStr">
        <is>
          <t>Abacate</t>
        </is>
      </c>
      <c r="G181" s="240" t="inlineStr">
        <is>
          <t>Abobrinha</t>
        </is>
      </c>
      <c r="H181" s="240" t="inlineStr">
        <is>
          <t>Agrião</t>
        </is>
      </c>
      <c r="I181" s="240" t="inlineStr">
        <is>
          <t>Alface lisa</t>
        </is>
      </c>
      <c r="J181" s="240" t="inlineStr">
        <is>
          <t>Banana prata</t>
        </is>
      </c>
      <c r="K181" s="240" t="inlineStr">
        <is>
          <t>Batata inglesa</t>
        </is>
      </c>
      <c r="L181" s="240" t="inlineStr">
        <is>
          <t>Beterraba</t>
        </is>
      </c>
      <c r="M181" s="240" t="inlineStr">
        <is>
          <t>Brócolis</t>
        </is>
      </c>
      <c r="N181" s="240" t="inlineStr">
        <is>
          <t>Cenoura</t>
        </is>
      </c>
      <c r="O181" s="240" t="inlineStr">
        <is>
          <t>Cheiro verde</t>
        </is>
      </c>
      <c r="P181" s="240" t="inlineStr">
        <is>
          <t>Chuchu</t>
        </is>
      </c>
      <c r="Q181" s="240" t="inlineStr">
        <is>
          <t>Couve manteiga</t>
        </is>
      </c>
      <c r="R181" s="240" t="inlineStr">
        <is>
          <t>Couve-flor</t>
        </is>
      </c>
      <c r="S181" s="240" t="inlineStr">
        <is>
          <t>Espinafre</t>
        </is>
      </c>
      <c r="T181" s="240" t="inlineStr">
        <is>
          <t>Maçã gala</t>
        </is>
      </c>
      <c r="U181" s="240" t="inlineStr">
        <is>
          <t>Mel</t>
        </is>
      </c>
      <c r="V181" s="240" t="inlineStr">
        <is>
          <t>Ovos (dz)</t>
        </is>
      </c>
      <c r="W181" s="240" t="inlineStr">
        <is>
          <t>Repolho</t>
        </is>
      </c>
      <c r="X181" s="240" t="inlineStr">
        <is>
          <t>Tangerina ponkan</t>
        </is>
      </c>
    </row>
    <row r="182">
      <c r="A182" s="241" t="n">
        <v>1</v>
      </c>
      <c r="B182" s="241" t="inlineStr"/>
      <c r="C182" s="241" t="inlineStr">
        <is>
          <t>2010</t>
        </is>
      </c>
      <c r="D182" s="242">
        <f>HYPERLINK("#'ESCOLA DOMÉSTICA NOSSA SENHORA '!A1","ESCOLA DOMÉSTICA NOSSA SENHORA DO AMPARO")</f>
        <v/>
      </c>
      <c r="E182" s="242" t="inlineStr">
        <is>
          <t>CENTRO</t>
        </is>
      </c>
      <c r="F182" s="243">
        <f>INDEX('Entrada de Dados'!C$6:C$196,MATCH($C182,'Entrada de Dados'!$A$6:$A$196,0))</f>
        <v/>
      </c>
      <c r="G182" s="243">
        <f>INDEX('Entrada de Dados'!D$6:D$196,MATCH($C182,'Entrada de Dados'!$A$6:$A$196,0))</f>
        <v/>
      </c>
      <c r="H182" s="243">
        <f>INDEX('Entrada de Dados'!E$6:E$196,MATCH($C182,'Entrada de Dados'!$A$6:$A$196,0))</f>
        <v/>
      </c>
      <c r="I182" s="243">
        <f>INDEX('Entrada de Dados'!F$6:F$196,MATCH($C182,'Entrada de Dados'!$A$6:$A$196,0))</f>
        <v/>
      </c>
      <c r="J182" s="243">
        <f>INDEX('Entrada de Dados'!G$6:G$196,MATCH($C182,'Entrada de Dados'!$A$6:$A$196,0))</f>
        <v/>
      </c>
      <c r="K182" s="243">
        <f>INDEX('Entrada de Dados'!H$6:H$196,MATCH($C182,'Entrada de Dados'!$A$6:$A$196,0))</f>
        <v/>
      </c>
      <c r="L182" s="243">
        <f>INDEX('Entrada de Dados'!I$6:I$196,MATCH($C182,'Entrada de Dados'!$A$6:$A$196,0))</f>
        <v/>
      </c>
      <c r="M182" s="243">
        <f>INDEX('Entrada de Dados'!J$6:J$196,MATCH($C182,'Entrada de Dados'!$A$6:$A$196,0))</f>
        <v/>
      </c>
      <c r="N182" s="243">
        <f>INDEX('Entrada de Dados'!K$6:K$196,MATCH($C182,'Entrada de Dados'!$A$6:$A$196,0))</f>
        <v/>
      </c>
      <c r="O182" s="243">
        <f>INDEX('Entrada de Dados'!L$6:L$196,MATCH($C182,'Entrada de Dados'!$A$6:$A$196,0))</f>
        <v/>
      </c>
      <c r="P182" s="243">
        <f>INDEX('Entrada de Dados'!M$6:M$196,MATCH($C182,'Entrada de Dados'!$A$6:$A$196,0))</f>
        <v/>
      </c>
      <c r="Q182" s="243">
        <f>INDEX('Entrada de Dados'!N$6:N$196,MATCH($C182,'Entrada de Dados'!$A$6:$A$196,0))</f>
        <v/>
      </c>
      <c r="R182" s="243">
        <f>INDEX('Entrada de Dados'!O$6:O$196,MATCH($C182,'Entrada de Dados'!$A$6:$A$196,0))</f>
        <v/>
      </c>
      <c r="S182" s="243">
        <f>INDEX('Entrada de Dados'!P$6:P$196,MATCH($C182,'Entrada de Dados'!$A$6:$A$196,0))</f>
        <v/>
      </c>
      <c r="T182" s="243">
        <f>INDEX('Entrada de Dados'!Q$6:Q$196,MATCH($C182,'Entrada de Dados'!$A$6:$A$196,0))</f>
        <v/>
      </c>
      <c r="U182" s="243">
        <f>INDEX('Entrada de Dados'!R$6:R$196,MATCH($C182,'Entrada de Dados'!$A$6:$A$196,0))</f>
        <v/>
      </c>
      <c r="V182" s="243">
        <f>INDEX('Entrada de Dados'!S$6:S$196,MATCH($C182,'Entrada de Dados'!$A$6:$A$196,0))</f>
        <v/>
      </c>
      <c r="W182" s="243">
        <f>INDEX('Entrada de Dados'!T$6:T$196,MATCH($C182,'Entrada de Dados'!$A$6:$A$196,0))</f>
        <v/>
      </c>
      <c r="X182" s="243">
        <f>INDEX('Entrada de Dados'!U$6:U$196,MATCH($C182,'Entrada de Dados'!$A$6:$A$196,0))</f>
        <v/>
      </c>
    </row>
    <row r="183">
      <c r="A183" s="241" t="n">
        <v>2</v>
      </c>
      <c r="B183" s="241" t="inlineStr"/>
      <c r="C183" s="241" t="inlineStr">
        <is>
          <t>3054</t>
        </is>
      </c>
      <c r="D183" s="242">
        <f>HYPERLINK("#'CEI PROFª PATRÍCIA FERREIRA E S'!A1","CEI PROFª PATRÍCIA FERREIRA E SILVA FREITAS")</f>
        <v/>
      </c>
      <c r="E183" s="242" t="inlineStr">
        <is>
          <t>CENTRO</t>
        </is>
      </c>
      <c r="F183" s="243">
        <f>INDEX('Entrada de Dados'!C$6:C$196,MATCH($C183,'Entrada de Dados'!$A$6:$A$196,0))</f>
        <v/>
      </c>
      <c r="G183" s="243">
        <f>INDEX('Entrada de Dados'!D$6:D$196,MATCH($C183,'Entrada de Dados'!$A$6:$A$196,0))</f>
        <v/>
      </c>
      <c r="H183" s="243">
        <f>INDEX('Entrada de Dados'!E$6:E$196,MATCH($C183,'Entrada de Dados'!$A$6:$A$196,0))</f>
        <v/>
      </c>
      <c r="I183" s="243">
        <f>INDEX('Entrada de Dados'!F$6:F$196,MATCH($C183,'Entrada de Dados'!$A$6:$A$196,0))</f>
        <v/>
      </c>
      <c r="J183" s="243">
        <f>INDEX('Entrada de Dados'!G$6:G$196,MATCH($C183,'Entrada de Dados'!$A$6:$A$196,0))</f>
        <v/>
      </c>
      <c r="K183" s="243">
        <f>INDEX('Entrada de Dados'!H$6:H$196,MATCH($C183,'Entrada de Dados'!$A$6:$A$196,0))</f>
        <v/>
      </c>
      <c r="L183" s="243">
        <f>INDEX('Entrada de Dados'!I$6:I$196,MATCH($C183,'Entrada de Dados'!$A$6:$A$196,0))</f>
        <v/>
      </c>
      <c r="M183" s="243">
        <f>INDEX('Entrada de Dados'!J$6:J$196,MATCH($C183,'Entrada de Dados'!$A$6:$A$196,0))</f>
        <v/>
      </c>
      <c r="N183" s="243">
        <f>INDEX('Entrada de Dados'!K$6:K$196,MATCH($C183,'Entrada de Dados'!$A$6:$A$196,0))</f>
        <v/>
      </c>
      <c r="O183" s="243">
        <f>INDEX('Entrada de Dados'!L$6:L$196,MATCH($C183,'Entrada de Dados'!$A$6:$A$196,0))</f>
        <v/>
      </c>
      <c r="P183" s="243">
        <f>INDEX('Entrada de Dados'!M$6:M$196,MATCH($C183,'Entrada de Dados'!$A$6:$A$196,0))</f>
        <v/>
      </c>
      <c r="Q183" s="243">
        <f>INDEX('Entrada de Dados'!N$6:N$196,MATCH($C183,'Entrada de Dados'!$A$6:$A$196,0))</f>
        <v/>
      </c>
      <c r="R183" s="243">
        <f>INDEX('Entrada de Dados'!O$6:O$196,MATCH($C183,'Entrada de Dados'!$A$6:$A$196,0))</f>
        <v/>
      </c>
      <c r="S183" s="243">
        <f>INDEX('Entrada de Dados'!P$6:P$196,MATCH($C183,'Entrada de Dados'!$A$6:$A$196,0))</f>
        <v/>
      </c>
      <c r="T183" s="243">
        <f>INDEX('Entrada de Dados'!Q$6:Q$196,MATCH($C183,'Entrada de Dados'!$A$6:$A$196,0))</f>
        <v/>
      </c>
      <c r="U183" s="243">
        <f>INDEX('Entrada de Dados'!R$6:R$196,MATCH($C183,'Entrada de Dados'!$A$6:$A$196,0))</f>
        <v/>
      </c>
      <c r="V183" s="243">
        <f>INDEX('Entrada de Dados'!S$6:S$196,MATCH($C183,'Entrada de Dados'!$A$6:$A$196,0))</f>
        <v/>
      </c>
      <c r="W183" s="243">
        <f>INDEX('Entrada de Dados'!T$6:T$196,MATCH($C183,'Entrada de Dados'!$A$6:$A$196,0))</f>
        <v/>
      </c>
      <c r="X183" s="243">
        <f>INDEX('Entrada de Dados'!U$6:U$196,MATCH($C183,'Entrada de Dados'!$A$6:$A$196,0))</f>
        <v/>
      </c>
    </row>
    <row r="184">
      <c r="A184" s="241" t="n">
        <v>3</v>
      </c>
      <c r="B184" s="241" t="inlineStr"/>
      <c r="C184" s="241" t="inlineStr">
        <is>
          <t>1114</t>
        </is>
      </c>
      <c r="D184" s="242">
        <f>HYPERLINK("#'CASA DA EDUCAÇÃO VISCONDE DE MA'!A1","CASA DA EDUCAÇÃO VISCONDE DE MAUÁ")</f>
        <v/>
      </c>
      <c r="E184" s="242" t="inlineStr">
        <is>
          <t>CENTRO</t>
        </is>
      </c>
      <c r="F184" s="243">
        <f>INDEX('Entrada de Dados'!C$6:C$196,MATCH($C184,'Entrada de Dados'!$A$6:$A$196,0))</f>
        <v/>
      </c>
      <c r="G184" s="243">
        <f>INDEX('Entrada de Dados'!D$6:D$196,MATCH($C184,'Entrada de Dados'!$A$6:$A$196,0))</f>
        <v/>
      </c>
      <c r="H184" s="243">
        <f>INDEX('Entrada de Dados'!E$6:E$196,MATCH($C184,'Entrada de Dados'!$A$6:$A$196,0))</f>
        <v/>
      </c>
      <c r="I184" s="243">
        <f>INDEX('Entrada de Dados'!F$6:F$196,MATCH($C184,'Entrada de Dados'!$A$6:$A$196,0))</f>
        <v/>
      </c>
      <c r="J184" s="243">
        <f>INDEX('Entrada de Dados'!G$6:G$196,MATCH($C184,'Entrada de Dados'!$A$6:$A$196,0))</f>
        <v/>
      </c>
      <c r="K184" s="243">
        <f>INDEX('Entrada de Dados'!H$6:H$196,MATCH($C184,'Entrada de Dados'!$A$6:$A$196,0))</f>
        <v/>
      </c>
      <c r="L184" s="243">
        <f>INDEX('Entrada de Dados'!I$6:I$196,MATCH($C184,'Entrada de Dados'!$A$6:$A$196,0))</f>
        <v/>
      </c>
      <c r="M184" s="243">
        <f>INDEX('Entrada de Dados'!J$6:J$196,MATCH($C184,'Entrada de Dados'!$A$6:$A$196,0))</f>
        <v/>
      </c>
      <c r="N184" s="243">
        <f>INDEX('Entrada de Dados'!K$6:K$196,MATCH($C184,'Entrada de Dados'!$A$6:$A$196,0))</f>
        <v/>
      </c>
      <c r="O184" s="243">
        <f>INDEX('Entrada de Dados'!L$6:L$196,MATCH($C184,'Entrada de Dados'!$A$6:$A$196,0))</f>
        <v/>
      </c>
      <c r="P184" s="243">
        <f>INDEX('Entrada de Dados'!M$6:M$196,MATCH($C184,'Entrada de Dados'!$A$6:$A$196,0))</f>
        <v/>
      </c>
      <c r="Q184" s="243">
        <f>INDEX('Entrada de Dados'!N$6:N$196,MATCH($C184,'Entrada de Dados'!$A$6:$A$196,0))</f>
        <v/>
      </c>
      <c r="R184" s="243">
        <f>INDEX('Entrada de Dados'!O$6:O$196,MATCH($C184,'Entrada de Dados'!$A$6:$A$196,0))</f>
        <v/>
      </c>
      <c r="S184" s="243">
        <f>INDEX('Entrada de Dados'!P$6:P$196,MATCH($C184,'Entrada de Dados'!$A$6:$A$196,0))</f>
        <v/>
      </c>
      <c r="T184" s="243">
        <f>INDEX('Entrada de Dados'!Q$6:Q$196,MATCH($C184,'Entrada de Dados'!$A$6:$A$196,0))</f>
        <v/>
      </c>
      <c r="U184" s="243">
        <f>INDEX('Entrada de Dados'!R$6:R$196,MATCH($C184,'Entrada de Dados'!$A$6:$A$196,0))</f>
        <v/>
      </c>
      <c r="V184" s="243">
        <f>INDEX('Entrada de Dados'!S$6:S$196,MATCH($C184,'Entrada de Dados'!$A$6:$A$196,0))</f>
        <v/>
      </c>
      <c r="W184" s="243">
        <f>INDEX('Entrada de Dados'!T$6:T$196,MATCH($C184,'Entrada de Dados'!$A$6:$A$196,0))</f>
        <v/>
      </c>
      <c r="X184" s="243">
        <f>INDEX('Entrada de Dados'!U$6:U$196,MATCH($C184,'Entrada de Dados'!$A$6:$A$196,0))</f>
        <v/>
      </c>
    </row>
    <row r="185">
      <c r="A185" s="241" t="n">
        <v>4</v>
      </c>
      <c r="B185" s="241" t="inlineStr"/>
      <c r="C185" s="241" t="inlineStr">
        <is>
          <t>1021</t>
        </is>
      </c>
      <c r="D185" s="242">
        <f>HYPERLINK("#'E M ROTARY'!A1","E M ROTARY")</f>
        <v/>
      </c>
      <c r="E185" s="242" t="inlineStr">
        <is>
          <t>CENTRO</t>
        </is>
      </c>
      <c r="F185" s="243">
        <f>INDEX('Entrada de Dados'!C$6:C$196,MATCH($C185,'Entrada de Dados'!$A$6:$A$196,0))</f>
        <v/>
      </c>
      <c r="G185" s="243">
        <f>INDEX('Entrada de Dados'!D$6:D$196,MATCH($C185,'Entrada de Dados'!$A$6:$A$196,0))</f>
        <v/>
      </c>
      <c r="H185" s="243">
        <f>INDEX('Entrada de Dados'!E$6:E$196,MATCH($C185,'Entrada de Dados'!$A$6:$A$196,0))</f>
        <v/>
      </c>
      <c r="I185" s="243">
        <f>INDEX('Entrada de Dados'!F$6:F$196,MATCH($C185,'Entrada de Dados'!$A$6:$A$196,0))</f>
        <v/>
      </c>
      <c r="J185" s="243">
        <f>INDEX('Entrada de Dados'!G$6:G$196,MATCH($C185,'Entrada de Dados'!$A$6:$A$196,0))</f>
        <v/>
      </c>
      <c r="K185" s="243">
        <f>INDEX('Entrada de Dados'!H$6:H$196,MATCH($C185,'Entrada de Dados'!$A$6:$A$196,0))</f>
        <v/>
      </c>
      <c r="L185" s="243">
        <f>INDEX('Entrada de Dados'!I$6:I$196,MATCH($C185,'Entrada de Dados'!$A$6:$A$196,0))</f>
        <v/>
      </c>
      <c r="M185" s="243">
        <f>INDEX('Entrada de Dados'!J$6:J$196,MATCH($C185,'Entrada de Dados'!$A$6:$A$196,0))</f>
        <v/>
      </c>
      <c r="N185" s="243">
        <f>INDEX('Entrada de Dados'!K$6:K$196,MATCH($C185,'Entrada de Dados'!$A$6:$A$196,0))</f>
        <v/>
      </c>
      <c r="O185" s="243">
        <f>INDEX('Entrada de Dados'!L$6:L$196,MATCH($C185,'Entrada de Dados'!$A$6:$A$196,0))</f>
        <v/>
      </c>
      <c r="P185" s="243">
        <f>INDEX('Entrada de Dados'!M$6:M$196,MATCH($C185,'Entrada de Dados'!$A$6:$A$196,0))</f>
        <v/>
      </c>
      <c r="Q185" s="243">
        <f>INDEX('Entrada de Dados'!N$6:N$196,MATCH($C185,'Entrada de Dados'!$A$6:$A$196,0))</f>
        <v/>
      </c>
      <c r="R185" s="243">
        <f>INDEX('Entrada de Dados'!O$6:O$196,MATCH($C185,'Entrada de Dados'!$A$6:$A$196,0))</f>
        <v/>
      </c>
      <c r="S185" s="243">
        <f>INDEX('Entrada de Dados'!P$6:P$196,MATCH($C185,'Entrada de Dados'!$A$6:$A$196,0))</f>
        <v/>
      </c>
      <c r="T185" s="243">
        <f>INDEX('Entrada de Dados'!Q$6:Q$196,MATCH($C185,'Entrada de Dados'!$A$6:$A$196,0))</f>
        <v/>
      </c>
      <c r="U185" s="243">
        <f>INDEX('Entrada de Dados'!R$6:R$196,MATCH($C185,'Entrada de Dados'!$A$6:$A$196,0))</f>
        <v/>
      </c>
      <c r="V185" s="243">
        <f>INDEX('Entrada de Dados'!S$6:S$196,MATCH($C185,'Entrada de Dados'!$A$6:$A$196,0))</f>
        <v/>
      </c>
      <c r="W185" s="243">
        <f>INDEX('Entrada de Dados'!T$6:T$196,MATCH($C185,'Entrada de Dados'!$A$6:$A$196,0))</f>
        <v/>
      </c>
      <c r="X185" s="243">
        <f>INDEX('Entrada de Dados'!U$6:U$196,MATCH($C185,'Entrada de Dados'!$A$6:$A$196,0))</f>
        <v/>
      </c>
    </row>
    <row r="186">
      <c r="A186" s="253" t="n">
        <v>5</v>
      </c>
      <c r="B186" s="253" t="inlineStr">
        <is>
          <t>A</t>
        </is>
      </c>
      <c r="C186" s="254" t="inlineStr">
        <is>
          <t>1081</t>
        </is>
      </c>
      <c r="D186" s="255">
        <f>HYPERLINK("#'LICEU MUNICIPAL CARLOS CHAGAS F'!A1","LICEU MUNICIPAL CARLOS CHAGAS FILHO")</f>
        <v/>
      </c>
      <c r="E186" s="255" t="inlineStr">
        <is>
          <t>CENTRO</t>
        </is>
      </c>
      <c r="F186" s="256">
        <f>INDEX('Entrada de Dados'!C$6:C$196,MATCH($C186,'Entrada de Dados'!$A$6:$A$196,0))</f>
        <v/>
      </c>
      <c r="G186" s="256">
        <f>INDEX('Entrada de Dados'!D$6:D$196,MATCH($C186,'Entrada de Dados'!$A$6:$A$196,0))</f>
        <v/>
      </c>
      <c r="H186" s="256">
        <f>INDEX('Entrada de Dados'!E$6:E$196,MATCH($C186,'Entrada de Dados'!$A$6:$A$196,0))</f>
        <v/>
      </c>
      <c r="I186" s="256">
        <f>INDEX('Entrada de Dados'!F$6:F$196,MATCH($C186,'Entrada de Dados'!$A$6:$A$196,0))</f>
        <v/>
      </c>
      <c r="J186" s="256">
        <f>INDEX('Entrada de Dados'!G$6:G$196,MATCH($C186,'Entrada de Dados'!$A$6:$A$196,0))</f>
        <v/>
      </c>
      <c r="K186" s="256">
        <f>INDEX('Entrada de Dados'!H$6:H$196,MATCH($C186,'Entrada de Dados'!$A$6:$A$196,0))</f>
        <v/>
      </c>
      <c r="L186" s="256">
        <f>INDEX('Entrada de Dados'!I$6:I$196,MATCH($C186,'Entrada de Dados'!$A$6:$A$196,0))</f>
        <v/>
      </c>
      <c r="M186" s="256">
        <f>INDEX('Entrada de Dados'!J$6:J$196,MATCH($C186,'Entrada de Dados'!$A$6:$A$196,0))</f>
        <v/>
      </c>
      <c r="N186" s="256">
        <f>INDEX('Entrada de Dados'!K$6:K$196,MATCH($C186,'Entrada de Dados'!$A$6:$A$196,0))</f>
        <v/>
      </c>
      <c r="O186" s="256">
        <f>INDEX('Entrada de Dados'!L$6:L$196,MATCH($C186,'Entrada de Dados'!$A$6:$A$196,0))</f>
        <v/>
      </c>
      <c r="P186" s="256">
        <f>INDEX('Entrada de Dados'!M$6:M$196,MATCH($C186,'Entrada de Dados'!$A$6:$A$196,0))</f>
        <v/>
      </c>
      <c r="Q186" s="256">
        <f>INDEX('Entrada de Dados'!N$6:N$196,MATCH($C186,'Entrada de Dados'!$A$6:$A$196,0))</f>
        <v/>
      </c>
      <c r="R186" s="256">
        <f>INDEX('Entrada de Dados'!O$6:O$196,MATCH($C186,'Entrada de Dados'!$A$6:$A$196,0))</f>
        <v/>
      </c>
      <c r="S186" s="256">
        <f>INDEX('Entrada de Dados'!P$6:P$196,MATCH($C186,'Entrada de Dados'!$A$6:$A$196,0))</f>
        <v/>
      </c>
      <c r="T186" s="256">
        <f>INDEX('Entrada de Dados'!Q$6:Q$196,MATCH($C186,'Entrada de Dados'!$A$6:$A$196,0))</f>
        <v/>
      </c>
      <c r="U186" s="256">
        <f>INDEX('Entrada de Dados'!R$6:R$196,MATCH($C186,'Entrada de Dados'!$A$6:$A$196,0))</f>
        <v/>
      </c>
      <c r="V186" s="256">
        <f>INDEX('Entrada de Dados'!S$6:S$196,MATCH($C186,'Entrada de Dados'!$A$6:$A$196,0))</f>
        <v/>
      </c>
      <c r="W186" s="256">
        <f>INDEX('Entrada de Dados'!T$6:T$196,MATCH($C186,'Entrada de Dados'!$A$6:$A$196,0))</f>
        <v/>
      </c>
      <c r="X186" s="256">
        <f>INDEX('Entrada de Dados'!U$6:U$196,MATCH($C186,'Entrada de Dados'!$A$6:$A$196,0))</f>
        <v/>
      </c>
    </row>
    <row r="187">
      <c r="A187" s="253" t="n">
        <v>5</v>
      </c>
      <c r="B187" s="253" t="inlineStr">
        <is>
          <t>B</t>
        </is>
      </c>
      <c r="C187" s="254" t="inlineStr">
        <is>
          <t>2018</t>
        </is>
      </c>
      <c r="D187" s="255">
        <f>HYPERLINK("#'ESCOLA PAROQUIAL NOSSA SENHORA '!A1","ESCOLA PAROQUIAL NOSSA SENHORA DO CARMO")</f>
        <v/>
      </c>
      <c r="E187" s="255" t="inlineStr">
        <is>
          <t>CENTRO</t>
        </is>
      </c>
      <c r="F187" s="256">
        <f>INDEX('Entrada de Dados'!C$6:C$196,MATCH($C187,'Entrada de Dados'!$A$6:$A$196,0))</f>
        <v/>
      </c>
      <c r="G187" s="256">
        <f>INDEX('Entrada de Dados'!D$6:D$196,MATCH($C187,'Entrada de Dados'!$A$6:$A$196,0))</f>
        <v/>
      </c>
      <c r="H187" s="256">
        <f>INDEX('Entrada de Dados'!E$6:E$196,MATCH($C187,'Entrada de Dados'!$A$6:$A$196,0))</f>
        <v/>
      </c>
      <c r="I187" s="256">
        <f>INDEX('Entrada de Dados'!F$6:F$196,MATCH($C187,'Entrada de Dados'!$A$6:$A$196,0))</f>
        <v/>
      </c>
      <c r="J187" s="256">
        <f>INDEX('Entrada de Dados'!G$6:G$196,MATCH($C187,'Entrada de Dados'!$A$6:$A$196,0))</f>
        <v/>
      </c>
      <c r="K187" s="256">
        <f>INDEX('Entrada de Dados'!H$6:H$196,MATCH($C187,'Entrada de Dados'!$A$6:$A$196,0))</f>
        <v/>
      </c>
      <c r="L187" s="256">
        <f>INDEX('Entrada de Dados'!I$6:I$196,MATCH($C187,'Entrada de Dados'!$A$6:$A$196,0))</f>
        <v/>
      </c>
      <c r="M187" s="256">
        <f>INDEX('Entrada de Dados'!J$6:J$196,MATCH($C187,'Entrada de Dados'!$A$6:$A$196,0))</f>
        <v/>
      </c>
      <c r="N187" s="256">
        <f>INDEX('Entrada de Dados'!K$6:K$196,MATCH($C187,'Entrada de Dados'!$A$6:$A$196,0))</f>
        <v/>
      </c>
      <c r="O187" s="256">
        <f>INDEX('Entrada de Dados'!L$6:L$196,MATCH($C187,'Entrada de Dados'!$A$6:$A$196,0))</f>
        <v/>
      </c>
      <c r="P187" s="256">
        <f>INDEX('Entrada de Dados'!M$6:M$196,MATCH($C187,'Entrada de Dados'!$A$6:$A$196,0))</f>
        <v/>
      </c>
      <c r="Q187" s="256">
        <f>INDEX('Entrada de Dados'!N$6:N$196,MATCH($C187,'Entrada de Dados'!$A$6:$A$196,0))</f>
        <v/>
      </c>
      <c r="R187" s="256">
        <f>INDEX('Entrada de Dados'!O$6:O$196,MATCH($C187,'Entrada de Dados'!$A$6:$A$196,0))</f>
        <v/>
      </c>
      <c r="S187" s="256">
        <f>INDEX('Entrada de Dados'!P$6:P$196,MATCH($C187,'Entrada de Dados'!$A$6:$A$196,0))</f>
        <v/>
      </c>
      <c r="T187" s="256">
        <f>INDEX('Entrada de Dados'!Q$6:Q$196,MATCH($C187,'Entrada de Dados'!$A$6:$A$196,0))</f>
        <v/>
      </c>
      <c r="U187" s="256">
        <f>INDEX('Entrada de Dados'!R$6:R$196,MATCH($C187,'Entrada de Dados'!$A$6:$A$196,0))</f>
        <v/>
      </c>
      <c r="V187" s="256">
        <f>INDEX('Entrada de Dados'!S$6:S$196,MATCH($C187,'Entrada de Dados'!$A$6:$A$196,0))</f>
        <v/>
      </c>
      <c r="W187" s="256">
        <f>INDEX('Entrada de Dados'!T$6:T$196,MATCH($C187,'Entrada de Dados'!$A$6:$A$196,0))</f>
        <v/>
      </c>
      <c r="X187" s="256">
        <f>INDEX('Entrada de Dados'!U$6:U$196,MATCH($C187,'Entrada de Dados'!$A$6:$A$196,0))</f>
        <v/>
      </c>
    </row>
    <row r="188">
      <c r="A188" s="241" t="n">
        <v>6</v>
      </c>
      <c r="B188" s="241" t="inlineStr"/>
      <c r="C188" s="241" t="inlineStr">
        <is>
          <t>3068</t>
        </is>
      </c>
      <c r="D188" s="242">
        <f>HYPERLINK("#'CEI MONSENHOR PAULO ELIAS DAHER'!A1","CEI MONSENHOR PAULO ELIAS DAHER CHÉDIER")</f>
        <v/>
      </c>
      <c r="E188" s="242" t="inlineStr">
        <is>
          <t>CENTRO</t>
        </is>
      </c>
      <c r="F188" s="243">
        <f>INDEX('Entrada de Dados'!C$6:C$196,MATCH($C188,'Entrada de Dados'!$A$6:$A$196,0))</f>
        <v/>
      </c>
      <c r="G188" s="243">
        <f>INDEX('Entrada de Dados'!D$6:D$196,MATCH($C188,'Entrada de Dados'!$A$6:$A$196,0))</f>
        <v/>
      </c>
      <c r="H188" s="243">
        <f>INDEX('Entrada de Dados'!E$6:E$196,MATCH($C188,'Entrada de Dados'!$A$6:$A$196,0))</f>
        <v/>
      </c>
      <c r="I188" s="243">
        <f>INDEX('Entrada de Dados'!F$6:F$196,MATCH($C188,'Entrada de Dados'!$A$6:$A$196,0))</f>
        <v/>
      </c>
      <c r="J188" s="243">
        <f>INDEX('Entrada de Dados'!G$6:G$196,MATCH($C188,'Entrada de Dados'!$A$6:$A$196,0))</f>
        <v/>
      </c>
      <c r="K188" s="243">
        <f>INDEX('Entrada de Dados'!H$6:H$196,MATCH($C188,'Entrada de Dados'!$A$6:$A$196,0))</f>
        <v/>
      </c>
      <c r="L188" s="243">
        <f>INDEX('Entrada de Dados'!I$6:I$196,MATCH($C188,'Entrada de Dados'!$A$6:$A$196,0))</f>
        <v/>
      </c>
      <c r="M188" s="243">
        <f>INDEX('Entrada de Dados'!J$6:J$196,MATCH($C188,'Entrada de Dados'!$A$6:$A$196,0))</f>
        <v/>
      </c>
      <c r="N188" s="243">
        <f>INDEX('Entrada de Dados'!K$6:K$196,MATCH($C188,'Entrada de Dados'!$A$6:$A$196,0))</f>
        <v/>
      </c>
      <c r="O188" s="243">
        <f>INDEX('Entrada de Dados'!L$6:L$196,MATCH($C188,'Entrada de Dados'!$A$6:$A$196,0))</f>
        <v/>
      </c>
      <c r="P188" s="243">
        <f>INDEX('Entrada de Dados'!M$6:M$196,MATCH($C188,'Entrada de Dados'!$A$6:$A$196,0))</f>
        <v/>
      </c>
      <c r="Q188" s="243">
        <f>INDEX('Entrada de Dados'!N$6:N$196,MATCH($C188,'Entrada de Dados'!$A$6:$A$196,0))</f>
        <v/>
      </c>
      <c r="R188" s="243">
        <f>INDEX('Entrada de Dados'!O$6:O$196,MATCH($C188,'Entrada de Dados'!$A$6:$A$196,0))</f>
        <v/>
      </c>
      <c r="S188" s="243">
        <f>INDEX('Entrada de Dados'!P$6:P$196,MATCH($C188,'Entrada de Dados'!$A$6:$A$196,0))</f>
        <v/>
      </c>
      <c r="T188" s="243">
        <f>INDEX('Entrada de Dados'!Q$6:Q$196,MATCH($C188,'Entrada de Dados'!$A$6:$A$196,0))</f>
        <v/>
      </c>
      <c r="U188" s="243">
        <f>INDEX('Entrada de Dados'!R$6:R$196,MATCH($C188,'Entrada de Dados'!$A$6:$A$196,0))</f>
        <v/>
      </c>
      <c r="V188" s="243">
        <f>INDEX('Entrada de Dados'!S$6:S$196,MATCH($C188,'Entrada de Dados'!$A$6:$A$196,0))</f>
        <v/>
      </c>
      <c r="W188" s="243">
        <f>INDEX('Entrada de Dados'!T$6:T$196,MATCH($C188,'Entrada de Dados'!$A$6:$A$196,0))</f>
        <v/>
      </c>
      <c r="X188" s="243">
        <f>INDEX('Entrada de Dados'!U$6:U$196,MATCH($C188,'Entrada de Dados'!$A$6:$A$196,0))</f>
        <v/>
      </c>
    </row>
    <row r="189">
      <c r="A189" s="241" t="n">
        <v>7</v>
      </c>
      <c r="B189" s="241" t="inlineStr"/>
      <c r="C189" s="241" t="inlineStr">
        <is>
          <t>1108</t>
        </is>
      </c>
      <c r="D189" s="242">
        <f>HYPERLINK("#'E M PAULO FREIRE'!A1","E M PAULO FREIRE")</f>
        <v/>
      </c>
      <c r="E189" s="242" t="inlineStr">
        <is>
          <t>CENTRO</t>
        </is>
      </c>
      <c r="F189" s="243">
        <f>INDEX('Entrada de Dados'!C$6:C$196,MATCH($C189,'Entrada de Dados'!$A$6:$A$196,0))</f>
        <v/>
      </c>
      <c r="G189" s="243">
        <f>INDEX('Entrada de Dados'!D$6:D$196,MATCH($C189,'Entrada de Dados'!$A$6:$A$196,0))</f>
        <v/>
      </c>
      <c r="H189" s="243">
        <f>INDEX('Entrada de Dados'!E$6:E$196,MATCH($C189,'Entrada de Dados'!$A$6:$A$196,0))</f>
        <v/>
      </c>
      <c r="I189" s="243">
        <f>INDEX('Entrada de Dados'!F$6:F$196,MATCH($C189,'Entrada de Dados'!$A$6:$A$196,0))</f>
        <v/>
      </c>
      <c r="J189" s="243">
        <f>INDEX('Entrada de Dados'!G$6:G$196,MATCH($C189,'Entrada de Dados'!$A$6:$A$196,0))</f>
        <v/>
      </c>
      <c r="K189" s="243">
        <f>INDEX('Entrada de Dados'!H$6:H$196,MATCH($C189,'Entrada de Dados'!$A$6:$A$196,0))</f>
        <v/>
      </c>
      <c r="L189" s="243">
        <f>INDEX('Entrada de Dados'!I$6:I$196,MATCH($C189,'Entrada de Dados'!$A$6:$A$196,0))</f>
        <v/>
      </c>
      <c r="M189" s="243">
        <f>INDEX('Entrada de Dados'!J$6:J$196,MATCH($C189,'Entrada de Dados'!$A$6:$A$196,0))</f>
        <v/>
      </c>
      <c r="N189" s="243">
        <f>INDEX('Entrada de Dados'!K$6:K$196,MATCH($C189,'Entrada de Dados'!$A$6:$A$196,0))</f>
        <v/>
      </c>
      <c r="O189" s="243">
        <f>INDEX('Entrada de Dados'!L$6:L$196,MATCH($C189,'Entrada de Dados'!$A$6:$A$196,0))</f>
        <v/>
      </c>
      <c r="P189" s="243">
        <f>INDEX('Entrada de Dados'!M$6:M$196,MATCH($C189,'Entrada de Dados'!$A$6:$A$196,0))</f>
        <v/>
      </c>
      <c r="Q189" s="243">
        <f>INDEX('Entrada de Dados'!N$6:N$196,MATCH($C189,'Entrada de Dados'!$A$6:$A$196,0))</f>
        <v/>
      </c>
      <c r="R189" s="243">
        <f>INDEX('Entrada de Dados'!O$6:O$196,MATCH($C189,'Entrada de Dados'!$A$6:$A$196,0))</f>
        <v/>
      </c>
      <c r="S189" s="243">
        <f>INDEX('Entrada de Dados'!P$6:P$196,MATCH($C189,'Entrada de Dados'!$A$6:$A$196,0))</f>
        <v/>
      </c>
      <c r="T189" s="243">
        <f>INDEX('Entrada de Dados'!Q$6:Q$196,MATCH($C189,'Entrada de Dados'!$A$6:$A$196,0))</f>
        <v/>
      </c>
      <c r="U189" s="243">
        <f>INDEX('Entrada de Dados'!R$6:R$196,MATCH($C189,'Entrada de Dados'!$A$6:$A$196,0))</f>
        <v/>
      </c>
      <c r="V189" s="243">
        <f>INDEX('Entrada de Dados'!S$6:S$196,MATCH($C189,'Entrada de Dados'!$A$6:$A$196,0))</f>
        <v/>
      </c>
      <c r="W189" s="243">
        <f>INDEX('Entrada de Dados'!T$6:T$196,MATCH($C189,'Entrada de Dados'!$A$6:$A$196,0))</f>
        <v/>
      </c>
      <c r="X189" s="243">
        <f>INDEX('Entrada de Dados'!U$6:U$196,MATCH($C189,'Entrada de Dados'!$A$6:$A$196,0))</f>
        <v/>
      </c>
    </row>
    <row r="190">
      <c r="A190" s="241" t="n">
        <v>8</v>
      </c>
      <c r="B190" s="241" t="inlineStr"/>
      <c r="C190" s="241" t="inlineStr">
        <is>
          <t>3052</t>
        </is>
      </c>
      <c r="D190" s="242">
        <f>HYPERLINK("#'CEI PRIMEIRA INFÂNCIA'!A1","CEI PRIMEIRA INFÂNCIA")</f>
        <v/>
      </c>
      <c r="E190" s="242" t="inlineStr">
        <is>
          <t>CENTRO</t>
        </is>
      </c>
      <c r="F190" s="243">
        <f>INDEX('Entrada de Dados'!C$6:C$196,MATCH($C190,'Entrada de Dados'!$A$6:$A$196,0))</f>
        <v/>
      </c>
      <c r="G190" s="243">
        <f>INDEX('Entrada de Dados'!D$6:D$196,MATCH($C190,'Entrada de Dados'!$A$6:$A$196,0))</f>
        <v/>
      </c>
      <c r="H190" s="243">
        <f>INDEX('Entrada de Dados'!E$6:E$196,MATCH($C190,'Entrada de Dados'!$A$6:$A$196,0))</f>
        <v/>
      </c>
      <c r="I190" s="243">
        <f>INDEX('Entrada de Dados'!F$6:F$196,MATCH($C190,'Entrada de Dados'!$A$6:$A$196,0))</f>
        <v/>
      </c>
      <c r="J190" s="243">
        <f>INDEX('Entrada de Dados'!G$6:G$196,MATCH($C190,'Entrada de Dados'!$A$6:$A$196,0))</f>
        <v/>
      </c>
      <c r="K190" s="243">
        <f>INDEX('Entrada de Dados'!H$6:H$196,MATCH($C190,'Entrada de Dados'!$A$6:$A$196,0))</f>
        <v/>
      </c>
      <c r="L190" s="243">
        <f>INDEX('Entrada de Dados'!I$6:I$196,MATCH($C190,'Entrada de Dados'!$A$6:$A$196,0))</f>
        <v/>
      </c>
      <c r="M190" s="243">
        <f>INDEX('Entrada de Dados'!J$6:J$196,MATCH($C190,'Entrada de Dados'!$A$6:$A$196,0))</f>
        <v/>
      </c>
      <c r="N190" s="243">
        <f>INDEX('Entrada de Dados'!K$6:K$196,MATCH($C190,'Entrada de Dados'!$A$6:$A$196,0))</f>
        <v/>
      </c>
      <c r="O190" s="243">
        <f>INDEX('Entrada de Dados'!L$6:L$196,MATCH($C190,'Entrada de Dados'!$A$6:$A$196,0))</f>
        <v/>
      </c>
      <c r="P190" s="243">
        <f>INDEX('Entrada de Dados'!M$6:M$196,MATCH($C190,'Entrada de Dados'!$A$6:$A$196,0))</f>
        <v/>
      </c>
      <c r="Q190" s="243">
        <f>INDEX('Entrada de Dados'!N$6:N$196,MATCH($C190,'Entrada de Dados'!$A$6:$A$196,0))</f>
        <v/>
      </c>
      <c r="R190" s="243">
        <f>INDEX('Entrada de Dados'!O$6:O$196,MATCH($C190,'Entrada de Dados'!$A$6:$A$196,0))</f>
        <v/>
      </c>
      <c r="S190" s="243">
        <f>INDEX('Entrada de Dados'!P$6:P$196,MATCH($C190,'Entrada de Dados'!$A$6:$A$196,0))</f>
        <v/>
      </c>
      <c r="T190" s="243">
        <f>INDEX('Entrada de Dados'!Q$6:Q$196,MATCH($C190,'Entrada de Dados'!$A$6:$A$196,0))</f>
        <v/>
      </c>
      <c r="U190" s="243">
        <f>INDEX('Entrada de Dados'!R$6:R$196,MATCH($C190,'Entrada de Dados'!$A$6:$A$196,0))</f>
        <v/>
      </c>
      <c r="V190" s="243">
        <f>INDEX('Entrada de Dados'!S$6:S$196,MATCH($C190,'Entrada de Dados'!$A$6:$A$196,0))</f>
        <v/>
      </c>
      <c r="W190" s="243">
        <f>INDEX('Entrada de Dados'!T$6:T$196,MATCH($C190,'Entrada de Dados'!$A$6:$A$196,0))</f>
        <v/>
      </c>
      <c r="X190" s="243">
        <f>INDEX('Entrada de Dados'!U$6:U$196,MATCH($C190,'Entrada de Dados'!$A$6:$A$196,0))</f>
        <v/>
      </c>
    </row>
    <row r="191">
      <c r="A191" s="241" t="n">
        <v>9</v>
      </c>
      <c r="B191" s="241" t="inlineStr"/>
      <c r="C191" s="241" t="inlineStr">
        <is>
          <t>1120</t>
        </is>
      </c>
      <c r="D191" s="242">
        <f>HYPERLINK("#'ESCOLA SANTA LUIZA DE MARILLAC'!A1","ESCOLA SANTA LUIZA DE MARILLAC")</f>
        <v/>
      </c>
      <c r="E191" s="242" t="inlineStr">
        <is>
          <t>CENTRO</t>
        </is>
      </c>
      <c r="F191" s="243">
        <f>INDEX('Entrada de Dados'!C$6:C$196,MATCH($C191,'Entrada de Dados'!$A$6:$A$196,0))</f>
        <v/>
      </c>
      <c r="G191" s="243">
        <f>INDEX('Entrada de Dados'!D$6:D$196,MATCH($C191,'Entrada de Dados'!$A$6:$A$196,0))</f>
        <v/>
      </c>
      <c r="H191" s="243">
        <f>INDEX('Entrada de Dados'!E$6:E$196,MATCH($C191,'Entrada de Dados'!$A$6:$A$196,0))</f>
        <v/>
      </c>
      <c r="I191" s="243">
        <f>INDEX('Entrada de Dados'!F$6:F$196,MATCH($C191,'Entrada de Dados'!$A$6:$A$196,0))</f>
        <v/>
      </c>
      <c r="J191" s="243">
        <f>INDEX('Entrada de Dados'!G$6:G$196,MATCH($C191,'Entrada de Dados'!$A$6:$A$196,0))</f>
        <v/>
      </c>
      <c r="K191" s="243">
        <f>INDEX('Entrada de Dados'!H$6:H$196,MATCH($C191,'Entrada de Dados'!$A$6:$A$196,0))</f>
        <v/>
      </c>
      <c r="L191" s="243">
        <f>INDEX('Entrada de Dados'!I$6:I$196,MATCH($C191,'Entrada de Dados'!$A$6:$A$196,0))</f>
        <v/>
      </c>
      <c r="M191" s="243">
        <f>INDEX('Entrada de Dados'!J$6:J$196,MATCH($C191,'Entrada de Dados'!$A$6:$A$196,0))</f>
        <v/>
      </c>
      <c r="N191" s="243">
        <f>INDEX('Entrada de Dados'!K$6:K$196,MATCH($C191,'Entrada de Dados'!$A$6:$A$196,0))</f>
        <v/>
      </c>
      <c r="O191" s="243">
        <f>INDEX('Entrada de Dados'!L$6:L$196,MATCH($C191,'Entrada de Dados'!$A$6:$A$196,0))</f>
        <v/>
      </c>
      <c r="P191" s="243">
        <f>INDEX('Entrada de Dados'!M$6:M$196,MATCH($C191,'Entrada de Dados'!$A$6:$A$196,0))</f>
        <v/>
      </c>
      <c r="Q191" s="243">
        <f>INDEX('Entrada de Dados'!N$6:N$196,MATCH($C191,'Entrada de Dados'!$A$6:$A$196,0))</f>
        <v/>
      </c>
      <c r="R191" s="243">
        <f>INDEX('Entrada de Dados'!O$6:O$196,MATCH($C191,'Entrada de Dados'!$A$6:$A$196,0))</f>
        <v/>
      </c>
      <c r="S191" s="243">
        <f>INDEX('Entrada de Dados'!P$6:P$196,MATCH($C191,'Entrada de Dados'!$A$6:$A$196,0))</f>
        <v/>
      </c>
      <c r="T191" s="243">
        <f>INDEX('Entrada de Dados'!Q$6:Q$196,MATCH($C191,'Entrada de Dados'!$A$6:$A$196,0))</f>
        <v/>
      </c>
      <c r="U191" s="243">
        <f>INDEX('Entrada de Dados'!R$6:R$196,MATCH($C191,'Entrada de Dados'!$A$6:$A$196,0))</f>
        <v/>
      </c>
      <c r="V191" s="243">
        <f>INDEX('Entrada de Dados'!S$6:S$196,MATCH($C191,'Entrada de Dados'!$A$6:$A$196,0))</f>
        <v/>
      </c>
      <c r="W191" s="243">
        <f>INDEX('Entrada de Dados'!T$6:T$196,MATCH($C191,'Entrada de Dados'!$A$6:$A$196,0))</f>
        <v/>
      </c>
      <c r="X191" s="243">
        <f>INDEX('Entrada de Dados'!U$6:U$196,MATCH($C191,'Entrada de Dados'!$A$6:$A$196,0))</f>
        <v/>
      </c>
    </row>
    <row r="192">
      <c r="A192" s="241" t="n">
        <v>10</v>
      </c>
      <c r="B192" s="241" t="inlineStr"/>
      <c r="C192" s="241" t="inlineStr">
        <is>
          <t>1109</t>
        </is>
      </c>
      <c r="D192" s="242">
        <f>HYPERLINK("#'E M PROFª MARIA CAMPOS DA SILVA'!A1","E M PROFª MARIA CAMPOS DA SILVA")</f>
        <v/>
      </c>
      <c r="E192" s="242" t="inlineStr">
        <is>
          <t>CENTRO</t>
        </is>
      </c>
      <c r="F192" s="243">
        <f>INDEX('Entrada de Dados'!C$6:C$196,MATCH($C192,'Entrada de Dados'!$A$6:$A$196,0))</f>
        <v/>
      </c>
      <c r="G192" s="243">
        <f>INDEX('Entrada de Dados'!D$6:D$196,MATCH($C192,'Entrada de Dados'!$A$6:$A$196,0))</f>
        <v/>
      </c>
      <c r="H192" s="243">
        <f>INDEX('Entrada de Dados'!E$6:E$196,MATCH($C192,'Entrada de Dados'!$A$6:$A$196,0))</f>
        <v/>
      </c>
      <c r="I192" s="243">
        <f>INDEX('Entrada de Dados'!F$6:F$196,MATCH($C192,'Entrada de Dados'!$A$6:$A$196,0))</f>
        <v/>
      </c>
      <c r="J192" s="243">
        <f>INDEX('Entrada de Dados'!G$6:G$196,MATCH($C192,'Entrada de Dados'!$A$6:$A$196,0))</f>
        <v/>
      </c>
      <c r="K192" s="243">
        <f>INDEX('Entrada de Dados'!H$6:H$196,MATCH($C192,'Entrada de Dados'!$A$6:$A$196,0))</f>
        <v/>
      </c>
      <c r="L192" s="243">
        <f>INDEX('Entrada de Dados'!I$6:I$196,MATCH($C192,'Entrada de Dados'!$A$6:$A$196,0))</f>
        <v/>
      </c>
      <c r="M192" s="243">
        <f>INDEX('Entrada de Dados'!J$6:J$196,MATCH($C192,'Entrada de Dados'!$A$6:$A$196,0))</f>
        <v/>
      </c>
      <c r="N192" s="243">
        <f>INDEX('Entrada de Dados'!K$6:K$196,MATCH($C192,'Entrada de Dados'!$A$6:$A$196,0))</f>
        <v/>
      </c>
      <c r="O192" s="243">
        <f>INDEX('Entrada de Dados'!L$6:L$196,MATCH($C192,'Entrada de Dados'!$A$6:$A$196,0))</f>
        <v/>
      </c>
      <c r="P192" s="243">
        <f>INDEX('Entrada de Dados'!M$6:M$196,MATCH($C192,'Entrada de Dados'!$A$6:$A$196,0))</f>
        <v/>
      </c>
      <c r="Q192" s="243">
        <f>INDEX('Entrada de Dados'!N$6:N$196,MATCH($C192,'Entrada de Dados'!$A$6:$A$196,0))</f>
        <v/>
      </c>
      <c r="R192" s="243">
        <f>INDEX('Entrada de Dados'!O$6:O$196,MATCH($C192,'Entrada de Dados'!$A$6:$A$196,0))</f>
        <v/>
      </c>
      <c r="S192" s="243">
        <f>INDEX('Entrada de Dados'!P$6:P$196,MATCH($C192,'Entrada de Dados'!$A$6:$A$196,0))</f>
        <v/>
      </c>
      <c r="T192" s="243">
        <f>INDEX('Entrada de Dados'!Q$6:Q$196,MATCH($C192,'Entrada de Dados'!$A$6:$A$196,0))</f>
        <v/>
      </c>
      <c r="U192" s="243">
        <f>INDEX('Entrada de Dados'!R$6:R$196,MATCH($C192,'Entrada de Dados'!$A$6:$A$196,0))</f>
        <v/>
      </c>
      <c r="V192" s="243">
        <f>INDEX('Entrada de Dados'!S$6:S$196,MATCH($C192,'Entrada de Dados'!$A$6:$A$196,0))</f>
        <v/>
      </c>
      <c r="W192" s="243">
        <f>INDEX('Entrada de Dados'!T$6:T$196,MATCH($C192,'Entrada de Dados'!$A$6:$A$196,0))</f>
        <v/>
      </c>
      <c r="X192" s="243">
        <f>INDEX('Entrada de Dados'!U$6:U$196,MATCH($C192,'Entrada de Dados'!$A$6:$A$196,0))</f>
        <v/>
      </c>
    </row>
    <row r="193">
      <c r="A193" s="241" t="n">
        <v>11</v>
      </c>
      <c r="B193" s="241" t="inlineStr"/>
      <c r="C193" s="241" t="inlineStr">
        <is>
          <t>1115</t>
        </is>
      </c>
      <c r="D193" s="242">
        <f>HYPERLINK("#'CENTRO DE REFERÊNCIA EM EDUCAÇÃ'!A1","CENTRO DE REFERÊNCIA EM EDUCAÇÃO INCLUSIVA JOÃO PEDRO DE SOUZA ROSA")</f>
        <v/>
      </c>
      <c r="E193" s="242" t="inlineStr">
        <is>
          <t>CENTRO</t>
        </is>
      </c>
      <c r="F193" s="243">
        <f>INDEX('Entrada de Dados'!C$6:C$196,MATCH($C193,'Entrada de Dados'!$A$6:$A$196,0))</f>
        <v/>
      </c>
      <c r="G193" s="243">
        <f>INDEX('Entrada de Dados'!D$6:D$196,MATCH($C193,'Entrada de Dados'!$A$6:$A$196,0))</f>
        <v/>
      </c>
      <c r="H193" s="243">
        <f>INDEX('Entrada de Dados'!E$6:E$196,MATCH($C193,'Entrada de Dados'!$A$6:$A$196,0))</f>
        <v/>
      </c>
      <c r="I193" s="243">
        <f>INDEX('Entrada de Dados'!F$6:F$196,MATCH($C193,'Entrada de Dados'!$A$6:$A$196,0))</f>
        <v/>
      </c>
      <c r="J193" s="243">
        <f>INDEX('Entrada de Dados'!G$6:G$196,MATCH($C193,'Entrada de Dados'!$A$6:$A$196,0))</f>
        <v/>
      </c>
      <c r="K193" s="243">
        <f>INDEX('Entrada de Dados'!H$6:H$196,MATCH($C193,'Entrada de Dados'!$A$6:$A$196,0))</f>
        <v/>
      </c>
      <c r="L193" s="243">
        <f>INDEX('Entrada de Dados'!I$6:I$196,MATCH($C193,'Entrada de Dados'!$A$6:$A$196,0))</f>
        <v/>
      </c>
      <c r="M193" s="243">
        <f>INDEX('Entrada de Dados'!J$6:J$196,MATCH($C193,'Entrada de Dados'!$A$6:$A$196,0))</f>
        <v/>
      </c>
      <c r="N193" s="243">
        <f>INDEX('Entrada de Dados'!K$6:K$196,MATCH($C193,'Entrada de Dados'!$A$6:$A$196,0))</f>
        <v/>
      </c>
      <c r="O193" s="243">
        <f>INDEX('Entrada de Dados'!L$6:L$196,MATCH($C193,'Entrada de Dados'!$A$6:$A$196,0))</f>
        <v/>
      </c>
      <c r="P193" s="243">
        <f>INDEX('Entrada de Dados'!M$6:M$196,MATCH($C193,'Entrada de Dados'!$A$6:$A$196,0))</f>
        <v/>
      </c>
      <c r="Q193" s="243">
        <f>INDEX('Entrada de Dados'!N$6:N$196,MATCH($C193,'Entrada de Dados'!$A$6:$A$196,0))</f>
        <v/>
      </c>
      <c r="R193" s="243">
        <f>INDEX('Entrada de Dados'!O$6:O$196,MATCH($C193,'Entrada de Dados'!$A$6:$A$196,0))</f>
        <v/>
      </c>
      <c r="S193" s="243">
        <f>INDEX('Entrada de Dados'!P$6:P$196,MATCH($C193,'Entrada de Dados'!$A$6:$A$196,0))</f>
        <v/>
      </c>
      <c r="T193" s="243">
        <f>INDEX('Entrada de Dados'!Q$6:Q$196,MATCH($C193,'Entrada de Dados'!$A$6:$A$196,0))</f>
        <v/>
      </c>
      <c r="U193" s="243">
        <f>INDEX('Entrada de Dados'!R$6:R$196,MATCH($C193,'Entrada de Dados'!$A$6:$A$196,0))</f>
        <v/>
      </c>
      <c r="V193" s="243">
        <f>INDEX('Entrada de Dados'!S$6:S$196,MATCH($C193,'Entrada de Dados'!$A$6:$A$196,0))</f>
        <v/>
      </c>
      <c r="W193" s="243">
        <f>INDEX('Entrada de Dados'!T$6:T$196,MATCH($C193,'Entrada de Dados'!$A$6:$A$196,0))</f>
        <v/>
      </c>
      <c r="X193" s="243">
        <f>INDEX('Entrada de Dados'!U$6:U$196,MATCH($C193,'Entrada de Dados'!$A$6:$A$196,0))</f>
        <v/>
      </c>
    </row>
    <row r="194">
      <c r="A194" s="241" t="n">
        <v>12</v>
      </c>
      <c r="B194" s="241" t="inlineStr"/>
      <c r="C194" s="241" t="inlineStr">
        <is>
          <t>1080</t>
        </is>
      </c>
      <c r="D194" s="242">
        <f>HYPERLINK("#'E M PREFEITO JAMIL SABRÁ'!A1","E M PREFEITO JAMIL SABRÁ")</f>
        <v/>
      </c>
      <c r="E194" s="242" t="inlineStr">
        <is>
          <t>CENTRO</t>
        </is>
      </c>
      <c r="F194" s="243">
        <f>INDEX('Entrada de Dados'!C$6:C$196,MATCH($C194,'Entrada de Dados'!$A$6:$A$196,0))</f>
        <v/>
      </c>
      <c r="G194" s="243">
        <f>INDEX('Entrada de Dados'!D$6:D$196,MATCH($C194,'Entrada de Dados'!$A$6:$A$196,0))</f>
        <v/>
      </c>
      <c r="H194" s="243">
        <f>INDEX('Entrada de Dados'!E$6:E$196,MATCH($C194,'Entrada de Dados'!$A$6:$A$196,0))</f>
        <v/>
      </c>
      <c r="I194" s="243">
        <f>INDEX('Entrada de Dados'!F$6:F$196,MATCH($C194,'Entrada de Dados'!$A$6:$A$196,0))</f>
        <v/>
      </c>
      <c r="J194" s="243">
        <f>INDEX('Entrada de Dados'!G$6:G$196,MATCH($C194,'Entrada de Dados'!$A$6:$A$196,0))</f>
        <v/>
      </c>
      <c r="K194" s="243">
        <f>INDEX('Entrada de Dados'!H$6:H$196,MATCH($C194,'Entrada de Dados'!$A$6:$A$196,0))</f>
        <v/>
      </c>
      <c r="L194" s="243">
        <f>INDEX('Entrada de Dados'!I$6:I$196,MATCH($C194,'Entrada de Dados'!$A$6:$A$196,0))</f>
        <v/>
      </c>
      <c r="M194" s="243">
        <f>INDEX('Entrada de Dados'!J$6:J$196,MATCH($C194,'Entrada de Dados'!$A$6:$A$196,0))</f>
        <v/>
      </c>
      <c r="N194" s="243">
        <f>INDEX('Entrada de Dados'!K$6:K$196,MATCH($C194,'Entrada de Dados'!$A$6:$A$196,0))</f>
        <v/>
      </c>
      <c r="O194" s="243">
        <f>INDEX('Entrada de Dados'!L$6:L$196,MATCH($C194,'Entrada de Dados'!$A$6:$A$196,0))</f>
        <v/>
      </c>
      <c r="P194" s="243">
        <f>INDEX('Entrada de Dados'!M$6:M$196,MATCH($C194,'Entrada de Dados'!$A$6:$A$196,0))</f>
        <v/>
      </c>
      <c r="Q194" s="243">
        <f>INDEX('Entrada de Dados'!N$6:N$196,MATCH($C194,'Entrada de Dados'!$A$6:$A$196,0))</f>
        <v/>
      </c>
      <c r="R194" s="243">
        <f>INDEX('Entrada de Dados'!O$6:O$196,MATCH($C194,'Entrada de Dados'!$A$6:$A$196,0))</f>
        <v/>
      </c>
      <c r="S194" s="243">
        <f>INDEX('Entrada de Dados'!P$6:P$196,MATCH($C194,'Entrada de Dados'!$A$6:$A$196,0))</f>
        <v/>
      </c>
      <c r="T194" s="243">
        <f>INDEX('Entrada de Dados'!Q$6:Q$196,MATCH($C194,'Entrada de Dados'!$A$6:$A$196,0))</f>
        <v/>
      </c>
      <c r="U194" s="243">
        <f>INDEX('Entrada de Dados'!R$6:R$196,MATCH($C194,'Entrada de Dados'!$A$6:$A$196,0))</f>
        <v/>
      </c>
      <c r="V194" s="243">
        <f>INDEX('Entrada de Dados'!S$6:S$196,MATCH($C194,'Entrada de Dados'!$A$6:$A$196,0))</f>
        <v/>
      </c>
      <c r="W194" s="243">
        <f>INDEX('Entrada de Dados'!T$6:T$196,MATCH($C194,'Entrada de Dados'!$A$6:$A$196,0))</f>
        <v/>
      </c>
      <c r="X194" s="243">
        <f>INDEX('Entrada de Dados'!U$6:U$196,MATCH($C194,'Entrada de Dados'!$A$6:$A$196,0))</f>
        <v/>
      </c>
    </row>
    <row r="195">
      <c r="A195" s="241" t="n">
        <v>13</v>
      </c>
      <c r="B195" s="241" t="inlineStr"/>
      <c r="C195" s="241" t="inlineStr">
        <is>
          <t>2019</t>
        </is>
      </c>
      <c r="D195" s="242">
        <f>HYPERLINK("#'ESCOLA PAROQUIAL SÃO PEDRO DE A'!A1","ESCOLA PAROQUIAL SÃO PEDRO DE ALCÂNTARA")</f>
        <v/>
      </c>
      <c r="E195" s="242" t="inlineStr">
        <is>
          <t>CENTRO</t>
        </is>
      </c>
      <c r="F195" s="243">
        <f>INDEX('Entrada de Dados'!C$6:C$196,MATCH($C195,'Entrada de Dados'!$A$6:$A$196,0))</f>
        <v/>
      </c>
      <c r="G195" s="243">
        <f>INDEX('Entrada de Dados'!D$6:D$196,MATCH($C195,'Entrada de Dados'!$A$6:$A$196,0))</f>
        <v/>
      </c>
      <c r="H195" s="243">
        <f>INDEX('Entrada de Dados'!E$6:E$196,MATCH($C195,'Entrada de Dados'!$A$6:$A$196,0))</f>
        <v/>
      </c>
      <c r="I195" s="243">
        <f>INDEX('Entrada de Dados'!F$6:F$196,MATCH($C195,'Entrada de Dados'!$A$6:$A$196,0))</f>
        <v/>
      </c>
      <c r="J195" s="243">
        <f>INDEX('Entrada de Dados'!G$6:G$196,MATCH($C195,'Entrada de Dados'!$A$6:$A$196,0))</f>
        <v/>
      </c>
      <c r="K195" s="243">
        <f>INDEX('Entrada de Dados'!H$6:H$196,MATCH($C195,'Entrada de Dados'!$A$6:$A$196,0))</f>
        <v/>
      </c>
      <c r="L195" s="243">
        <f>INDEX('Entrada de Dados'!I$6:I$196,MATCH($C195,'Entrada de Dados'!$A$6:$A$196,0))</f>
        <v/>
      </c>
      <c r="M195" s="243">
        <f>INDEX('Entrada de Dados'!J$6:J$196,MATCH($C195,'Entrada de Dados'!$A$6:$A$196,0))</f>
        <v/>
      </c>
      <c r="N195" s="243">
        <f>INDEX('Entrada de Dados'!K$6:K$196,MATCH($C195,'Entrada de Dados'!$A$6:$A$196,0))</f>
        <v/>
      </c>
      <c r="O195" s="243">
        <f>INDEX('Entrada de Dados'!L$6:L$196,MATCH($C195,'Entrada de Dados'!$A$6:$A$196,0))</f>
        <v/>
      </c>
      <c r="P195" s="243">
        <f>INDEX('Entrada de Dados'!M$6:M$196,MATCH($C195,'Entrada de Dados'!$A$6:$A$196,0))</f>
        <v/>
      </c>
      <c r="Q195" s="243">
        <f>INDEX('Entrada de Dados'!N$6:N$196,MATCH($C195,'Entrada de Dados'!$A$6:$A$196,0))</f>
        <v/>
      </c>
      <c r="R195" s="243">
        <f>INDEX('Entrada de Dados'!O$6:O$196,MATCH($C195,'Entrada de Dados'!$A$6:$A$196,0))</f>
        <v/>
      </c>
      <c r="S195" s="243">
        <f>INDEX('Entrada de Dados'!P$6:P$196,MATCH($C195,'Entrada de Dados'!$A$6:$A$196,0))</f>
        <v/>
      </c>
      <c r="T195" s="243">
        <f>INDEX('Entrada de Dados'!Q$6:Q$196,MATCH($C195,'Entrada de Dados'!$A$6:$A$196,0))</f>
        <v/>
      </c>
      <c r="U195" s="243">
        <f>INDEX('Entrada de Dados'!R$6:R$196,MATCH($C195,'Entrada de Dados'!$A$6:$A$196,0))</f>
        <v/>
      </c>
      <c r="V195" s="243">
        <f>INDEX('Entrada de Dados'!S$6:S$196,MATCH($C195,'Entrada de Dados'!$A$6:$A$196,0))</f>
        <v/>
      </c>
      <c r="W195" s="243">
        <f>INDEX('Entrada de Dados'!T$6:T$196,MATCH($C195,'Entrada de Dados'!$A$6:$A$196,0))</f>
        <v/>
      </c>
      <c r="X195" s="243">
        <f>INDEX('Entrada de Dados'!U$6:U$196,MATCH($C195,'Entrada de Dados'!$A$6:$A$196,0))</f>
        <v/>
      </c>
    </row>
    <row r="196">
      <c r="A196" s="241" t="n">
        <v>14</v>
      </c>
      <c r="B196" s="241" t="inlineStr"/>
      <c r="C196" s="241" t="inlineStr">
        <is>
          <t>2014</t>
        </is>
      </c>
      <c r="D196" s="242">
        <f>HYPERLINK("#'ESCOLA MONSENHOR GENTIL'!A1","ESCOLA MONSENHOR GENTIL")</f>
        <v/>
      </c>
      <c r="E196" s="242" t="inlineStr">
        <is>
          <t>CENTRO</t>
        </is>
      </c>
      <c r="F196" s="243">
        <f>INDEX('Entrada de Dados'!C$6:C$196,MATCH($C196,'Entrada de Dados'!$A$6:$A$196,0))</f>
        <v/>
      </c>
      <c r="G196" s="243">
        <f>INDEX('Entrada de Dados'!D$6:D$196,MATCH($C196,'Entrada de Dados'!$A$6:$A$196,0))</f>
        <v/>
      </c>
      <c r="H196" s="243">
        <f>INDEX('Entrada de Dados'!E$6:E$196,MATCH($C196,'Entrada de Dados'!$A$6:$A$196,0))</f>
        <v/>
      </c>
      <c r="I196" s="243">
        <f>INDEX('Entrada de Dados'!F$6:F$196,MATCH($C196,'Entrada de Dados'!$A$6:$A$196,0))</f>
        <v/>
      </c>
      <c r="J196" s="243">
        <f>INDEX('Entrada de Dados'!G$6:G$196,MATCH($C196,'Entrada de Dados'!$A$6:$A$196,0))</f>
        <v/>
      </c>
      <c r="K196" s="243">
        <f>INDEX('Entrada de Dados'!H$6:H$196,MATCH($C196,'Entrada de Dados'!$A$6:$A$196,0))</f>
        <v/>
      </c>
      <c r="L196" s="243">
        <f>INDEX('Entrada de Dados'!I$6:I$196,MATCH($C196,'Entrada de Dados'!$A$6:$A$196,0))</f>
        <v/>
      </c>
      <c r="M196" s="243">
        <f>INDEX('Entrada de Dados'!J$6:J$196,MATCH($C196,'Entrada de Dados'!$A$6:$A$196,0))</f>
        <v/>
      </c>
      <c r="N196" s="243">
        <f>INDEX('Entrada de Dados'!K$6:K$196,MATCH($C196,'Entrada de Dados'!$A$6:$A$196,0))</f>
        <v/>
      </c>
      <c r="O196" s="243">
        <f>INDEX('Entrada de Dados'!L$6:L$196,MATCH($C196,'Entrada de Dados'!$A$6:$A$196,0))</f>
        <v/>
      </c>
      <c r="P196" s="243">
        <f>INDEX('Entrada de Dados'!M$6:M$196,MATCH($C196,'Entrada de Dados'!$A$6:$A$196,0))</f>
        <v/>
      </c>
      <c r="Q196" s="243">
        <f>INDEX('Entrada de Dados'!N$6:N$196,MATCH($C196,'Entrada de Dados'!$A$6:$A$196,0))</f>
        <v/>
      </c>
      <c r="R196" s="243">
        <f>INDEX('Entrada de Dados'!O$6:O$196,MATCH($C196,'Entrada de Dados'!$A$6:$A$196,0))</f>
        <v/>
      </c>
      <c r="S196" s="243">
        <f>INDEX('Entrada de Dados'!P$6:P$196,MATCH($C196,'Entrada de Dados'!$A$6:$A$196,0))</f>
        <v/>
      </c>
      <c r="T196" s="243">
        <f>INDEX('Entrada de Dados'!Q$6:Q$196,MATCH($C196,'Entrada de Dados'!$A$6:$A$196,0))</f>
        <v/>
      </c>
      <c r="U196" s="243">
        <f>INDEX('Entrada de Dados'!R$6:R$196,MATCH($C196,'Entrada de Dados'!$A$6:$A$196,0))</f>
        <v/>
      </c>
      <c r="V196" s="243">
        <f>INDEX('Entrada de Dados'!S$6:S$196,MATCH($C196,'Entrada de Dados'!$A$6:$A$196,0))</f>
        <v/>
      </c>
      <c r="W196" s="243">
        <f>INDEX('Entrada de Dados'!T$6:T$196,MATCH($C196,'Entrada de Dados'!$A$6:$A$196,0))</f>
        <v/>
      </c>
      <c r="X196" s="243">
        <f>INDEX('Entrada de Dados'!U$6:U$196,MATCH($C196,'Entrada de Dados'!$A$6:$A$196,0))</f>
        <v/>
      </c>
    </row>
    <row r="197">
      <c r="A197" s="253" t="n">
        <v>15</v>
      </c>
      <c r="B197" s="253" t="inlineStr">
        <is>
          <t>A</t>
        </is>
      </c>
      <c r="C197" s="254" t="inlineStr">
        <is>
          <t>3037</t>
        </is>
      </c>
      <c r="D197" s="255">
        <f>HYPERLINK("#'CEI TERRA SANTA'!A1","CEI TERRA SANTA")</f>
        <v/>
      </c>
      <c r="E197" s="255" t="inlineStr">
        <is>
          <t>CENTRO</t>
        </is>
      </c>
      <c r="F197" s="256">
        <f>INDEX('Entrada de Dados'!C$6:C$196,MATCH($C197,'Entrada de Dados'!$A$6:$A$196,0))</f>
        <v/>
      </c>
      <c r="G197" s="256">
        <f>INDEX('Entrada de Dados'!D$6:D$196,MATCH($C197,'Entrada de Dados'!$A$6:$A$196,0))</f>
        <v/>
      </c>
      <c r="H197" s="256">
        <f>INDEX('Entrada de Dados'!E$6:E$196,MATCH($C197,'Entrada de Dados'!$A$6:$A$196,0))</f>
        <v/>
      </c>
      <c r="I197" s="256">
        <f>INDEX('Entrada de Dados'!F$6:F$196,MATCH($C197,'Entrada de Dados'!$A$6:$A$196,0))</f>
        <v/>
      </c>
      <c r="J197" s="256">
        <f>INDEX('Entrada de Dados'!G$6:G$196,MATCH($C197,'Entrada de Dados'!$A$6:$A$196,0))</f>
        <v/>
      </c>
      <c r="K197" s="256">
        <f>INDEX('Entrada de Dados'!H$6:H$196,MATCH($C197,'Entrada de Dados'!$A$6:$A$196,0))</f>
        <v/>
      </c>
      <c r="L197" s="256">
        <f>INDEX('Entrada de Dados'!I$6:I$196,MATCH($C197,'Entrada de Dados'!$A$6:$A$196,0))</f>
        <v/>
      </c>
      <c r="M197" s="256">
        <f>INDEX('Entrada de Dados'!J$6:J$196,MATCH($C197,'Entrada de Dados'!$A$6:$A$196,0))</f>
        <v/>
      </c>
      <c r="N197" s="256">
        <f>INDEX('Entrada de Dados'!K$6:K$196,MATCH($C197,'Entrada de Dados'!$A$6:$A$196,0))</f>
        <v/>
      </c>
      <c r="O197" s="256">
        <f>INDEX('Entrada de Dados'!L$6:L$196,MATCH($C197,'Entrada de Dados'!$A$6:$A$196,0))</f>
        <v/>
      </c>
      <c r="P197" s="256">
        <f>INDEX('Entrada de Dados'!M$6:M$196,MATCH($C197,'Entrada de Dados'!$A$6:$A$196,0))</f>
        <v/>
      </c>
      <c r="Q197" s="256">
        <f>INDEX('Entrada de Dados'!N$6:N$196,MATCH($C197,'Entrada de Dados'!$A$6:$A$196,0))</f>
        <v/>
      </c>
      <c r="R197" s="256">
        <f>INDEX('Entrada de Dados'!O$6:O$196,MATCH($C197,'Entrada de Dados'!$A$6:$A$196,0))</f>
        <v/>
      </c>
      <c r="S197" s="256">
        <f>INDEX('Entrada de Dados'!P$6:P$196,MATCH($C197,'Entrada de Dados'!$A$6:$A$196,0))</f>
        <v/>
      </c>
      <c r="T197" s="256">
        <f>INDEX('Entrada de Dados'!Q$6:Q$196,MATCH($C197,'Entrada de Dados'!$A$6:$A$196,0))</f>
        <v/>
      </c>
      <c r="U197" s="256">
        <f>INDEX('Entrada de Dados'!R$6:R$196,MATCH($C197,'Entrada de Dados'!$A$6:$A$196,0))</f>
        <v/>
      </c>
      <c r="V197" s="256">
        <f>INDEX('Entrada de Dados'!S$6:S$196,MATCH($C197,'Entrada de Dados'!$A$6:$A$196,0))</f>
        <v/>
      </c>
      <c r="W197" s="256">
        <f>INDEX('Entrada de Dados'!T$6:T$196,MATCH($C197,'Entrada de Dados'!$A$6:$A$196,0))</f>
        <v/>
      </c>
      <c r="X197" s="256">
        <f>INDEX('Entrada de Dados'!U$6:U$196,MATCH($C197,'Entrada de Dados'!$A$6:$A$196,0))</f>
        <v/>
      </c>
    </row>
    <row r="198">
      <c r="A198" s="253" t="n">
        <v>15</v>
      </c>
      <c r="B198" s="253" t="inlineStr">
        <is>
          <t>B</t>
        </is>
      </c>
      <c r="C198" s="254" t="inlineStr">
        <is>
          <t>2005</t>
        </is>
      </c>
      <c r="D198" s="255">
        <f>HYPERLINK("#'EDUCANDÁRIO TERRA SANTA'!A1","EDUCANDÁRIO TERRA SANTA")</f>
        <v/>
      </c>
      <c r="E198" s="255" t="inlineStr">
        <is>
          <t>VALPARAÍSO</t>
        </is>
      </c>
      <c r="F198" s="256">
        <f>INDEX('Entrada de Dados'!C$6:C$196,MATCH($C198,'Entrada de Dados'!$A$6:$A$196,0))</f>
        <v/>
      </c>
      <c r="G198" s="256">
        <f>INDEX('Entrada de Dados'!D$6:D$196,MATCH($C198,'Entrada de Dados'!$A$6:$A$196,0))</f>
        <v/>
      </c>
      <c r="H198" s="256">
        <f>INDEX('Entrada de Dados'!E$6:E$196,MATCH($C198,'Entrada de Dados'!$A$6:$A$196,0))</f>
        <v/>
      </c>
      <c r="I198" s="256">
        <f>INDEX('Entrada de Dados'!F$6:F$196,MATCH($C198,'Entrada de Dados'!$A$6:$A$196,0))</f>
        <v/>
      </c>
      <c r="J198" s="256">
        <f>INDEX('Entrada de Dados'!G$6:G$196,MATCH($C198,'Entrada de Dados'!$A$6:$A$196,0))</f>
        <v/>
      </c>
      <c r="K198" s="256">
        <f>INDEX('Entrada de Dados'!H$6:H$196,MATCH($C198,'Entrada de Dados'!$A$6:$A$196,0))</f>
        <v/>
      </c>
      <c r="L198" s="256">
        <f>INDEX('Entrada de Dados'!I$6:I$196,MATCH($C198,'Entrada de Dados'!$A$6:$A$196,0))</f>
        <v/>
      </c>
      <c r="M198" s="256">
        <f>INDEX('Entrada de Dados'!J$6:J$196,MATCH($C198,'Entrada de Dados'!$A$6:$A$196,0))</f>
        <v/>
      </c>
      <c r="N198" s="256">
        <f>INDEX('Entrada de Dados'!K$6:K$196,MATCH($C198,'Entrada de Dados'!$A$6:$A$196,0))</f>
        <v/>
      </c>
      <c r="O198" s="256">
        <f>INDEX('Entrada de Dados'!L$6:L$196,MATCH($C198,'Entrada de Dados'!$A$6:$A$196,0))</f>
        <v/>
      </c>
      <c r="P198" s="256">
        <f>INDEX('Entrada de Dados'!M$6:M$196,MATCH($C198,'Entrada de Dados'!$A$6:$A$196,0))</f>
        <v/>
      </c>
      <c r="Q198" s="256">
        <f>INDEX('Entrada de Dados'!N$6:N$196,MATCH($C198,'Entrada de Dados'!$A$6:$A$196,0))</f>
        <v/>
      </c>
      <c r="R198" s="256">
        <f>INDEX('Entrada de Dados'!O$6:O$196,MATCH($C198,'Entrada de Dados'!$A$6:$A$196,0))</f>
        <v/>
      </c>
      <c r="S198" s="256">
        <f>INDEX('Entrada de Dados'!P$6:P$196,MATCH($C198,'Entrada de Dados'!$A$6:$A$196,0))</f>
        <v/>
      </c>
      <c r="T198" s="256">
        <f>INDEX('Entrada de Dados'!Q$6:Q$196,MATCH($C198,'Entrada de Dados'!$A$6:$A$196,0))</f>
        <v/>
      </c>
      <c r="U198" s="256">
        <f>INDEX('Entrada de Dados'!R$6:R$196,MATCH($C198,'Entrada de Dados'!$A$6:$A$196,0))</f>
        <v/>
      </c>
      <c r="V198" s="256">
        <f>INDEX('Entrada de Dados'!S$6:S$196,MATCH($C198,'Entrada de Dados'!$A$6:$A$196,0))</f>
        <v/>
      </c>
      <c r="W198" s="256">
        <f>INDEX('Entrada de Dados'!T$6:T$196,MATCH($C198,'Entrada de Dados'!$A$6:$A$196,0))</f>
        <v/>
      </c>
      <c r="X198" s="256">
        <f>INDEX('Entrada de Dados'!U$6:U$196,MATCH($C198,'Entrada de Dados'!$A$6:$A$196,0))</f>
        <v/>
      </c>
    </row>
    <row r="199">
      <c r="A199" s="241" t="n">
        <v>16</v>
      </c>
      <c r="B199" s="241" t="inlineStr"/>
      <c r="C199" s="241" t="inlineStr">
        <is>
          <t>1026</t>
        </is>
      </c>
      <c r="D199" s="242">
        <f>HYPERLINK("#'LICEU MUN PREFEITO CORDOLINO AM'!A1","LICEU MUN PREFEITO CORDOLINO AMBROSIO")</f>
        <v/>
      </c>
      <c r="E199" s="242" t="inlineStr">
        <is>
          <t>CENTRO</t>
        </is>
      </c>
      <c r="F199" s="243">
        <f>INDEX('Entrada de Dados'!C$6:C$196,MATCH($C199,'Entrada de Dados'!$A$6:$A$196,0))</f>
        <v/>
      </c>
      <c r="G199" s="243">
        <f>INDEX('Entrada de Dados'!D$6:D$196,MATCH($C199,'Entrada de Dados'!$A$6:$A$196,0))</f>
        <v/>
      </c>
      <c r="H199" s="243">
        <f>INDEX('Entrada de Dados'!E$6:E$196,MATCH($C199,'Entrada de Dados'!$A$6:$A$196,0))</f>
        <v/>
      </c>
      <c r="I199" s="243">
        <f>INDEX('Entrada de Dados'!F$6:F$196,MATCH($C199,'Entrada de Dados'!$A$6:$A$196,0))</f>
        <v/>
      </c>
      <c r="J199" s="243">
        <f>INDEX('Entrada de Dados'!G$6:G$196,MATCH($C199,'Entrada de Dados'!$A$6:$A$196,0))</f>
        <v/>
      </c>
      <c r="K199" s="243">
        <f>INDEX('Entrada de Dados'!H$6:H$196,MATCH($C199,'Entrada de Dados'!$A$6:$A$196,0))</f>
        <v/>
      </c>
      <c r="L199" s="243">
        <f>INDEX('Entrada de Dados'!I$6:I$196,MATCH($C199,'Entrada de Dados'!$A$6:$A$196,0))</f>
        <v/>
      </c>
      <c r="M199" s="243">
        <f>INDEX('Entrada de Dados'!J$6:J$196,MATCH($C199,'Entrada de Dados'!$A$6:$A$196,0))</f>
        <v/>
      </c>
      <c r="N199" s="243">
        <f>INDEX('Entrada de Dados'!K$6:K$196,MATCH($C199,'Entrada de Dados'!$A$6:$A$196,0))</f>
        <v/>
      </c>
      <c r="O199" s="243">
        <f>INDEX('Entrada de Dados'!L$6:L$196,MATCH($C199,'Entrada de Dados'!$A$6:$A$196,0))</f>
        <v/>
      </c>
      <c r="P199" s="243">
        <f>INDEX('Entrada de Dados'!M$6:M$196,MATCH($C199,'Entrada de Dados'!$A$6:$A$196,0))</f>
        <v/>
      </c>
      <c r="Q199" s="243">
        <f>INDEX('Entrada de Dados'!N$6:N$196,MATCH($C199,'Entrada de Dados'!$A$6:$A$196,0))</f>
        <v/>
      </c>
      <c r="R199" s="243">
        <f>INDEX('Entrada de Dados'!O$6:O$196,MATCH($C199,'Entrada de Dados'!$A$6:$A$196,0))</f>
        <v/>
      </c>
      <c r="S199" s="243">
        <f>INDEX('Entrada de Dados'!P$6:P$196,MATCH($C199,'Entrada de Dados'!$A$6:$A$196,0))</f>
        <v/>
      </c>
      <c r="T199" s="243">
        <f>INDEX('Entrada de Dados'!Q$6:Q$196,MATCH($C199,'Entrada de Dados'!$A$6:$A$196,0))</f>
        <v/>
      </c>
      <c r="U199" s="243">
        <f>INDEX('Entrada de Dados'!R$6:R$196,MATCH($C199,'Entrada de Dados'!$A$6:$A$196,0))</f>
        <v/>
      </c>
      <c r="V199" s="243">
        <f>INDEX('Entrada de Dados'!S$6:S$196,MATCH($C199,'Entrada de Dados'!$A$6:$A$196,0))</f>
        <v/>
      </c>
      <c r="W199" s="243">
        <f>INDEX('Entrada de Dados'!T$6:T$196,MATCH($C199,'Entrada de Dados'!$A$6:$A$196,0))</f>
        <v/>
      </c>
      <c r="X199" s="243">
        <f>INDEX('Entrada de Dados'!U$6:U$196,MATCH($C199,'Entrada de Dados'!$A$6:$A$196,0))</f>
        <v/>
      </c>
    </row>
    <row r="200">
      <c r="A200" s="241" t="n">
        <v>17</v>
      </c>
      <c r="B200" s="241" t="inlineStr"/>
      <c r="C200" s="241" t="inlineStr">
        <is>
          <t>1023</t>
        </is>
      </c>
      <c r="D200" s="242">
        <f>HYPERLINK("#'E M DE EDUCAÇÃO ESPECIAL SANTOS'!A1","E M DE EDUCAÇÃO ESPECIAL SANTOS DUMONT")</f>
        <v/>
      </c>
      <c r="E200" s="242" t="inlineStr">
        <is>
          <t>CENTRO</t>
        </is>
      </c>
      <c r="F200" s="243">
        <f>INDEX('Entrada de Dados'!C$6:C$196,MATCH($C200,'Entrada de Dados'!$A$6:$A$196,0))</f>
        <v/>
      </c>
      <c r="G200" s="243">
        <f>INDEX('Entrada de Dados'!D$6:D$196,MATCH($C200,'Entrada de Dados'!$A$6:$A$196,0))</f>
        <v/>
      </c>
      <c r="H200" s="243">
        <f>INDEX('Entrada de Dados'!E$6:E$196,MATCH($C200,'Entrada de Dados'!$A$6:$A$196,0))</f>
        <v/>
      </c>
      <c r="I200" s="243">
        <f>INDEX('Entrada de Dados'!F$6:F$196,MATCH($C200,'Entrada de Dados'!$A$6:$A$196,0))</f>
        <v/>
      </c>
      <c r="J200" s="243">
        <f>INDEX('Entrada de Dados'!G$6:G$196,MATCH($C200,'Entrada de Dados'!$A$6:$A$196,0))</f>
        <v/>
      </c>
      <c r="K200" s="243">
        <f>INDEX('Entrada de Dados'!H$6:H$196,MATCH($C200,'Entrada de Dados'!$A$6:$A$196,0))</f>
        <v/>
      </c>
      <c r="L200" s="243">
        <f>INDEX('Entrada de Dados'!I$6:I$196,MATCH($C200,'Entrada de Dados'!$A$6:$A$196,0))</f>
        <v/>
      </c>
      <c r="M200" s="243">
        <f>INDEX('Entrada de Dados'!J$6:J$196,MATCH($C200,'Entrada de Dados'!$A$6:$A$196,0))</f>
        <v/>
      </c>
      <c r="N200" s="243">
        <f>INDEX('Entrada de Dados'!K$6:K$196,MATCH($C200,'Entrada de Dados'!$A$6:$A$196,0))</f>
        <v/>
      </c>
      <c r="O200" s="243">
        <f>INDEX('Entrada de Dados'!L$6:L$196,MATCH($C200,'Entrada de Dados'!$A$6:$A$196,0))</f>
        <v/>
      </c>
      <c r="P200" s="243">
        <f>INDEX('Entrada de Dados'!M$6:M$196,MATCH($C200,'Entrada de Dados'!$A$6:$A$196,0))</f>
        <v/>
      </c>
      <c r="Q200" s="243">
        <f>INDEX('Entrada de Dados'!N$6:N$196,MATCH($C200,'Entrada de Dados'!$A$6:$A$196,0))</f>
        <v/>
      </c>
      <c r="R200" s="243">
        <f>INDEX('Entrada de Dados'!O$6:O$196,MATCH($C200,'Entrada de Dados'!$A$6:$A$196,0))</f>
        <v/>
      </c>
      <c r="S200" s="243">
        <f>INDEX('Entrada de Dados'!P$6:P$196,MATCH($C200,'Entrada de Dados'!$A$6:$A$196,0))</f>
        <v/>
      </c>
      <c r="T200" s="243">
        <f>INDEX('Entrada de Dados'!Q$6:Q$196,MATCH($C200,'Entrada de Dados'!$A$6:$A$196,0))</f>
        <v/>
      </c>
      <c r="U200" s="243">
        <f>INDEX('Entrada de Dados'!R$6:R$196,MATCH($C200,'Entrada de Dados'!$A$6:$A$196,0))</f>
        <v/>
      </c>
      <c r="V200" s="243">
        <f>INDEX('Entrada de Dados'!S$6:S$196,MATCH($C200,'Entrada de Dados'!$A$6:$A$196,0))</f>
        <v/>
      </c>
      <c r="W200" s="243">
        <f>INDEX('Entrada de Dados'!T$6:T$196,MATCH($C200,'Entrada de Dados'!$A$6:$A$196,0))</f>
        <v/>
      </c>
      <c r="X200" s="243">
        <f>INDEX('Entrada de Dados'!U$6:U$196,MATCH($C200,'Entrada de Dados'!$A$6:$A$196,0))</f>
        <v/>
      </c>
    </row>
    <row r="201">
      <c r="A201" s="241" t="n">
        <v>18</v>
      </c>
      <c r="B201" s="241" t="inlineStr"/>
      <c r="C201" s="241" t="inlineStr">
        <is>
          <t>3066</t>
        </is>
      </c>
      <c r="D201" s="242">
        <f>HYPERLINK("#'CENTRO DE EDUCAÇÃO INFANTIL PRO'!A1","CENTRO DE EDUCAÇÃO INFANTIL PROFESSORA TINA GRAZINOLI")</f>
        <v/>
      </c>
      <c r="E201" s="242" t="inlineStr">
        <is>
          <t>CENTRO</t>
        </is>
      </c>
      <c r="F201" s="243">
        <f>INDEX('Entrada de Dados'!C$6:C$196,MATCH($C201,'Entrada de Dados'!$A$6:$A$196,0))</f>
        <v/>
      </c>
      <c r="G201" s="243">
        <f>INDEX('Entrada de Dados'!D$6:D$196,MATCH($C201,'Entrada de Dados'!$A$6:$A$196,0))</f>
        <v/>
      </c>
      <c r="H201" s="243">
        <f>INDEX('Entrada de Dados'!E$6:E$196,MATCH($C201,'Entrada de Dados'!$A$6:$A$196,0))</f>
        <v/>
      </c>
      <c r="I201" s="243">
        <f>INDEX('Entrada de Dados'!F$6:F$196,MATCH($C201,'Entrada de Dados'!$A$6:$A$196,0))</f>
        <v/>
      </c>
      <c r="J201" s="243">
        <f>INDEX('Entrada de Dados'!G$6:G$196,MATCH($C201,'Entrada de Dados'!$A$6:$A$196,0))</f>
        <v/>
      </c>
      <c r="K201" s="243">
        <f>INDEX('Entrada de Dados'!H$6:H$196,MATCH($C201,'Entrada de Dados'!$A$6:$A$196,0))</f>
        <v/>
      </c>
      <c r="L201" s="243">
        <f>INDEX('Entrada de Dados'!I$6:I$196,MATCH($C201,'Entrada de Dados'!$A$6:$A$196,0))</f>
        <v/>
      </c>
      <c r="M201" s="243">
        <f>INDEX('Entrada de Dados'!J$6:J$196,MATCH($C201,'Entrada de Dados'!$A$6:$A$196,0))</f>
        <v/>
      </c>
      <c r="N201" s="243">
        <f>INDEX('Entrada de Dados'!K$6:K$196,MATCH($C201,'Entrada de Dados'!$A$6:$A$196,0))</f>
        <v/>
      </c>
      <c r="O201" s="243">
        <f>INDEX('Entrada de Dados'!L$6:L$196,MATCH($C201,'Entrada de Dados'!$A$6:$A$196,0))</f>
        <v/>
      </c>
      <c r="P201" s="243">
        <f>INDEX('Entrada de Dados'!M$6:M$196,MATCH($C201,'Entrada de Dados'!$A$6:$A$196,0))</f>
        <v/>
      </c>
      <c r="Q201" s="243">
        <f>INDEX('Entrada de Dados'!N$6:N$196,MATCH($C201,'Entrada de Dados'!$A$6:$A$196,0))</f>
        <v/>
      </c>
      <c r="R201" s="243">
        <f>INDEX('Entrada de Dados'!O$6:O$196,MATCH($C201,'Entrada de Dados'!$A$6:$A$196,0))</f>
        <v/>
      </c>
      <c r="S201" s="243">
        <f>INDEX('Entrada de Dados'!P$6:P$196,MATCH($C201,'Entrada de Dados'!$A$6:$A$196,0))</f>
        <v/>
      </c>
      <c r="T201" s="243">
        <f>INDEX('Entrada de Dados'!Q$6:Q$196,MATCH($C201,'Entrada de Dados'!$A$6:$A$196,0))</f>
        <v/>
      </c>
      <c r="U201" s="243">
        <f>INDEX('Entrada de Dados'!R$6:R$196,MATCH($C201,'Entrada de Dados'!$A$6:$A$196,0))</f>
        <v/>
      </c>
      <c r="V201" s="243">
        <f>INDEX('Entrada de Dados'!S$6:S$196,MATCH($C201,'Entrada de Dados'!$A$6:$A$196,0))</f>
        <v/>
      </c>
      <c r="W201" s="243">
        <f>INDEX('Entrada de Dados'!T$6:T$196,MATCH($C201,'Entrada de Dados'!$A$6:$A$196,0))</f>
        <v/>
      </c>
      <c r="X201" s="243">
        <f>INDEX('Entrada de Dados'!U$6:U$196,MATCH($C201,'Entrada de Dados'!$A$6:$A$196,0))</f>
        <v/>
      </c>
    </row>
    <row r="202">
      <c r="A202" s="241" t="n">
        <v>19</v>
      </c>
      <c r="B202" s="241" t="inlineStr"/>
      <c r="C202" s="241" t="inlineStr">
        <is>
          <t>3055</t>
        </is>
      </c>
      <c r="D202" s="242">
        <f>HYPERLINK("#'CEI DRA ZILDA ARNS NEUMANN'!A1","CEI DRA ZILDA ARNS NEUMANN")</f>
        <v/>
      </c>
      <c r="E202" s="242" t="inlineStr">
        <is>
          <t>CENTRO</t>
        </is>
      </c>
      <c r="F202" s="243">
        <f>INDEX('Entrada de Dados'!C$6:C$196,MATCH($C202,'Entrada de Dados'!$A$6:$A$196,0))</f>
        <v/>
      </c>
      <c r="G202" s="243">
        <f>INDEX('Entrada de Dados'!D$6:D$196,MATCH($C202,'Entrada de Dados'!$A$6:$A$196,0))</f>
        <v/>
      </c>
      <c r="H202" s="243">
        <f>INDEX('Entrada de Dados'!E$6:E$196,MATCH($C202,'Entrada de Dados'!$A$6:$A$196,0))</f>
        <v/>
      </c>
      <c r="I202" s="243">
        <f>INDEX('Entrada de Dados'!F$6:F$196,MATCH($C202,'Entrada de Dados'!$A$6:$A$196,0))</f>
        <v/>
      </c>
      <c r="J202" s="243">
        <f>INDEX('Entrada de Dados'!G$6:G$196,MATCH($C202,'Entrada de Dados'!$A$6:$A$196,0))</f>
        <v/>
      </c>
      <c r="K202" s="243">
        <f>INDEX('Entrada de Dados'!H$6:H$196,MATCH($C202,'Entrada de Dados'!$A$6:$A$196,0))</f>
        <v/>
      </c>
      <c r="L202" s="243">
        <f>INDEX('Entrada de Dados'!I$6:I$196,MATCH($C202,'Entrada de Dados'!$A$6:$A$196,0))</f>
        <v/>
      </c>
      <c r="M202" s="243">
        <f>INDEX('Entrada de Dados'!J$6:J$196,MATCH($C202,'Entrada de Dados'!$A$6:$A$196,0))</f>
        <v/>
      </c>
      <c r="N202" s="243">
        <f>INDEX('Entrada de Dados'!K$6:K$196,MATCH($C202,'Entrada de Dados'!$A$6:$A$196,0))</f>
        <v/>
      </c>
      <c r="O202" s="243">
        <f>INDEX('Entrada de Dados'!L$6:L$196,MATCH($C202,'Entrada de Dados'!$A$6:$A$196,0))</f>
        <v/>
      </c>
      <c r="P202" s="243">
        <f>INDEX('Entrada de Dados'!M$6:M$196,MATCH($C202,'Entrada de Dados'!$A$6:$A$196,0))</f>
        <v/>
      </c>
      <c r="Q202" s="243">
        <f>INDEX('Entrada de Dados'!N$6:N$196,MATCH($C202,'Entrada de Dados'!$A$6:$A$196,0))</f>
        <v/>
      </c>
      <c r="R202" s="243">
        <f>INDEX('Entrada de Dados'!O$6:O$196,MATCH($C202,'Entrada de Dados'!$A$6:$A$196,0))</f>
        <v/>
      </c>
      <c r="S202" s="243">
        <f>INDEX('Entrada de Dados'!P$6:P$196,MATCH($C202,'Entrada de Dados'!$A$6:$A$196,0))</f>
        <v/>
      </c>
      <c r="T202" s="243">
        <f>INDEX('Entrada de Dados'!Q$6:Q$196,MATCH($C202,'Entrada de Dados'!$A$6:$A$196,0))</f>
        <v/>
      </c>
      <c r="U202" s="243">
        <f>INDEX('Entrada de Dados'!R$6:R$196,MATCH($C202,'Entrada de Dados'!$A$6:$A$196,0))</f>
        <v/>
      </c>
      <c r="V202" s="243">
        <f>INDEX('Entrada de Dados'!S$6:S$196,MATCH($C202,'Entrada de Dados'!$A$6:$A$196,0))</f>
        <v/>
      </c>
      <c r="W202" s="243">
        <f>INDEX('Entrada de Dados'!T$6:T$196,MATCH($C202,'Entrada de Dados'!$A$6:$A$196,0))</f>
        <v/>
      </c>
      <c r="X202" s="243">
        <f>INDEX('Entrada de Dados'!U$6:U$196,MATCH($C202,'Entrada de Dados'!$A$6:$A$196,0))</f>
        <v/>
      </c>
    </row>
    <row r="203" ht="22" customHeight="1" s="107">
      <c r="A203" s="248" t="inlineStr">
        <is>
          <t>Peso previsto:</t>
        </is>
      </c>
      <c r="C203" s="249">
        <f>SUM(F182:F202)+SUM(G182:G202)+SUM(H182:H202)+SUM(I182:I202)+SUM(J182:J202)+SUM(K182:K202)+SUM(L182:L202)+SUM(M182:M202)+SUM(N182:N202)+SUM(O182:O202)+SUM(P182:P202)+SUM(Q182:Q202)+SUM(R182:R202)+SUM(S182:S202)+SUM(T182:T202)+SUM(U182:U202)+SUM(W182:W202)+SUM(X182:X202)</f>
        <v/>
      </c>
      <c r="D203" s="248" t="inlineStr">
        <is>
          <t>Peso embarcado (kg):</t>
        </is>
      </c>
      <c r="F203" s="250" t="n"/>
      <c r="G203" s="248" t="inlineStr">
        <is>
          <t>Veículo:</t>
        </is>
      </c>
      <c r="I203" s="250" t="n"/>
      <c r="J203" s="251" t="n"/>
      <c r="K203" s="248" t="inlineStr">
        <is>
          <t>Motorista:</t>
        </is>
      </c>
      <c r="M203" s="250" t="n"/>
      <c r="N203" s="252" t="n"/>
      <c r="O203" s="252" t="n"/>
      <c r="P203" s="252" t="n"/>
      <c r="Q203" s="252" t="n"/>
      <c r="R203" s="252" t="n"/>
      <c r="S203" s="252" t="n"/>
      <c r="T203" s="252" t="n"/>
      <c r="U203" s="252" t="n"/>
      <c r="V203" s="252" t="n"/>
      <c r="W203" s="252" t="n"/>
      <c r="X203" s="251" t="n"/>
    </row>
    <row r="205" ht="20" customHeight="1" s="107">
      <c r="A205" s="236" t="inlineStr">
        <is>
          <t>ROTA T4 — VALPARAÍSO - QUITANDINHA - DUQUES · CAMINHÃO LEVE / KOMBI · 12 escolas · 11 paradas físicas</t>
        </is>
      </c>
    </row>
    <row r="206" ht="26" customHeight="1" s="107">
      <c r="A206" s="238" t="inlineStr">
        <is>
          <t>Sequência-base: Galpão Itaipava &gt; Valparaíso &gt; Quitandinha &gt; Duques &gt; Galpão   Atenção: Eixo urbano misto. Definir veículo final pelo peso e pelo espaço de descarga de cada escola.</t>
        </is>
      </c>
    </row>
    <row r="207" ht="30" customHeight="1" s="107">
      <c r="A207" s="240" t="inlineStr">
        <is>
          <t>PAR.</t>
        </is>
      </c>
      <c r="B207" s="240" t="inlineStr">
        <is>
          <t>SUB</t>
        </is>
      </c>
      <c r="C207" s="240" t="inlineStr">
        <is>
          <t>CÓDIGO</t>
        </is>
      </c>
      <c r="D207" s="240" t="inlineStr">
        <is>
          <t>ESCOLA</t>
        </is>
      </c>
      <c r="E207" s="240" t="inlineStr">
        <is>
          <t>BAIRRO/CORREDOR</t>
        </is>
      </c>
      <c r="F207" s="240" t="inlineStr">
        <is>
          <t>Abacate</t>
        </is>
      </c>
      <c r="G207" s="240" t="inlineStr">
        <is>
          <t>Abobrinha</t>
        </is>
      </c>
      <c r="H207" s="240" t="inlineStr">
        <is>
          <t>Agrião</t>
        </is>
      </c>
      <c r="I207" s="240" t="inlineStr">
        <is>
          <t>Alface lisa</t>
        </is>
      </c>
      <c r="J207" s="240" t="inlineStr">
        <is>
          <t>Banana prata</t>
        </is>
      </c>
      <c r="K207" s="240" t="inlineStr">
        <is>
          <t>Batata inglesa</t>
        </is>
      </c>
      <c r="L207" s="240" t="inlineStr">
        <is>
          <t>Beterraba</t>
        </is>
      </c>
      <c r="M207" s="240" t="inlineStr">
        <is>
          <t>Brócolis</t>
        </is>
      </c>
      <c r="N207" s="240" t="inlineStr">
        <is>
          <t>Cenoura</t>
        </is>
      </c>
      <c r="O207" s="240" t="inlineStr">
        <is>
          <t>Cheiro verde</t>
        </is>
      </c>
      <c r="P207" s="240" t="inlineStr">
        <is>
          <t>Chuchu</t>
        </is>
      </c>
      <c r="Q207" s="240" t="inlineStr">
        <is>
          <t>Couve manteiga</t>
        </is>
      </c>
      <c r="R207" s="240" t="inlineStr">
        <is>
          <t>Couve-flor</t>
        </is>
      </c>
      <c r="S207" s="240" t="inlineStr">
        <is>
          <t>Espinafre</t>
        </is>
      </c>
      <c r="T207" s="240" t="inlineStr">
        <is>
          <t>Maçã gala</t>
        </is>
      </c>
      <c r="U207" s="240" t="inlineStr">
        <is>
          <t>Mel</t>
        </is>
      </c>
      <c r="V207" s="240" t="inlineStr">
        <is>
          <t>Ovos (dz)</t>
        </is>
      </c>
      <c r="W207" s="240" t="inlineStr">
        <is>
          <t>Repolho</t>
        </is>
      </c>
      <c r="X207" s="240" t="inlineStr">
        <is>
          <t>Tangerina ponkan</t>
        </is>
      </c>
    </row>
    <row r="208">
      <c r="A208" s="241" t="n">
        <v>1</v>
      </c>
      <c r="B208" s="241" t="inlineStr"/>
      <c r="C208" s="241" t="inlineStr">
        <is>
          <t>1117</t>
        </is>
      </c>
      <c r="D208" s="242">
        <f>HYPERLINK("#'COLÉGIO GUNNAR VINGREN DE PETRÓ'!A1","COLÉGIO GUNNAR VINGREN DE PETRÓPOLIS")</f>
        <v/>
      </c>
      <c r="E208" s="242" t="inlineStr">
        <is>
          <t>VALPARAÍSO</t>
        </is>
      </c>
      <c r="F208" s="243">
        <f>INDEX('Entrada de Dados'!C$6:C$196,MATCH($C208,'Entrada de Dados'!$A$6:$A$196,0))</f>
        <v/>
      </c>
      <c r="G208" s="243">
        <f>INDEX('Entrada de Dados'!D$6:D$196,MATCH($C208,'Entrada de Dados'!$A$6:$A$196,0))</f>
        <v/>
      </c>
      <c r="H208" s="243">
        <f>INDEX('Entrada de Dados'!E$6:E$196,MATCH($C208,'Entrada de Dados'!$A$6:$A$196,0))</f>
        <v/>
      </c>
      <c r="I208" s="243">
        <f>INDEX('Entrada de Dados'!F$6:F$196,MATCH($C208,'Entrada de Dados'!$A$6:$A$196,0))</f>
        <v/>
      </c>
      <c r="J208" s="243">
        <f>INDEX('Entrada de Dados'!G$6:G$196,MATCH($C208,'Entrada de Dados'!$A$6:$A$196,0))</f>
        <v/>
      </c>
      <c r="K208" s="243">
        <f>INDEX('Entrada de Dados'!H$6:H$196,MATCH($C208,'Entrada de Dados'!$A$6:$A$196,0))</f>
        <v/>
      </c>
      <c r="L208" s="243">
        <f>INDEX('Entrada de Dados'!I$6:I$196,MATCH($C208,'Entrada de Dados'!$A$6:$A$196,0))</f>
        <v/>
      </c>
      <c r="M208" s="243">
        <f>INDEX('Entrada de Dados'!J$6:J$196,MATCH($C208,'Entrada de Dados'!$A$6:$A$196,0))</f>
        <v/>
      </c>
      <c r="N208" s="243">
        <f>INDEX('Entrada de Dados'!K$6:K$196,MATCH($C208,'Entrada de Dados'!$A$6:$A$196,0))</f>
        <v/>
      </c>
      <c r="O208" s="243">
        <f>INDEX('Entrada de Dados'!L$6:L$196,MATCH($C208,'Entrada de Dados'!$A$6:$A$196,0))</f>
        <v/>
      </c>
      <c r="P208" s="243">
        <f>INDEX('Entrada de Dados'!M$6:M$196,MATCH($C208,'Entrada de Dados'!$A$6:$A$196,0))</f>
        <v/>
      </c>
      <c r="Q208" s="243">
        <f>INDEX('Entrada de Dados'!N$6:N$196,MATCH($C208,'Entrada de Dados'!$A$6:$A$196,0))</f>
        <v/>
      </c>
      <c r="R208" s="243">
        <f>INDEX('Entrada de Dados'!O$6:O$196,MATCH($C208,'Entrada de Dados'!$A$6:$A$196,0))</f>
        <v/>
      </c>
      <c r="S208" s="243">
        <f>INDEX('Entrada de Dados'!P$6:P$196,MATCH($C208,'Entrada de Dados'!$A$6:$A$196,0))</f>
        <v/>
      </c>
      <c r="T208" s="243">
        <f>INDEX('Entrada de Dados'!Q$6:Q$196,MATCH($C208,'Entrada de Dados'!$A$6:$A$196,0))</f>
        <v/>
      </c>
      <c r="U208" s="243">
        <f>INDEX('Entrada de Dados'!R$6:R$196,MATCH($C208,'Entrada de Dados'!$A$6:$A$196,0))</f>
        <v/>
      </c>
      <c r="V208" s="243">
        <f>INDEX('Entrada de Dados'!S$6:S$196,MATCH($C208,'Entrada de Dados'!$A$6:$A$196,0))</f>
        <v/>
      </c>
      <c r="W208" s="243">
        <f>INDEX('Entrada de Dados'!T$6:T$196,MATCH($C208,'Entrada de Dados'!$A$6:$A$196,0))</f>
        <v/>
      </c>
      <c r="X208" s="243">
        <f>INDEX('Entrada de Dados'!U$6:U$196,MATCH($C208,'Entrada de Dados'!$A$6:$A$196,0))</f>
        <v/>
      </c>
    </row>
    <row r="209">
      <c r="A209" s="241" t="n">
        <v>2</v>
      </c>
      <c r="B209" s="241" t="inlineStr"/>
      <c r="C209" s="241" t="inlineStr">
        <is>
          <t>3041</t>
        </is>
      </c>
      <c r="D209" s="242">
        <f>HYPERLINK("#'CEI LIONS CLUBE DE PETRÓPOLIS'!A1","CEI LIONS CLUBE DE PETRÓPOLIS")</f>
        <v/>
      </c>
      <c r="E209" s="242" t="inlineStr">
        <is>
          <t>VALPARAÍSO</t>
        </is>
      </c>
      <c r="F209" s="243">
        <f>INDEX('Entrada de Dados'!C$6:C$196,MATCH($C209,'Entrada de Dados'!$A$6:$A$196,0))</f>
        <v/>
      </c>
      <c r="G209" s="243">
        <f>INDEX('Entrada de Dados'!D$6:D$196,MATCH($C209,'Entrada de Dados'!$A$6:$A$196,0))</f>
        <v/>
      </c>
      <c r="H209" s="243">
        <f>INDEX('Entrada de Dados'!E$6:E$196,MATCH($C209,'Entrada de Dados'!$A$6:$A$196,0))</f>
        <v/>
      </c>
      <c r="I209" s="243">
        <f>INDEX('Entrada de Dados'!F$6:F$196,MATCH($C209,'Entrada de Dados'!$A$6:$A$196,0))</f>
        <v/>
      </c>
      <c r="J209" s="243">
        <f>INDEX('Entrada de Dados'!G$6:G$196,MATCH($C209,'Entrada de Dados'!$A$6:$A$196,0))</f>
        <v/>
      </c>
      <c r="K209" s="243">
        <f>INDEX('Entrada de Dados'!H$6:H$196,MATCH($C209,'Entrada de Dados'!$A$6:$A$196,0))</f>
        <v/>
      </c>
      <c r="L209" s="243">
        <f>INDEX('Entrada de Dados'!I$6:I$196,MATCH($C209,'Entrada de Dados'!$A$6:$A$196,0))</f>
        <v/>
      </c>
      <c r="M209" s="243">
        <f>INDEX('Entrada de Dados'!J$6:J$196,MATCH($C209,'Entrada de Dados'!$A$6:$A$196,0))</f>
        <v/>
      </c>
      <c r="N209" s="243">
        <f>INDEX('Entrada de Dados'!K$6:K$196,MATCH($C209,'Entrada de Dados'!$A$6:$A$196,0))</f>
        <v/>
      </c>
      <c r="O209" s="243">
        <f>INDEX('Entrada de Dados'!L$6:L$196,MATCH($C209,'Entrada de Dados'!$A$6:$A$196,0))</f>
        <v/>
      </c>
      <c r="P209" s="243">
        <f>INDEX('Entrada de Dados'!M$6:M$196,MATCH($C209,'Entrada de Dados'!$A$6:$A$196,0))</f>
        <v/>
      </c>
      <c r="Q209" s="243">
        <f>INDEX('Entrada de Dados'!N$6:N$196,MATCH($C209,'Entrada de Dados'!$A$6:$A$196,0))</f>
        <v/>
      </c>
      <c r="R209" s="243">
        <f>INDEX('Entrada de Dados'!O$6:O$196,MATCH($C209,'Entrada de Dados'!$A$6:$A$196,0))</f>
        <v/>
      </c>
      <c r="S209" s="243">
        <f>INDEX('Entrada de Dados'!P$6:P$196,MATCH($C209,'Entrada de Dados'!$A$6:$A$196,0))</f>
        <v/>
      </c>
      <c r="T209" s="243">
        <f>INDEX('Entrada de Dados'!Q$6:Q$196,MATCH($C209,'Entrada de Dados'!$A$6:$A$196,0))</f>
        <v/>
      </c>
      <c r="U209" s="243">
        <f>INDEX('Entrada de Dados'!R$6:R$196,MATCH($C209,'Entrada de Dados'!$A$6:$A$196,0))</f>
        <v/>
      </c>
      <c r="V209" s="243">
        <f>INDEX('Entrada de Dados'!S$6:S$196,MATCH($C209,'Entrada de Dados'!$A$6:$A$196,0))</f>
        <v/>
      </c>
      <c r="W209" s="243">
        <f>INDEX('Entrada de Dados'!T$6:T$196,MATCH($C209,'Entrada de Dados'!$A$6:$A$196,0))</f>
        <v/>
      </c>
      <c r="X209" s="243">
        <f>INDEX('Entrada de Dados'!U$6:U$196,MATCH($C209,'Entrada de Dados'!$A$6:$A$196,0))</f>
        <v/>
      </c>
    </row>
    <row r="210">
      <c r="A210" s="241" t="n">
        <v>3</v>
      </c>
      <c r="B210" s="241" t="inlineStr"/>
      <c r="C210" s="241" t="inlineStr">
        <is>
          <t>3030</t>
        </is>
      </c>
      <c r="D210" s="242">
        <f>HYPERLINK("#'CEI MARLI SOARES FERREIRA NETTO'!A1","CEI MARLI SOARES FERREIRA NETTO")</f>
        <v/>
      </c>
      <c r="E210" s="242" t="inlineStr">
        <is>
          <t>QUITANDINHA</t>
        </is>
      </c>
      <c r="F210" s="243">
        <f>INDEX('Entrada de Dados'!C$6:C$196,MATCH($C210,'Entrada de Dados'!$A$6:$A$196,0))</f>
        <v/>
      </c>
      <c r="G210" s="243">
        <f>INDEX('Entrada de Dados'!D$6:D$196,MATCH($C210,'Entrada de Dados'!$A$6:$A$196,0))</f>
        <v/>
      </c>
      <c r="H210" s="243">
        <f>INDEX('Entrada de Dados'!E$6:E$196,MATCH($C210,'Entrada de Dados'!$A$6:$A$196,0))</f>
        <v/>
      </c>
      <c r="I210" s="243">
        <f>INDEX('Entrada de Dados'!F$6:F$196,MATCH($C210,'Entrada de Dados'!$A$6:$A$196,0))</f>
        <v/>
      </c>
      <c r="J210" s="243">
        <f>INDEX('Entrada de Dados'!G$6:G$196,MATCH($C210,'Entrada de Dados'!$A$6:$A$196,0))</f>
        <v/>
      </c>
      <c r="K210" s="243">
        <f>INDEX('Entrada de Dados'!H$6:H$196,MATCH($C210,'Entrada de Dados'!$A$6:$A$196,0))</f>
        <v/>
      </c>
      <c r="L210" s="243">
        <f>INDEX('Entrada de Dados'!I$6:I$196,MATCH($C210,'Entrada de Dados'!$A$6:$A$196,0))</f>
        <v/>
      </c>
      <c r="M210" s="243">
        <f>INDEX('Entrada de Dados'!J$6:J$196,MATCH($C210,'Entrada de Dados'!$A$6:$A$196,0))</f>
        <v/>
      </c>
      <c r="N210" s="243">
        <f>INDEX('Entrada de Dados'!K$6:K$196,MATCH($C210,'Entrada de Dados'!$A$6:$A$196,0))</f>
        <v/>
      </c>
      <c r="O210" s="243">
        <f>INDEX('Entrada de Dados'!L$6:L$196,MATCH($C210,'Entrada de Dados'!$A$6:$A$196,0))</f>
        <v/>
      </c>
      <c r="P210" s="243">
        <f>INDEX('Entrada de Dados'!M$6:M$196,MATCH($C210,'Entrada de Dados'!$A$6:$A$196,0))</f>
        <v/>
      </c>
      <c r="Q210" s="243">
        <f>INDEX('Entrada de Dados'!N$6:N$196,MATCH($C210,'Entrada de Dados'!$A$6:$A$196,0))</f>
        <v/>
      </c>
      <c r="R210" s="243">
        <f>INDEX('Entrada de Dados'!O$6:O$196,MATCH($C210,'Entrada de Dados'!$A$6:$A$196,0))</f>
        <v/>
      </c>
      <c r="S210" s="243">
        <f>INDEX('Entrada de Dados'!P$6:P$196,MATCH($C210,'Entrada de Dados'!$A$6:$A$196,0))</f>
        <v/>
      </c>
      <c r="T210" s="243">
        <f>INDEX('Entrada de Dados'!Q$6:Q$196,MATCH($C210,'Entrada de Dados'!$A$6:$A$196,0))</f>
        <v/>
      </c>
      <c r="U210" s="243">
        <f>INDEX('Entrada de Dados'!R$6:R$196,MATCH($C210,'Entrada de Dados'!$A$6:$A$196,0))</f>
        <v/>
      </c>
      <c r="V210" s="243">
        <f>INDEX('Entrada de Dados'!S$6:S$196,MATCH($C210,'Entrada de Dados'!$A$6:$A$196,0))</f>
        <v/>
      </c>
      <c r="W210" s="243">
        <f>INDEX('Entrada de Dados'!T$6:T$196,MATCH($C210,'Entrada de Dados'!$A$6:$A$196,0))</f>
        <v/>
      </c>
      <c r="X210" s="243">
        <f>INDEX('Entrada de Dados'!U$6:U$196,MATCH($C210,'Entrada de Dados'!$A$6:$A$196,0))</f>
        <v/>
      </c>
    </row>
    <row r="211">
      <c r="A211" s="241" t="n">
        <v>4</v>
      </c>
      <c r="B211" s="241" t="inlineStr"/>
      <c r="C211" s="241" t="inlineStr">
        <is>
          <t>1098</t>
        </is>
      </c>
      <c r="D211" s="242">
        <f>HYPERLINK("#'E M PROFª JANDIRA PEIXOTO BORDI'!A1","E M PROFª JANDIRA PEIXOTO BORDIGNON")</f>
        <v/>
      </c>
      <c r="E211" s="242" t="inlineStr">
        <is>
          <t>QUITANDINHA</t>
        </is>
      </c>
      <c r="F211" s="243">
        <f>INDEX('Entrada de Dados'!C$6:C$196,MATCH($C211,'Entrada de Dados'!$A$6:$A$196,0))</f>
        <v/>
      </c>
      <c r="G211" s="243">
        <f>INDEX('Entrada de Dados'!D$6:D$196,MATCH($C211,'Entrada de Dados'!$A$6:$A$196,0))</f>
        <v/>
      </c>
      <c r="H211" s="243">
        <f>INDEX('Entrada de Dados'!E$6:E$196,MATCH($C211,'Entrada de Dados'!$A$6:$A$196,0))</f>
        <v/>
      </c>
      <c r="I211" s="243">
        <f>INDEX('Entrada de Dados'!F$6:F$196,MATCH($C211,'Entrada de Dados'!$A$6:$A$196,0))</f>
        <v/>
      </c>
      <c r="J211" s="243">
        <f>INDEX('Entrada de Dados'!G$6:G$196,MATCH($C211,'Entrada de Dados'!$A$6:$A$196,0))</f>
        <v/>
      </c>
      <c r="K211" s="243">
        <f>INDEX('Entrada de Dados'!H$6:H$196,MATCH($C211,'Entrada de Dados'!$A$6:$A$196,0))</f>
        <v/>
      </c>
      <c r="L211" s="243">
        <f>INDEX('Entrada de Dados'!I$6:I$196,MATCH($C211,'Entrada de Dados'!$A$6:$A$196,0))</f>
        <v/>
      </c>
      <c r="M211" s="243">
        <f>INDEX('Entrada de Dados'!J$6:J$196,MATCH($C211,'Entrada de Dados'!$A$6:$A$196,0))</f>
        <v/>
      </c>
      <c r="N211" s="243">
        <f>INDEX('Entrada de Dados'!K$6:K$196,MATCH($C211,'Entrada de Dados'!$A$6:$A$196,0))</f>
        <v/>
      </c>
      <c r="O211" s="243">
        <f>INDEX('Entrada de Dados'!L$6:L$196,MATCH($C211,'Entrada de Dados'!$A$6:$A$196,0))</f>
        <v/>
      </c>
      <c r="P211" s="243">
        <f>INDEX('Entrada de Dados'!M$6:M$196,MATCH($C211,'Entrada de Dados'!$A$6:$A$196,0))</f>
        <v/>
      </c>
      <c r="Q211" s="243">
        <f>INDEX('Entrada de Dados'!N$6:N$196,MATCH($C211,'Entrada de Dados'!$A$6:$A$196,0))</f>
        <v/>
      </c>
      <c r="R211" s="243">
        <f>INDEX('Entrada de Dados'!O$6:O$196,MATCH($C211,'Entrada de Dados'!$A$6:$A$196,0))</f>
        <v/>
      </c>
      <c r="S211" s="243">
        <f>INDEX('Entrada de Dados'!P$6:P$196,MATCH($C211,'Entrada de Dados'!$A$6:$A$196,0))</f>
        <v/>
      </c>
      <c r="T211" s="243">
        <f>INDEX('Entrada de Dados'!Q$6:Q$196,MATCH($C211,'Entrada de Dados'!$A$6:$A$196,0))</f>
        <v/>
      </c>
      <c r="U211" s="243">
        <f>INDEX('Entrada de Dados'!R$6:R$196,MATCH($C211,'Entrada de Dados'!$A$6:$A$196,0))</f>
        <v/>
      </c>
      <c r="V211" s="243">
        <f>INDEX('Entrada de Dados'!S$6:S$196,MATCH($C211,'Entrada de Dados'!$A$6:$A$196,0))</f>
        <v/>
      </c>
      <c r="W211" s="243">
        <f>INDEX('Entrada de Dados'!T$6:T$196,MATCH($C211,'Entrada de Dados'!$A$6:$A$196,0))</f>
        <v/>
      </c>
      <c r="X211" s="243">
        <f>INDEX('Entrada de Dados'!U$6:U$196,MATCH($C211,'Entrada de Dados'!$A$6:$A$196,0))</f>
        <v/>
      </c>
    </row>
    <row r="212">
      <c r="A212" s="253" t="n">
        <v>5</v>
      </c>
      <c r="B212" s="253" t="inlineStr">
        <is>
          <t>A</t>
        </is>
      </c>
      <c r="C212" s="254" t="inlineStr">
        <is>
          <t>1017</t>
        </is>
      </c>
      <c r="D212" s="255">
        <f>HYPERLINK("#'E M GOVERNADOR MARCELLO ALENCAR'!A1","E M GOVERNADOR MARCELLO ALENCAR")</f>
        <v/>
      </c>
      <c r="E212" s="255" t="inlineStr">
        <is>
          <t>QUITANDINHA</t>
        </is>
      </c>
      <c r="F212" s="256">
        <f>INDEX('Entrada de Dados'!C$6:C$196,MATCH($C212,'Entrada de Dados'!$A$6:$A$196,0))</f>
        <v/>
      </c>
      <c r="G212" s="256">
        <f>INDEX('Entrada de Dados'!D$6:D$196,MATCH($C212,'Entrada de Dados'!$A$6:$A$196,0))</f>
        <v/>
      </c>
      <c r="H212" s="256">
        <f>INDEX('Entrada de Dados'!E$6:E$196,MATCH($C212,'Entrada de Dados'!$A$6:$A$196,0))</f>
        <v/>
      </c>
      <c r="I212" s="256">
        <f>INDEX('Entrada de Dados'!F$6:F$196,MATCH($C212,'Entrada de Dados'!$A$6:$A$196,0))</f>
        <v/>
      </c>
      <c r="J212" s="256">
        <f>INDEX('Entrada de Dados'!G$6:G$196,MATCH($C212,'Entrada de Dados'!$A$6:$A$196,0))</f>
        <v/>
      </c>
      <c r="K212" s="256">
        <f>INDEX('Entrada de Dados'!H$6:H$196,MATCH($C212,'Entrada de Dados'!$A$6:$A$196,0))</f>
        <v/>
      </c>
      <c r="L212" s="256">
        <f>INDEX('Entrada de Dados'!I$6:I$196,MATCH($C212,'Entrada de Dados'!$A$6:$A$196,0))</f>
        <v/>
      </c>
      <c r="M212" s="256">
        <f>INDEX('Entrada de Dados'!J$6:J$196,MATCH($C212,'Entrada de Dados'!$A$6:$A$196,0))</f>
        <v/>
      </c>
      <c r="N212" s="256">
        <f>INDEX('Entrada de Dados'!K$6:K$196,MATCH($C212,'Entrada de Dados'!$A$6:$A$196,0))</f>
        <v/>
      </c>
      <c r="O212" s="256">
        <f>INDEX('Entrada de Dados'!L$6:L$196,MATCH($C212,'Entrada de Dados'!$A$6:$A$196,0))</f>
        <v/>
      </c>
      <c r="P212" s="256">
        <f>INDEX('Entrada de Dados'!M$6:M$196,MATCH($C212,'Entrada de Dados'!$A$6:$A$196,0))</f>
        <v/>
      </c>
      <c r="Q212" s="256">
        <f>INDEX('Entrada de Dados'!N$6:N$196,MATCH($C212,'Entrada de Dados'!$A$6:$A$196,0))</f>
        <v/>
      </c>
      <c r="R212" s="256">
        <f>INDEX('Entrada de Dados'!O$6:O$196,MATCH($C212,'Entrada de Dados'!$A$6:$A$196,0))</f>
        <v/>
      </c>
      <c r="S212" s="256">
        <f>INDEX('Entrada de Dados'!P$6:P$196,MATCH($C212,'Entrada de Dados'!$A$6:$A$196,0))</f>
        <v/>
      </c>
      <c r="T212" s="256">
        <f>INDEX('Entrada de Dados'!Q$6:Q$196,MATCH($C212,'Entrada de Dados'!$A$6:$A$196,0))</f>
        <v/>
      </c>
      <c r="U212" s="256">
        <f>INDEX('Entrada de Dados'!R$6:R$196,MATCH($C212,'Entrada de Dados'!$A$6:$A$196,0))</f>
        <v/>
      </c>
      <c r="V212" s="256">
        <f>INDEX('Entrada de Dados'!S$6:S$196,MATCH($C212,'Entrada de Dados'!$A$6:$A$196,0))</f>
        <v/>
      </c>
      <c r="W212" s="256">
        <f>INDEX('Entrada de Dados'!T$6:T$196,MATCH($C212,'Entrada de Dados'!$A$6:$A$196,0))</f>
        <v/>
      </c>
      <c r="X212" s="256">
        <f>INDEX('Entrada de Dados'!U$6:U$196,MATCH($C212,'Entrada de Dados'!$A$6:$A$196,0))</f>
        <v/>
      </c>
    </row>
    <row r="213">
      <c r="A213" s="253" t="n">
        <v>5</v>
      </c>
      <c r="B213" s="253" t="inlineStr">
        <is>
          <t>B</t>
        </is>
      </c>
      <c r="C213" s="254" t="inlineStr">
        <is>
          <t>1093</t>
        </is>
      </c>
      <c r="D213" s="255">
        <f>HYPERLINK("#'E M PROFESSOR FLÁVIO MACIEL'!A1","E M PROFESSOR FLÁVIO MACIEL")</f>
        <v/>
      </c>
      <c r="E213" s="255" t="inlineStr">
        <is>
          <t>QUITANDINHA</t>
        </is>
      </c>
      <c r="F213" s="256">
        <f>INDEX('Entrada de Dados'!C$6:C$196,MATCH($C213,'Entrada de Dados'!$A$6:$A$196,0))</f>
        <v/>
      </c>
      <c r="G213" s="256">
        <f>INDEX('Entrada de Dados'!D$6:D$196,MATCH($C213,'Entrada de Dados'!$A$6:$A$196,0))</f>
        <v/>
      </c>
      <c r="H213" s="256">
        <f>INDEX('Entrada de Dados'!E$6:E$196,MATCH($C213,'Entrada de Dados'!$A$6:$A$196,0))</f>
        <v/>
      </c>
      <c r="I213" s="256">
        <f>INDEX('Entrada de Dados'!F$6:F$196,MATCH($C213,'Entrada de Dados'!$A$6:$A$196,0))</f>
        <v/>
      </c>
      <c r="J213" s="256">
        <f>INDEX('Entrada de Dados'!G$6:G$196,MATCH($C213,'Entrada de Dados'!$A$6:$A$196,0))</f>
        <v/>
      </c>
      <c r="K213" s="256">
        <f>INDEX('Entrada de Dados'!H$6:H$196,MATCH($C213,'Entrada de Dados'!$A$6:$A$196,0))</f>
        <v/>
      </c>
      <c r="L213" s="256">
        <f>INDEX('Entrada de Dados'!I$6:I$196,MATCH($C213,'Entrada de Dados'!$A$6:$A$196,0))</f>
        <v/>
      </c>
      <c r="M213" s="256">
        <f>INDEX('Entrada de Dados'!J$6:J$196,MATCH($C213,'Entrada de Dados'!$A$6:$A$196,0))</f>
        <v/>
      </c>
      <c r="N213" s="256">
        <f>INDEX('Entrada de Dados'!K$6:K$196,MATCH($C213,'Entrada de Dados'!$A$6:$A$196,0))</f>
        <v/>
      </c>
      <c r="O213" s="256">
        <f>INDEX('Entrada de Dados'!L$6:L$196,MATCH($C213,'Entrada de Dados'!$A$6:$A$196,0))</f>
        <v/>
      </c>
      <c r="P213" s="256">
        <f>INDEX('Entrada de Dados'!M$6:M$196,MATCH($C213,'Entrada de Dados'!$A$6:$A$196,0))</f>
        <v/>
      </c>
      <c r="Q213" s="256">
        <f>INDEX('Entrada de Dados'!N$6:N$196,MATCH($C213,'Entrada de Dados'!$A$6:$A$196,0))</f>
        <v/>
      </c>
      <c r="R213" s="256">
        <f>INDEX('Entrada de Dados'!O$6:O$196,MATCH($C213,'Entrada de Dados'!$A$6:$A$196,0))</f>
        <v/>
      </c>
      <c r="S213" s="256">
        <f>INDEX('Entrada de Dados'!P$6:P$196,MATCH($C213,'Entrada de Dados'!$A$6:$A$196,0))</f>
        <v/>
      </c>
      <c r="T213" s="256">
        <f>INDEX('Entrada de Dados'!Q$6:Q$196,MATCH($C213,'Entrada de Dados'!$A$6:$A$196,0))</f>
        <v/>
      </c>
      <c r="U213" s="256">
        <f>INDEX('Entrada de Dados'!R$6:R$196,MATCH($C213,'Entrada de Dados'!$A$6:$A$196,0))</f>
        <v/>
      </c>
      <c r="V213" s="256">
        <f>INDEX('Entrada de Dados'!S$6:S$196,MATCH($C213,'Entrada de Dados'!$A$6:$A$196,0))</f>
        <v/>
      </c>
      <c r="W213" s="256">
        <f>INDEX('Entrada de Dados'!T$6:T$196,MATCH($C213,'Entrada de Dados'!$A$6:$A$196,0))</f>
        <v/>
      </c>
      <c r="X213" s="256">
        <f>INDEX('Entrada de Dados'!U$6:U$196,MATCH($C213,'Entrada de Dados'!$A$6:$A$196,0))</f>
        <v/>
      </c>
    </row>
    <row r="214">
      <c r="A214" s="241" t="n">
        <v>6</v>
      </c>
      <c r="B214" s="241" t="inlineStr"/>
      <c r="C214" s="241" t="inlineStr">
        <is>
          <t>3035</t>
        </is>
      </c>
      <c r="D214" s="242">
        <f>HYPERLINK("#'CENTRO DE EDUCAÇÃO INFANTIL CHI'!A1","CENTRO DE EDUCAÇÃO INFANTIL CHIQUINHA ROLLA")</f>
        <v/>
      </c>
      <c r="E214" s="242" t="inlineStr">
        <is>
          <t>QUITANDINHA</t>
        </is>
      </c>
      <c r="F214" s="243">
        <f>INDEX('Entrada de Dados'!C$6:C$196,MATCH($C214,'Entrada de Dados'!$A$6:$A$196,0))</f>
        <v/>
      </c>
      <c r="G214" s="243">
        <f>INDEX('Entrada de Dados'!D$6:D$196,MATCH($C214,'Entrada de Dados'!$A$6:$A$196,0))</f>
        <v/>
      </c>
      <c r="H214" s="243">
        <f>INDEX('Entrada de Dados'!E$6:E$196,MATCH($C214,'Entrada de Dados'!$A$6:$A$196,0))</f>
        <v/>
      </c>
      <c r="I214" s="243">
        <f>INDEX('Entrada de Dados'!F$6:F$196,MATCH($C214,'Entrada de Dados'!$A$6:$A$196,0))</f>
        <v/>
      </c>
      <c r="J214" s="243">
        <f>INDEX('Entrada de Dados'!G$6:G$196,MATCH($C214,'Entrada de Dados'!$A$6:$A$196,0))</f>
        <v/>
      </c>
      <c r="K214" s="243">
        <f>INDEX('Entrada de Dados'!H$6:H$196,MATCH($C214,'Entrada de Dados'!$A$6:$A$196,0))</f>
        <v/>
      </c>
      <c r="L214" s="243">
        <f>INDEX('Entrada de Dados'!I$6:I$196,MATCH($C214,'Entrada de Dados'!$A$6:$A$196,0))</f>
        <v/>
      </c>
      <c r="M214" s="243">
        <f>INDEX('Entrada de Dados'!J$6:J$196,MATCH($C214,'Entrada de Dados'!$A$6:$A$196,0))</f>
        <v/>
      </c>
      <c r="N214" s="243">
        <f>INDEX('Entrada de Dados'!K$6:K$196,MATCH($C214,'Entrada de Dados'!$A$6:$A$196,0))</f>
        <v/>
      </c>
      <c r="O214" s="243">
        <f>INDEX('Entrada de Dados'!L$6:L$196,MATCH($C214,'Entrada de Dados'!$A$6:$A$196,0))</f>
        <v/>
      </c>
      <c r="P214" s="243">
        <f>INDEX('Entrada de Dados'!M$6:M$196,MATCH($C214,'Entrada de Dados'!$A$6:$A$196,0))</f>
        <v/>
      </c>
      <c r="Q214" s="243">
        <f>INDEX('Entrada de Dados'!N$6:N$196,MATCH($C214,'Entrada de Dados'!$A$6:$A$196,0))</f>
        <v/>
      </c>
      <c r="R214" s="243">
        <f>INDEX('Entrada de Dados'!O$6:O$196,MATCH($C214,'Entrada de Dados'!$A$6:$A$196,0))</f>
        <v/>
      </c>
      <c r="S214" s="243">
        <f>INDEX('Entrada de Dados'!P$6:P$196,MATCH($C214,'Entrada de Dados'!$A$6:$A$196,0))</f>
        <v/>
      </c>
      <c r="T214" s="243">
        <f>INDEX('Entrada de Dados'!Q$6:Q$196,MATCH($C214,'Entrada de Dados'!$A$6:$A$196,0))</f>
        <v/>
      </c>
      <c r="U214" s="243">
        <f>INDEX('Entrada de Dados'!R$6:R$196,MATCH($C214,'Entrada de Dados'!$A$6:$A$196,0))</f>
        <v/>
      </c>
      <c r="V214" s="243">
        <f>INDEX('Entrada de Dados'!S$6:S$196,MATCH($C214,'Entrada de Dados'!$A$6:$A$196,0))</f>
        <v/>
      </c>
      <c r="W214" s="243">
        <f>INDEX('Entrada de Dados'!T$6:T$196,MATCH($C214,'Entrada de Dados'!$A$6:$A$196,0))</f>
        <v/>
      </c>
      <c r="X214" s="243">
        <f>INDEX('Entrada de Dados'!U$6:U$196,MATCH($C214,'Entrada de Dados'!$A$6:$A$196,0))</f>
        <v/>
      </c>
    </row>
    <row r="215">
      <c r="A215" s="241" t="n">
        <v>7</v>
      </c>
      <c r="B215" s="241" t="inlineStr"/>
      <c r="C215" s="241" t="inlineStr">
        <is>
          <t>2015</t>
        </is>
      </c>
      <c r="D215" s="242">
        <f>HYPERLINK("#'ESCOLA PAROQUIAL BOM JESUS'!A1","ESCOLA PAROQUIAL BOM JESUS")</f>
        <v/>
      </c>
      <c r="E215" s="242" t="inlineStr">
        <is>
          <t>QUITANDINHA</t>
        </is>
      </c>
      <c r="F215" s="243">
        <f>INDEX('Entrada de Dados'!C$6:C$196,MATCH($C215,'Entrada de Dados'!$A$6:$A$196,0))</f>
        <v/>
      </c>
      <c r="G215" s="243">
        <f>INDEX('Entrada de Dados'!D$6:D$196,MATCH($C215,'Entrada de Dados'!$A$6:$A$196,0))</f>
        <v/>
      </c>
      <c r="H215" s="243">
        <f>INDEX('Entrada de Dados'!E$6:E$196,MATCH($C215,'Entrada de Dados'!$A$6:$A$196,0))</f>
        <v/>
      </c>
      <c r="I215" s="243">
        <f>INDEX('Entrada de Dados'!F$6:F$196,MATCH($C215,'Entrada de Dados'!$A$6:$A$196,0))</f>
        <v/>
      </c>
      <c r="J215" s="243">
        <f>INDEX('Entrada de Dados'!G$6:G$196,MATCH($C215,'Entrada de Dados'!$A$6:$A$196,0))</f>
        <v/>
      </c>
      <c r="K215" s="243">
        <f>INDEX('Entrada de Dados'!H$6:H$196,MATCH($C215,'Entrada de Dados'!$A$6:$A$196,0))</f>
        <v/>
      </c>
      <c r="L215" s="243">
        <f>INDEX('Entrada de Dados'!I$6:I$196,MATCH($C215,'Entrada de Dados'!$A$6:$A$196,0))</f>
        <v/>
      </c>
      <c r="M215" s="243">
        <f>INDEX('Entrada de Dados'!J$6:J$196,MATCH($C215,'Entrada de Dados'!$A$6:$A$196,0))</f>
        <v/>
      </c>
      <c r="N215" s="243">
        <f>INDEX('Entrada de Dados'!K$6:K$196,MATCH($C215,'Entrada de Dados'!$A$6:$A$196,0))</f>
        <v/>
      </c>
      <c r="O215" s="243">
        <f>INDEX('Entrada de Dados'!L$6:L$196,MATCH($C215,'Entrada de Dados'!$A$6:$A$196,0))</f>
        <v/>
      </c>
      <c r="P215" s="243">
        <f>INDEX('Entrada de Dados'!M$6:M$196,MATCH($C215,'Entrada de Dados'!$A$6:$A$196,0))</f>
        <v/>
      </c>
      <c r="Q215" s="243">
        <f>INDEX('Entrada de Dados'!N$6:N$196,MATCH($C215,'Entrada de Dados'!$A$6:$A$196,0))</f>
        <v/>
      </c>
      <c r="R215" s="243">
        <f>INDEX('Entrada de Dados'!O$6:O$196,MATCH($C215,'Entrada de Dados'!$A$6:$A$196,0))</f>
        <v/>
      </c>
      <c r="S215" s="243">
        <f>INDEX('Entrada de Dados'!P$6:P$196,MATCH($C215,'Entrada de Dados'!$A$6:$A$196,0))</f>
        <v/>
      </c>
      <c r="T215" s="243">
        <f>INDEX('Entrada de Dados'!Q$6:Q$196,MATCH($C215,'Entrada de Dados'!$A$6:$A$196,0))</f>
        <v/>
      </c>
      <c r="U215" s="243">
        <f>INDEX('Entrada de Dados'!R$6:R$196,MATCH($C215,'Entrada de Dados'!$A$6:$A$196,0))</f>
        <v/>
      </c>
      <c r="V215" s="243">
        <f>INDEX('Entrada de Dados'!S$6:S$196,MATCH($C215,'Entrada de Dados'!$A$6:$A$196,0))</f>
        <v/>
      </c>
      <c r="W215" s="243">
        <f>INDEX('Entrada de Dados'!T$6:T$196,MATCH($C215,'Entrada de Dados'!$A$6:$A$196,0))</f>
        <v/>
      </c>
      <c r="X215" s="243">
        <f>INDEX('Entrada de Dados'!U$6:U$196,MATCH($C215,'Entrada de Dados'!$A$6:$A$196,0))</f>
        <v/>
      </c>
    </row>
    <row r="216">
      <c r="A216" s="241" t="n">
        <v>8</v>
      </c>
      <c r="B216" s="241" t="inlineStr"/>
      <c r="C216" s="241" t="inlineStr">
        <is>
          <t>1105</t>
        </is>
      </c>
      <c r="D216" s="242">
        <f>HYPERLINK("#'E M STEFAN ZWEIG'!A1","E M STEFAN ZWEIG")</f>
        <v/>
      </c>
      <c r="E216" s="242" t="inlineStr">
        <is>
          <t>QUITANDINHA</t>
        </is>
      </c>
      <c r="F216" s="243">
        <f>INDEX('Entrada de Dados'!C$6:C$196,MATCH($C216,'Entrada de Dados'!$A$6:$A$196,0))</f>
        <v/>
      </c>
      <c r="G216" s="243">
        <f>INDEX('Entrada de Dados'!D$6:D$196,MATCH($C216,'Entrada de Dados'!$A$6:$A$196,0))</f>
        <v/>
      </c>
      <c r="H216" s="243">
        <f>INDEX('Entrada de Dados'!E$6:E$196,MATCH($C216,'Entrada de Dados'!$A$6:$A$196,0))</f>
        <v/>
      </c>
      <c r="I216" s="243">
        <f>INDEX('Entrada de Dados'!F$6:F$196,MATCH($C216,'Entrada de Dados'!$A$6:$A$196,0))</f>
        <v/>
      </c>
      <c r="J216" s="243">
        <f>INDEX('Entrada de Dados'!G$6:G$196,MATCH($C216,'Entrada de Dados'!$A$6:$A$196,0))</f>
        <v/>
      </c>
      <c r="K216" s="243">
        <f>INDEX('Entrada de Dados'!H$6:H$196,MATCH($C216,'Entrada de Dados'!$A$6:$A$196,0))</f>
        <v/>
      </c>
      <c r="L216" s="243">
        <f>INDEX('Entrada de Dados'!I$6:I$196,MATCH($C216,'Entrada de Dados'!$A$6:$A$196,0))</f>
        <v/>
      </c>
      <c r="M216" s="243">
        <f>INDEX('Entrada de Dados'!J$6:J$196,MATCH($C216,'Entrada de Dados'!$A$6:$A$196,0))</f>
        <v/>
      </c>
      <c r="N216" s="243">
        <f>INDEX('Entrada de Dados'!K$6:K$196,MATCH($C216,'Entrada de Dados'!$A$6:$A$196,0))</f>
        <v/>
      </c>
      <c r="O216" s="243">
        <f>INDEX('Entrada de Dados'!L$6:L$196,MATCH($C216,'Entrada de Dados'!$A$6:$A$196,0))</f>
        <v/>
      </c>
      <c r="P216" s="243">
        <f>INDEX('Entrada de Dados'!M$6:M$196,MATCH($C216,'Entrada de Dados'!$A$6:$A$196,0))</f>
        <v/>
      </c>
      <c r="Q216" s="243">
        <f>INDEX('Entrada de Dados'!N$6:N$196,MATCH($C216,'Entrada de Dados'!$A$6:$A$196,0))</f>
        <v/>
      </c>
      <c r="R216" s="243">
        <f>INDEX('Entrada de Dados'!O$6:O$196,MATCH($C216,'Entrada de Dados'!$A$6:$A$196,0))</f>
        <v/>
      </c>
      <c r="S216" s="243">
        <f>INDEX('Entrada de Dados'!P$6:P$196,MATCH($C216,'Entrada de Dados'!$A$6:$A$196,0))</f>
        <v/>
      </c>
      <c r="T216" s="243">
        <f>INDEX('Entrada de Dados'!Q$6:Q$196,MATCH($C216,'Entrada de Dados'!$A$6:$A$196,0))</f>
        <v/>
      </c>
      <c r="U216" s="243">
        <f>INDEX('Entrada de Dados'!R$6:R$196,MATCH($C216,'Entrada de Dados'!$A$6:$A$196,0))</f>
        <v/>
      </c>
      <c r="V216" s="243">
        <f>INDEX('Entrada de Dados'!S$6:S$196,MATCH($C216,'Entrada de Dados'!$A$6:$A$196,0))</f>
        <v/>
      </c>
      <c r="W216" s="243">
        <f>INDEX('Entrada de Dados'!T$6:T$196,MATCH($C216,'Entrada de Dados'!$A$6:$A$196,0))</f>
        <v/>
      </c>
      <c r="X216" s="243">
        <f>INDEX('Entrada de Dados'!U$6:U$196,MATCH($C216,'Entrada de Dados'!$A$6:$A$196,0))</f>
        <v/>
      </c>
    </row>
    <row r="217">
      <c r="A217" s="241" t="n">
        <v>9</v>
      </c>
      <c r="B217" s="241" t="inlineStr"/>
      <c r="C217" s="241" t="inlineStr">
        <is>
          <t>3049</t>
        </is>
      </c>
      <c r="D217" s="242">
        <f>HYPERLINK("#'CEI VILA IPANEMA'!A1","CEI VILA IPANEMA")</f>
        <v/>
      </c>
      <c r="E217" s="242" t="inlineStr">
        <is>
          <t>QUITANDINHA</t>
        </is>
      </c>
      <c r="F217" s="243">
        <f>INDEX('Entrada de Dados'!C$6:C$196,MATCH($C217,'Entrada de Dados'!$A$6:$A$196,0))</f>
        <v/>
      </c>
      <c r="G217" s="243">
        <f>INDEX('Entrada de Dados'!D$6:D$196,MATCH($C217,'Entrada de Dados'!$A$6:$A$196,0))</f>
        <v/>
      </c>
      <c r="H217" s="243">
        <f>INDEX('Entrada de Dados'!E$6:E$196,MATCH($C217,'Entrada de Dados'!$A$6:$A$196,0))</f>
        <v/>
      </c>
      <c r="I217" s="243">
        <f>INDEX('Entrada de Dados'!F$6:F$196,MATCH($C217,'Entrada de Dados'!$A$6:$A$196,0))</f>
        <v/>
      </c>
      <c r="J217" s="243">
        <f>INDEX('Entrada de Dados'!G$6:G$196,MATCH($C217,'Entrada de Dados'!$A$6:$A$196,0))</f>
        <v/>
      </c>
      <c r="K217" s="243">
        <f>INDEX('Entrada de Dados'!H$6:H$196,MATCH($C217,'Entrada de Dados'!$A$6:$A$196,0))</f>
        <v/>
      </c>
      <c r="L217" s="243">
        <f>INDEX('Entrada de Dados'!I$6:I$196,MATCH($C217,'Entrada de Dados'!$A$6:$A$196,0))</f>
        <v/>
      </c>
      <c r="M217" s="243">
        <f>INDEX('Entrada de Dados'!J$6:J$196,MATCH($C217,'Entrada de Dados'!$A$6:$A$196,0))</f>
        <v/>
      </c>
      <c r="N217" s="243">
        <f>INDEX('Entrada de Dados'!K$6:K$196,MATCH($C217,'Entrada de Dados'!$A$6:$A$196,0))</f>
        <v/>
      </c>
      <c r="O217" s="243">
        <f>INDEX('Entrada de Dados'!L$6:L$196,MATCH($C217,'Entrada de Dados'!$A$6:$A$196,0))</f>
        <v/>
      </c>
      <c r="P217" s="243">
        <f>INDEX('Entrada de Dados'!M$6:M$196,MATCH($C217,'Entrada de Dados'!$A$6:$A$196,0))</f>
        <v/>
      </c>
      <c r="Q217" s="243">
        <f>INDEX('Entrada de Dados'!N$6:N$196,MATCH($C217,'Entrada de Dados'!$A$6:$A$196,0))</f>
        <v/>
      </c>
      <c r="R217" s="243">
        <f>INDEX('Entrada de Dados'!O$6:O$196,MATCH($C217,'Entrada de Dados'!$A$6:$A$196,0))</f>
        <v/>
      </c>
      <c r="S217" s="243">
        <f>INDEX('Entrada de Dados'!P$6:P$196,MATCH($C217,'Entrada de Dados'!$A$6:$A$196,0))</f>
        <v/>
      </c>
      <c r="T217" s="243">
        <f>INDEX('Entrada de Dados'!Q$6:Q$196,MATCH($C217,'Entrada de Dados'!$A$6:$A$196,0))</f>
        <v/>
      </c>
      <c r="U217" s="243">
        <f>INDEX('Entrada de Dados'!R$6:R$196,MATCH($C217,'Entrada de Dados'!$A$6:$A$196,0))</f>
        <v/>
      </c>
      <c r="V217" s="243">
        <f>INDEX('Entrada de Dados'!S$6:S$196,MATCH($C217,'Entrada de Dados'!$A$6:$A$196,0))</f>
        <v/>
      </c>
      <c r="W217" s="243">
        <f>INDEX('Entrada de Dados'!T$6:T$196,MATCH($C217,'Entrada de Dados'!$A$6:$A$196,0))</f>
        <v/>
      </c>
      <c r="X217" s="243">
        <f>INDEX('Entrada de Dados'!U$6:U$196,MATCH($C217,'Entrada de Dados'!$A$6:$A$196,0))</f>
        <v/>
      </c>
    </row>
    <row r="218">
      <c r="A218" s="241" t="n">
        <v>10</v>
      </c>
      <c r="B218" s="241" t="inlineStr"/>
      <c r="C218" s="241" t="inlineStr">
        <is>
          <t>1013</t>
        </is>
      </c>
      <c r="D218" s="242">
        <f>HYPERLINK("#'ESCOLA MUNICIPAL ODETTE FONSECA'!A1","ESCOLA MUNICIPAL ODETTE FONSECA")</f>
        <v/>
      </c>
      <c r="E218" s="242" t="inlineStr">
        <is>
          <t>DUQUES</t>
        </is>
      </c>
      <c r="F218" s="243">
        <f>INDEX('Entrada de Dados'!C$6:C$196,MATCH($C218,'Entrada de Dados'!$A$6:$A$196,0))</f>
        <v/>
      </c>
      <c r="G218" s="243">
        <f>INDEX('Entrada de Dados'!D$6:D$196,MATCH($C218,'Entrada de Dados'!$A$6:$A$196,0))</f>
        <v/>
      </c>
      <c r="H218" s="243">
        <f>INDEX('Entrada de Dados'!E$6:E$196,MATCH($C218,'Entrada de Dados'!$A$6:$A$196,0))</f>
        <v/>
      </c>
      <c r="I218" s="243">
        <f>INDEX('Entrada de Dados'!F$6:F$196,MATCH($C218,'Entrada de Dados'!$A$6:$A$196,0))</f>
        <v/>
      </c>
      <c r="J218" s="243">
        <f>INDEX('Entrada de Dados'!G$6:G$196,MATCH($C218,'Entrada de Dados'!$A$6:$A$196,0))</f>
        <v/>
      </c>
      <c r="K218" s="243">
        <f>INDEX('Entrada de Dados'!H$6:H$196,MATCH($C218,'Entrada de Dados'!$A$6:$A$196,0))</f>
        <v/>
      </c>
      <c r="L218" s="243">
        <f>INDEX('Entrada de Dados'!I$6:I$196,MATCH($C218,'Entrada de Dados'!$A$6:$A$196,0))</f>
        <v/>
      </c>
      <c r="M218" s="243">
        <f>INDEX('Entrada de Dados'!J$6:J$196,MATCH($C218,'Entrada de Dados'!$A$6:$A$196,0))</f>
        <v/>
      </c>
      <c r="N218" s="243">
        <f>INDEX('Entrada de Dados'!K$6:K$196,MATCH($C218,'Entrada de Dados'!$A$6:$A$196,0))</f>
        <v/>
      </c>
      <c r="O218" s="243">
        <f>INDEX('Entrada de Dados'!L$6:L$196,MATCH($C218,'Entrada de Dados'!$A$6:$A$196,0))</f>
        <v/>
      </c>
      <c r="P218" s="243">
        <f>INDEX('Entrada de Dados'!M$6:M$196,MATCH($C218,'Entrada de Dados'!$A$6:$A$196,0))</f>
        <v/>
      </c>
      <c r="Q218" s="243">
        <f>INDEX('Entrada de Dados'!N$6:N$196,MATCH($C218,'Entrada de Dados'!$A$6:$A$196,0))</f>
        <v/>
      </c>
      <c r="R218" s="243">
        <f>INDEX('Entrada de Dados'!O$6:O$196,MATCH($C218,'Entrada de Dados'!$A$6:$A$196,0))</f>
        <v/>
      </c>
      <c r="S218" s="243">
        <f>INDEX('Entrada de Dados'!P$6:P$196,MATCH($C218,'Entrada de Dados'!$A$6:$A$196,0))</f>
        <v/>
      </c>
      <c r="T218" s="243">
        <f>INDEX('Entrada de Dados'!Q$6:Q$196,MATCH($C218,'Entrada de Dados'!$A$6:$A$196,0))</f>
        <v/>
      </c>
      <c r="U218" s="243">
        <f>INDEX('Entrada de Dados'!R$6:R$196,MATCH($C218,'Entrada de Dados'!$A$6:$A$196,0))</f>
        <v/>
      </c>
      <c r="V218" s="243">
        <f>INDEX('Entrada de Dados'!S$6:S$196,MATCH($C218,'Entrada de Dados'!$A$6:$A$196,0))</f>
        <v/>
      </c>
      <c r="W218" s="243">
        <f>INDEX('Entrada de Dados'!T$6:T$196,MATCH($C218,'Entrada de Dados'!$A$6:$A$196,0))</f>
        <v/>
      </c>
      <c r="X218" s="243">
        <f>INDEX('Entrada de Dados'!U$6:U$196,MATCH($C218,'Entrada de Dados'!$A$6:$A$196,0))</f>
        <v/>
      </c>
    </row>
    <row r="219">
      <c r="A219" s="241" t="n">
        <v>11</v>
      </c>
      <c r="B219" s="241" t="inlineStr"/>
      <c r="C219" s="241" t="inlineStr">
        <is>
          <t>3061</t>
        </is>
      </c>
      <c r="D219" s="242">
        <f>HYPERLINK("#'CEI ANA CAROLINA TELLES'!A1","CEI ANA CAROLINA TELLES")</f>
        <v/>
      </c>
      <c r="E219" s="242" t="inlineStr">
        <is>
          <t>DUQUES</t>
        </is>
      </c>
      <c r="F219" s="243">
        <f>INDEX('Entrada de Dados'!C$6:C$196,MATCH($C219,'Entrada de Dados'!$A$6:$A$196,0))</f>
        <v/>
      </c>
      <c r="G219" s="243">
        <f>INDEX('Entrada de Dados'!D$6:D$196,MATCH($C219,'Entrada de Dados'!$A$6:$A$196,0))</f>
        <v/>
      </c>
      <c r="H219" s="243">
        <f>INDEX('Entrada de Dados'!E$6:E$196,MATCH($C219,'Entrada de Dados'!$A$6:$A$196,0))</f>
        <v/>
      </c>
      <c r="I219" s="243">
        <f>INDEX('Entrada de Dados'!F$6:F$196,MATCH($C219,'Entrada de Dados'!$A$6:$A$196,0))</f>
        <v/>
      </c>
      <c r="J219" s="243">
        <f>INDEX('Entrada de Dados'!G$6:G$196,MATCH($C219,'Entrada de Dados'!$A$6:$A$196,0))</f>
        <v/>
      </c>
      <c r="K219" s="243">
        <f>INDEX('Entrada de Dados'!H$6:H$196,MATCH($C219,'Entrada de Dados'!$A$6:$A$196,0))</f>
        <v/>
      </c>
      <c r="L219" s="243">
        <f>INDEX('Entrada de Dados'!I$6:I$196,MATCH($C219,'Entrada de Dados'!$A$6:$A$196,0))</f>
        <v/>
      </c>
      <c r="M219" s="243">
        <f>INDEX('Entrada de Dados'!J$6:J$196,MATCH($C219,'Entrada de Dados'!$A$6:$A$196,0))</f>
        <v/>
      </c>
      <c r="N219" s="243">
        <f>INDEX('Entrada de Dados'!K$6:K$196,MATCH($C219,'Entrada de Dados'!$A$6:$A$196,0))</f>
        <v/>
      </c>
      <c r="O219" s="243">
        <f>INDEX('Entrada de Dados'!L$6:L$196,MATCH($C219,'Entrada de Dados'!$A$6:$A$196,0))</f>
        <v/>
      </c>
      <c r="P219" s="243">
        <f>INDEX('Entrada de Dados'!M$6:M$196,MATCH($C219,'Entrada de Dados'!$A$6:$A$196,0))</f>
        <v/>
      </c>
      <c r="Q219" s="243">
        <f>INDEX('Entrada de Dados'!N$6:N$196,MATCH($C219,'Entrada de Dados'!$A$6:$A$196,0))</f>
        <v/>
      </c>
      <c r="R219" s="243">
        <f>INDEX('Entrada de Dados'!O$6:O$196,MATCH($C219,'Entrada de Dados'!$A$6:$A$196,0))</f>
        <v/>
      </c>
      <c r="S219" s="243">
        <f>INDEX('Entrada de Dados'!P$6:P$196,MATCH($C219,'Entrada de Dados'!$A$6:$A$196,0))</f>
        <v/>
      </c>
      <c r="T219" s="243">
        <f>INDEX('Entrada de Dados'!Q$6:Q$196,MATCH($C219,'Entrada de Dados'!$A$6:$A$196,0))</f>
        <v/>
      </c>
      <c r="U219" s="243">
        <f>INDEX('Entrada de Dados'!R$6:R$196,MATCH($C219,'Entrada de Dados'!$A$6:$A$196,0))</f>
        <v/>
      </c>
      <c r="V219" s="243">
        <f>INDEX('Entrada de Dados'!S$6:S$196,MATCH($C219,'Entrada de Dados'!$A$6:$A$196,0))</f>
        <v/>
      </c>
      <c r="W219" s="243">
        <f>INDEX('Entrada de Dados'!T$6:T$196,MATCH($C219,'Entrada de Dados'!$A$6:$A$196,0))</f>
        <v/>
      </c>
      <c r="X219" s="243">
        <f>INDEX('Entrada de Dados'!U$6:U$196,MATCH($C219,'Entrada de Dados'!$A$6:$A$196,0))</f>
        <v/>
      </c>
    </row>
    <row r="220" ht="22" customHeight="1" s="107">
      <c r="A220" s="248" t="inlineStr">
        <is>
          <t>Peso previsto:</t>
        </is>
      </c>
      <c r="C220" s="249">
        <f>SUM(F208:F219)+SUM(G208:G219)+SUM(H208:H219)+SUM(I208:I219)+SUM(J208:J219)+SUM(K208:K219)+SUM(L208:L219)+SUM(M208:M219)+SUM(N208:N219)+SUM(O208:O219)+SUM(P208:P219)+SUM(Q208:Q219)+SUM(R208:R219)+SUM(S208:S219)+SUM(T208:T219)+SUM(U208:U219)+SUM(W208:W219)+SUM(X208:X219)</f>
        <v/>
      </c>
      <c r="D220" s="248" t="inlineStr">
        <is>
          <t>Peso embarcado (kg):</t>
        </is>
      </c>
      <c r="F220" s="250" t="n"/>
      <c r="G220" s="248" t="inlineStr">
        <is>
          <t>Veículo:</t>
        </is>
      </c>
      <c r="I220" s="250" t="n"/>
      <c r="J220" s="251" t="n"/>
      <c r="K220" s="248" t="inlineStr">
        <is>
          <t>Motorista:</t>
        </is>
      </c>
      <c r="M220" s="250" t="n"/>
      <c r="N220" s="252" t="n"/>
      <c r="O220" s="252" t="n"/>
      <c r="P220" s="252" t="n"/>
      <c r="Q220" s="252" t="n"/>
      <c r="R220" s="252" t="n"/>
      <c r="S220" s="252" t="n"/>
      <c r="T220" s="252" t="n"/>
      <c r="U220" s="252" t="n"/>
      <c r="V220" s="252" t="n"/>
      <c r="W220" s="252" t="n"/>
      <c r="X220" s="251" t="n"/>
    </row>
    <row r="222" ht="20" customHeight="1" s="107">
      <c r="A222" s="236" t="inlineStr">
        <is>
          <t>ROTA T5 — CASTELÂNEA - CHÁCARA FLORA - SIMÉRIA · KOMBI · 10 escolas · 9 paradas físicas</t>
        </is>
      </c>
    </row>
    <row r="223" ht="26" customHeight="1" s="107">
      <c r="A223" s="238" t="inlineStr">
        <is>
          <t>Sequência-base: Galpão Itaipava &gt; Castelânea &gt; Chácara Flora &gt; Siméria &gt; Galpão   Atenção: Ruas locais e trechos de subida. Permínio Schmith é uma parada compartilhada por duas escolas.</t>
        </is>
      </c>
    </row>
    <row r="224" ht="30" customHeight="1" s="107">
      <c r="A224" s="240" t="inlineStr">
        <is>
          <t>PAR.</t>
        </is>
      </c>
      <c r="B224" s="240" t="inlineStr">
        <is>
          <t>SUB</t>
        </is>
      </c>
      <c r="C224" s="240" t="inlineStr">
        <is>
          <t>CÓDIGO</t>
        </is>
      </c>
      <c r="D224" s="240" t="inlineStr">
        <is>
          <t>ESCOLA</t>
        </is>
      </c>
      <c r="E224" s="240" t="inlineStr">
        <is>
          <t>BAIRRO/CORREDOR</t>
        </is>
      </c>
      <c r="F224" s="240" t="inlineStr">
        <is>
          <t>Abacate</t>
        </is>
      </c>
      <c r="G224" s="240" t="inlineStr">
        <is>
          <t>Abobrinha</t>
        </is>
      </c>
      <c r="H224" s="240" t="inlineStr">
        <is>
          <t>Agrião</t>
        </is>
      </c>
      <c r="I224" s="240" t="inlineStr">
        <is>
          <t>Alface lisa</t>
        </is>
      </c>
      <c r="J224" s="240" t="inlineStr">
        <is>
          <t>Banana prata</t>
        </is>
      </c>
      <c r="K224" s="240" t="inlineStr">
        <is>
          <t>Batata inglesa</t>
        </is>
      </c>
      <c r="L224" s="240" t="inlineStr">
        <is>
          <t>Beterraba</t>
        </is>
      </c>
      <c r="M224" s="240" t="inlineStr">
        <is>
          <t>Brócolis</t>
        </is>
      </c>
      <c r="N224" s="240" t="inlineStr">
        <is>
          <t>Cenoura</t>
        </is>
      </c>
      <c r="O224" s="240" t="inlineStr">
        <is>
          <t>Cheiro verde</t>
        </is>
      </c>
      <c r="P224" s="240" t="inlineStr">
        <is>
          <t>Chuchu</t>
        </is>
      </c>
      <c r="Q224" s="240" t="inlineStr">
        <is>
          <t>Couve manteiga</t>
        </is>
      </c>
      <c r="R224" s="240" t="inlineStr">
        <is>
          <t>Couve-flor</t>
        </is>
      </c>
      <c r="S224" s="240" t="inlineStr">
        <is>
          <t>Espinafre</t>
        </is>
      </c>
      <c r="T224" s="240" t="inlineStr">
        <is>
          <t>Maçã gala</t>
        </is>
      </c>
      <c r="U224" s="240" t="inlineStr">
        <is>
          <t>Mel</t>
        </is>
      </c>
      <c r="V224" s="240" t="inlineStr">
        <is>
          <t>Ovos (dz)</t>
        </is>
      </c>
      <c r="W224" s="240" t="inlineStr">
        <is>
          <t>Repolho</t>
        </is>
      </c>
      <c r="X224" s="240" t="inlineStr">
        <is>
          <t>Tangerina ponkan</t>
        </is>
      </c>
    </row>
    <row r="225">
      <c r="A225" s="241" t="n">
        <v>1</v>
      </c>
      <c r="B225" s="241" t="inlineStr"/>
      <c r="C225" s="241" t="inlineStr">
        <is>
          <t>1083</t>
        </is>
      </c>
      <c r="D225" s="242">
        <f>HYPERLINK("#'ESCOLA MUNICIPAL ANA MOHAMMAD'!A1","ESCOLA MUNICIPAL ANA MOHAMMAD")</f>
        <v/>
      </c>
      <c r="E225" s="242" t="inlineStr">
        <is>
          <t>CASTELÂNEA</t>
        </is>
      </c>
      <c r="F225" s="243">
        <f>INDEX('Entrada de Dados'!C$6:C$196,MATCH($C225,'Entrada de Dados'!$A$6:$A$196,0))</f>
        <v/>
      </c>
      <c r="G225" s="243">
        <f>INDEX('Entrada de Dados'!D$6:D$196,MATCH($C225,'Entrada de Dados'!$A$6:$A$196,0))</f>
        <v/>
      </c>
      <c r="H225" s="243">
        <f>INDEX('Entrada de Dados'!E$6:E$196,MATCH($C225,'Entrada de Dados'!$A$6:$A$196,0))</f>
        <v/>
      </c>
      <c r="I225" s="243">
        <f>INDEX('Entrada de Dados'!F$6:F$196,MATCH($C225,'Entrada de Dados'!$A$6:$A$196,0))</f>
        <v/>
      </c>
      <c r="J225" s="243">
        <f>INDEX('Entrada de Dados'!G$6:G$196,MATCH($C225,'Entrada de Dados'!$A$6:$A$196,0))</f>
        <v/>
      </c>
      <c r="K225" s="243">
        <f>INDEX('Entrada de Dados'!H$6:H$196,MATCH($C225,'Entrada de Dados'!$A$6:$A$196,0))</f>
        <v/>
      </c>
      <c r="L225" s="243">
        <f>INDEX('Entrada de Dados'!I$6:I$196,MATCH($C225,'Entrada de Dados'!$A$6:$A$196,0))</f>
        <v/>
      </c>
      <c r="M225" s="243">
        <f>INDEX('Entrada de Dados'!J$6:J$196,MATCH($C225,'Entrada de Dados'!$A$6:$A$196,0))</f>
        <v/>
      </c>
      <c r="N225" s="243">
        <f>INDEX('Entrada de Dados'!K$6:K$196,MATCH($C225,'Entrada de Dados'!$A$6:$A$196,0))</f>
        <v/>
      </c>
      <c r="O225" s="243">
        <f>INDEX('Entrada de Dados'!L$6:L$196,MATCH($C225,'Entrada de Dados'!$A$6:$A$196,0))</f>
        <v/>
      </c>
      <c r="P225" s="243">
        <f>INDEX('Entrada de Dados'!M$6:M$196,MATCH($C225,'Entrada de Dados'!$A$6:$A$196,0))</f>
        <v/>
      </c>
      <c r="Q225" s="243">
        <f>INDEX('Entrada de Dados'!N$6:N$196,MATCH($C225,'Entrada de Dados'!$A$6:$A$196,0))</f>
        <v/>
      </c>
      <c r="R225" s="243">
        <f>INDEX('Entrada de Dados'!O$6:O$196,MATCH($C225,'Entrada de Dados'!$A$6:$A$196,0))</f>
        <v/>
      </c>
      <c r="S225" s="243">
        <f>INDEX('Entrada de Dados'!P$6:P$196,MATCH($C225,'Entrada de Dados'!$A$6:$A$196,0))</f>
        <v/>
      </c>
      <c r="T225" s="243">
        <f>INDEX('Entrada de Dados'!Q$6:Q$196,MATCH($C225,'Entrada de Dados'!$A$6:$A$196,0))</f>
        <v/>
      </c>
      <c r="U225" s="243">
        <f>INDEX('Entrada de Dados'!R$6:R$196,MATCH($C225,'Entrada de Dados'!$A$6:$A$196,0))</f>
        <v/>
      </c>
      <c r="V225" s="243">
        <f>INDEX('Entrada de Dados'!S$6:S$196,MATCH($C225,'Entrada de Dados'!$A$6:$A$196,0))</f>
        <v/>
      </c>
      <c r="W225" s="243">
        <f>INDEX('Entrada de Dados'!T$6:T$196,MATCH($C225,'Entrada de Dados'!$A$6:$A$196,0))</f>
        <v/>
      </c>
      <c r="X225" s="243">
        <f>INDEX('Entrada de Dados'!U$6:U$196,MATCH($C225,'Entrada de Dados'!$A$6:$A$196,0))</f>
        <v/>
      </c>
    </row>
    <row r="226">
      <c r="A226" s="241" t="n">
        <v>2</v>
      </c>
      <c r="B226" s="241" t="inlineStr"/>
      <c r="C226" s="241" t="inlineStr">
        <is>
          <t>3064</t>
        </is>
      </c>
      <c r="D226" s="242">
        <f>HYPERLINK("#'CEI SAGRADA FAMÍLIA'!A1","CEI SAGRADA FAMÍLIA")</f>
        <v/>
      </c>
      <c r="E226" s="242" t="inlineStr">
        <is>
          <t>CASTELÂNEA</t>
        </is>
      </c>
      <c r="F226" s="243">
        <f>INDEX('Entrada de Dados'!C$6:C$196,MATCH($C226,'Entrada de Dados'!$A$6:$A$196,0))</f>
        <v/>
      </c>
      <c r="G226" s="243">
        <f>INDEX('Entrada de Dados'!D$6:D$196,MATCH($C226,'Entrada de Dados'!$A$6:$A$196,0))</f>
        <v/>
      </c>
      <c r="H226" s="243">
        <f>INDEX('Entrada de Dados'!E$6:E$196,MATCH($C226,'Entrada de Dados'!$A$6:$A$196,0))</f>
        <v/>
      </c>
      <c r="I226" s="243">
        <f>INDEX('Entrada de Dados'!F$6:F$196,MATCH($C226,'Entrada de Dados'!$A$6:$A$196,0))</f>
        <v/>
      </c>
      <c r="J226" s="243">
        <f>INDEX('Entrada de Dados'!G$6:G$196,MATCH($C226,'Entrada de Dados'!$A$6:$A$196,0))</f>
        <v/>
      </c>
      <c r="K226" s="243">
        <f>INDEX('Entrada de Dados'!H$6:H$196,MATCH($C226,'Entrada de Dados'!$A$6:$A$196,0))</f>
        <v/>
      </c>
      <c r="L226" s="243">
        <f>INDEX('Entrada de Dados'!I$6:I$196,MATCH($C226,'Entrada de Dados'!$A$6:$A$196,0))</f>
        <v/>
      </c>
      <c r="M226" s="243">
        <f>INDEX('Entrada de Dados'!J$6:J$196,MATCH($C226,'Entrada de Dados'!$A$6:$A$196,0))</f>
        <v/>
      </c>
      <c r="N226" s="243">
        <f>INDEX('Entrada de Dados'!K$6:K$196,MATCH($C226,'Entrada de Dados'!$A$6:$A$196,0))</f>
        <v/>
      </c>
      <c r="O226" s="243">
        <f>INDEX('Entrada de Dados'!L$6:L$196,MATCH($C226,'Entrada de Dados'!$A$6:$A$196,0))</f>
        <v/>
      </c>
      <c r="P226" s="243">
        <f>INDEX('Entrada de Dados'!M$6:M$196,MATCH($C226,'Entrada de Dados'!$A$6:$A$196,0))</f>
        <v/>
      </c>
      <c r="Q226" s="243">
        <f>INDEX('Entrada de Dados'!N$6:N$196,MATCH($C226,'Entrada de Dados'!$A$6:$A$196,0))</f>
        <v/>
      </c>
      <c r="R226" s="243">
        <f>INDEX('Entrada de Dados'!O$6:O$196,MATCH($C226,'Entrada de Dados'!$A$6:$A$196,0))</f>
        <v/>
      </c>
      <c r="S226" s="243">
        <f>INDEX('Entrada de Dados'!P$6:P$196,MATCH($C226,'Entrada de Dados'!$A$6:$A$196,0))</f>
        <v/>
      </c>
      <c r="T226" s="243">
        <f>INDEX('Entrada de Dados'!Q$6:Q$196,MATCH($C226,'Entrada de Dados'!$A$6:$A$196,0))</f>
        <v/>
      </c>
      <c r="U226" s="243">
        <f>INDEX('Entrada de Dados'!R$6:R$196,MATCH($C226,'Entrada de Dados'!$A$6:$A$196,0))</f>
        <v/>
      </c>
      <c r="V226" s="243">
        <f>INDEX('Entrada de Dados'!S$6:S$196,MATCH($C226,'Entrada de Dados'!$A$6:$A$196,0))</f>
        <v/>
      </c>
      <c r="W226" s="243">
        <f>INDEX('Entrada de Dados'!T$6:T$196,MATCH($C226,'Entrada de Dados'!$A$6:$A$196,0))</f>
        <v/>
      </c>
      <c r="X226" s="243">
        <f>INDEX('Entrada de Dados'!U$6:U$196,MATCH($C226,'Entrada de Dados'!$A$6:$A$196,0))</f>
        <v/>
      </c>
    </row>
    <row r="227">
      <c r="A227" s="241" t="n">
        <v>3</v>
      </c>
      <c r="B227" s="241" t="inlineStr"/>
      <c r="C227" s="241" t="inlineStr">
        <is>
          <t>2025</t>
        </is>
      </c>
      <c r="D227" s="242">
        <f>HYPERLINK("#'ESCOLA SÃO CRISTÓVÃO'!A1","ESCOLA SÃO CRISTÓVÃO")</f>
        <v/>
      </c>
      <c r="E227" s="242" t="inlineStr">
        <is>
          <t>CASTELÂNEA</t>
        </is>
      </c>
      <c r="F227" s="243">
        <f>INDEX('Entrada de Dados'!C$6:C$196,MATCH($C227,'Entrada de Dados'!$A$6:$A$196,0))</f>
        <v/>
      </c>
      <c r="G227" s="243">
        <f>INDEX('Entrada de Dados'!D$6:D$196,MATCH($C227,'Entrada de Dados'!$A$6:$A$196,0))</f>
        <v/>
      </c>
      <c r="H227" s="243">
        <f>INDEX('Entrada de Dados'!E$6:E$196,MATCH($C227,'Entrada de Dados'!$A$6:$A$196,0))</f>
        <v/>
      </c>
      <c r="I227" s="243">
        <f>INDEX('Entrada de Dados'!F$6:F$196,MATCH($C227,'Entrada de Dados'!$A$6:$A$196,0))</f>
        <v/>
      </c>
      <c r="J227" s="243">
        <f>INDEX('Entrada de Dados'!G$6:G$196,MATCH($C227,'Entrada de Dados'!$A$6:$A$196,0))</f>
        <v/>
      </c>
      <c r="K227" s="243">
        <f>INDEX('Entrada de Dados'!H$6:H$196,MATCH($C227,'Entrada de Dados'!$A$6:$A$196,0))</f>
        <v/>
      </c>
      <c r="L227" s="243">
        <f>INDEX('Entrada de Dados'!I$6:I$196,MATCH($C227,'Entrada de Dados'!$A$6:$A$196,0))</f>
        <v/>
      </c>
      <c r="M227" s="243">
        <f>INDEX('Entrada de Dados'!J$6:J$196,MATCH($C227,'Entrada de Dados'!$A$6:$A$196,0))</f>
        <v/>
      </c>
      <c r="N227" s="243">
        <f>INDEX('Entrada de Dados'!K$6:K$196,MATCH($C227,'Entrada de Dados'!$A$6:$A$196,0))</f>
        <v/>
      </c>
      <c r="O227" s="243">
        <f>INDEX('Entrada de Dados'!L$6:L$196,MATCH($C227,'Entrada de Dados'!$A$6:$A$196,0))</f>
        <v/>
      </c>
      <c r="P227" s="243">
        <f>INDEX('Entrada de Dados'!M$6:M$196,MATCH($C227,'Entrada de Dados'!$A$6:$A$196,0))</f>
        <v/>
      </c>
      <c r="Q227" s="243">
        <f>INDEX('Entrada de Dados'!N$6:N$196,MATCH($C227,'Entrada de Dados'!$A$6:$A$196,0))</f>
        <v/>
      </c>
      <c r="R227" s="243">
        <f>INDEX('Entrada de Dados'!O$6:O$196,MATCH($C227,'Entrada de Dados'!$A$6:$A$196,0))</f>
        <v/>
      </c>
      <c r="S227" s="243">
        <f>INDEX('Entrada de Dados'!P$6:P$196,MATCH($C227,'Entrada de Dados'!$A$6:$A$196,0))</f>
        <v/>
      </c>
      <c r="T227" s="243">
        <f>INDEX('Entrada de Dados'!Q$6:Q$196,MATCH($C227,'Entrada de Dados'!$A$6:$A$196,0))</f>
        <v/>
      </c>
      <c r="U227" s="243">
        <f>INDEX('Entrada de Dados'!R$6:R$196,MATCH($C227,'Entrada de Dados'!$A$6:$A$196,0))</f>
        <v/>
      </c>
      <c r="V227" s="243">
        <f>INDEX('Entrada de Dados'!S$6:S$196,MATCH($C227,'Entrada de Dados'!$A$6:$A$196,0))</f>
        <v/>
      </c>
      <c r="W227" s="243">
        <f>INDEX('Entrada de Dados'!T$6:T$196,MATCH($C227,'Entrada de Dados'!$A$6:$A$196,0))</f>
        <v/>
      </c>
      <c r="X227" s="243">
        <f>INDEX('Entrada de Dados'!U$6:U$196,MATCH($C227,'Entrada de Dados'!$A$6:$A$196,0))</f>
        <v/>
      </c>
    </row>
    <row r="228">
      <c r="A228" s="241" t="n">
        <v>4</v>
      </c>
      <c r="B228" s="241" t="inlineStr"/>
      <c r="C228" s="241" t="inlineStr">
        <is>
          <t>3027</t>
        </is>
      </c>
      <c r="D228" s="242">
        <f>HYPERLINK("#'CEI DÉA LÚCIA CORDEIRO'!A1","CEI DÉA LÚCIA CORDEIRO")</f>
        <v/>
      </c>
      <c r="E228" s="242" t="inlineStr">
        <is>
          <t>CASTELÂNEA</t>
        </is>
      </c>
      <c r="F228" s="243">
        <f>INDEX('Entrada de Dados'!C$6:C$196,MATCH($C228,'Entrada de Dados'!$A$6:$A$196,0))</f>
        <v/>
      </c>
      <c r="G228" s="243">
        <f>INDEX('Entrada de Dados'!D$6:D$196,MATCH($C228,'Entrada de Dados'!$A$6:$A$196,0))</f>
        <v/>
      </c>
      <c r="H228" s="243">
        <f>INDEX('Entrada de Dados'!E$6:E$196,MATCH($C228,'Entrada de Dados'!$A$6:$A$196,0))</f>
        <v/>
      </c>
      <c r="I228" s="243">
        <f>INDEX('Entrada de Dados'!F$6:F$196,MATCH($C228,'Entrada de Dados'!$A$6:$A$196,0))</f>
        <v/>
      </c>
      <c r="J228" s="243">
        <f>INDEX('Entrada de Dados'!G$6:G$196,MATCH($C228,'Entrada de Dados'!$A$6:$A$196,0))</f>
        <v/>
      </c>
      <c r="K228" s="243">
        <f>INDEX('Entrada de Dados'!H$6:H$196,MATCH($C228,'Entrada de Dados'!$A$6:$A$196,0))</f>
        <v/>
      </c>
      <c r="L228" s="243">
        <f>INDEX('Entrada de Dados'!I$6:I$196,MATCH($C228,'Entrada de Dados'!$A$6:$A$196,0))</f>
        <v/>
      </c>
      <c r="M228" s="243">
        <f>INDEX('Entrada de Dados'!J$6:J$196,MATCH($C228,'Entrada de Dados'!$A$6:$A$196,0))</f>
        <v/>
      </c>
      <c r="N228" s="243">
        <f>INDEX('Entrada de Dados'!K$6:K$196,MATCH($C228,'Entrada de Dados'!$A$6:$A$196,0))</f>
        <v/>
      </c>
      <c r="O228" s="243">
        <f>INDEX('Entrada de Dados'!L$6:L$196,MATCH($C228,'Entrada de Dados'!$A$6:$A$196,0))</f>
        <v/>
      </c>
      <c r="P228" s="243">
        <f>INDEX('Entrada de Dados'!M$6:M$196,MATCH($C228,'Entrada de Dados'!$A$6:$A$196,0))</f>
        <v/>
      </c>
      <c r="Q228" s="243">
        <f>INDEX('Entrada de Dados'!N$6:N$196,MATCH($C228,'Entrada de Dados'!$A$6:$A$196,0))</f>
        <v/>
      </c>
      <c r="R228" s="243">
        <f>INDEX('Entrada de Dados'!O$6:O$196,MATCH($C228,'Entrada de Dados'!$A$6:$A$196,0))</f>
        <v/>
      </c>
      <c r="S228" s="243">
        <f>INDEX('Entrada de Dados'!P$6:P$196,MATCH($C228,'Entrada de Dados'!$A$6:$A$196,0))</f>
        <v/>
      </c>
      <c r="T228" s="243">
        <f>INDEX('Entrada de Dados'!Q$6:Q$196,MATCH($C228,'Entrada de Dados'!$A$6:$A$196,0))</f>
        <v/>
      </c>
      <c r="U228" s="243">
        <f>INDEX('Entrada de Dados'!R$6:R$196,MATCH($C228,'Entrada de Dados'!$A$6:$A$196,0))</f>
        <v/>
      </c>
      <c r="V228" s="243">
        <f>INDEX('Entrada de Dados'!S$6:S$196,MATCH($C228,'Entrada de Dados'!$A$6:$A$196,0))</f>
        <v/>
      </c>
      <c r="W228" s="243">
        <f>INDEX('Entrada de Dados'!T$6:T$196,MATCH($C228,'Entrada de Dados'!$A$6:$A$196,0))</f>
        <v/>
      </c>
      <c r="X228" s="243">
        <f>INDEX('Entrada de Dados'!U$6:U$196,MATCH($C228,'Entrada de Dados'!$A$6:$A$196,0))</f>
        <v/>
      </c>
    </row>
    <row r="229">
      <c r="A229" s="241" t="n">
        <v>5</v>
      </c>
      <c r="B229" s="241" t="inlineStr"/>
      <c r="C229" s="241" t="inlineStr">
        <is>
          <t>1020</t>
        </is>
      </c>
      <c r="D229" s="242">
        <f>HYPERLINK("#'E M ROBERT KENNEDY'!A1","E M ROBERT KENNEDY")</f>
        <v/>
      </c>
      <c r="E229" s="242" t="inlineStr">
        <is>
          <t>CASTELÂNEA</t>
        </is>
      </c>
      <c r="F229" s="243">
        <f>INDEX('Entrada de Dados'!C$6:C$196,MATCH($C229,'Entrada de Dados'!$A$6:$A$196,0))</f>
        <v/>
      </c>
      <c r="G229" s="243">
        <f>INDEX('Entrada de Dados'!D$6:D$196,MATCH($C229,'Entrada de Dados'!$A$6:$A$196,0))</f>
        <v/>
      </c>
      <c r="H229" s="243">
        <f>INDEX('Entrada de Dados'!E$6:E$196,MATCH($C229,'Entrada de Dados'!$A$6:$A$196,0))</f>
        <v/>
      </c>
      <c r="I229" s="243">
        <f>INDEX('Entrada de Dados'!F$6:F$196,MATCH($C229,'Entrada de Dados'!$A$6:$A$196,0))</f>
        <v/>
      </c>
      <c r="J229" s="243">
        <f>INDEX('Entrada de Dados'!G$6:G$196,MATCH($C229,'Entrada de Dados'!$A$6:$A$196,0))</f>
        <v/>
      </c>
      <c r="K229" s="243">
        <f>INDEX('Entrada de Dados'!H$6:H$196,MATCH($C229,'Entrada de Dados'!$A$6:$A$196,0))</f>
        <v/>
      </c>
      <c r="L229" s="243">
        <f>INDEX('Entrada de Dados'!I$6:I$196,MATCH($C229,'Entrada de Dados'!$A$6:$A$196,0))</f>
        <v/>
      </c>
      <c r="M229" s="243">
        <f>INDEX('Entrada de Dados'!J$6:J$196,MATCH($C229,'Entrada de Dados'!$A$6:$A$196,0))</f>
        <v/>
      </c>
      <c r="N229" s="243">
        <f>INDEX('Entrada de Dados'!K$6:K$196,MATCH($C229,'Entrada de Dados'!$A$6:$A$196,0))</f>
        <v/>
      </c>
      <c r="O229" s="243">
        <f>INDEX('Entrada de Dados'!L$6:L$196,MATCH($C229,'Entrada de Dados'!$A$6:$A$196,0))</f>
        <v/>
      </c>
      <c r="P229" s="243">
        <f>INDEX('Entrada de Dados'!M$6:M$196,MATCH($C229,'Entrada de Dados'!$A$6:$A$196,0))</f>
        <v/>
      </c>
      <c r="Q229" s="243">
        <f>INDEX('Entrada de Dados'!N$6:N$196,MATCH($C229,'Entrada de Dados'!$A$6:$A$196,0))</f>
        <v/>
      </c>
      <c r="R229" s="243">
        <f>INDEX('Entrada de Dados'!O$6:O$196,MATCH($C229,'Entrada de Dados'!$A$6:$A$196,0))</f>
        <v/>
      </c>
      <c r="S229" s="243">
        <f>INDEX('Entrada de Dados'!P$6:P$196,MATCH($C229,'Entrada de Dados'!$A$6:$A$196,0))</f>
        <v/>
      </c>
      <c r="T229" s="243">
        <f>INDEX('Entrada de Dados'!Q$6:Q$196,MATCH($C229,'Entrada de Dados'!$A$6:$A$196,0))</f>
        <v/>
      </c>
      <c r="U229" s="243">
        <f>INDEX('Entrada de Dados'!R$6:R$196,MATCH($C229,'Entrada de Dados'!$A$6:$A$196,0))</f>
        <v/>
      </c>
      <c r="V229" s="243">
        <f>INDEX('Entrada de Dados'!S$6:S$196,MATCH($C229,'Entrada de Dados'!$A$6:$A$196,0))</f>
        <v/>
      </c>
      <c r="W229" s="243">
        <f>INDEX('Entrada de Dados'!T$6:T$196,MATCH($C229,'Entrada de Dados'!$A$6:$A$196,0))</f>
        <v/>
      </c>
      <c r="X229" s="243">
        <f>INDEX('Entrada de Dados'!U$6:U$196,MATCH($C229,'Entrada de Dados'!$A$6:$A$196,0))</f>
        <v/>
      </c>
    </row>
    <row r="230">
      <c r="A230" s="241" t="n">
        <v>6</v>
      </c>
      <c r="B230" s="241" t="inlineStr"/>
      <c r="C230" s="241" t="inlineStr">
        <is>
          <t>4002</t>
        </is>
      </c>
      <c r="D230" s="242">
        <f>HYPERLINK("#'CEI SÃO JOSÉ DAS OBLATAS DE NAZ'!A1","CEI SÃO JOSÉ DAS OBLATAS DE NAZARÉ")</f>
        <v/>
      </c>
      <c r="E230" s="242" t="inlineStr">
        <is>
          <t>CASTELÂNEA</t>
        </is>
      </c>
      <c r="F230" s="243">
        <f>INDEX('Entrada de Dados'!C$6:C$196,MATCH($C230,'Entrada de Dados'!$A$6:$A$196,0))</f>
        <v/>
      </c>
      <c r="G230" s="243">
        <f>INDEX('Entrada de Dados'!D$6:D$196,MATCH($C230,'Entrada de Dados'!$A$6:$A$196,0))</f>
        <v/>
      </c>
      <c r="H230" s="243">
        <f>INDEX('Entrada de Dados'!E$6:E$196,MATCH($C230,'Entrada de Dados'!$A$6:$A$196,0))</f>
        <v/>
      </c>
      <c r="I230" s="243">
        <f>INDEX('Entrada de Dados'!F$6:F$196,MATCH($C230,'Entrada de Dados'!$A$6:$A$196,0))</f>
        <v/>
      </c>
      <c r="J230" s="243">
        <f>INDEX('Entrada de Dados'!G$6:G$196,MATCH($C230,'Entrada de Dados'!$A$6:$A$196,0))</f>
        <v/>
      </c>
      <c r="K230" s="243">
        <f>INDEX('Entrada de Dados'!H$6:H$196,MATCH($C230,'Entrada de Dados'!$A$6:$A$196,0))</f>
        <v/>
      </c>
      <c r="L230" s="243">
        <f>INDEX('Entrada de Dados'!I$6:I$196,MATCH($C230,'Entrada de Dados'!$A$6:$A$196,0))</f>
        <v/>
      </c>
      <c r="M230" s="243">
        <f>INDEX('Entrada de Dados'!J$6:J$196,MATCH($C230,'Entrada de Dados'!$A$6:$A$196,0))</f>
        <v/>
      </c>
      <c r="N230" s="243">
        <f>INDEX('Entrada de Dados'!K$6:K$196,MATCH($C230,'Entrada de Dados'!$A$6:$A$196,0))</f>
        <v/>
      </c>
      <c r="O230" s="243">
        <f>INDEX('Entrada de Dados'!L$6:L$196,MATCH($C230,'Entrada de Dados'!$A$6:$A$196,0))</f>
        <v/>
      </c>
      <c r="P230" s="243">
        <f>INDEX('Entrada de Dados'!M$6:M$196,MATCH($C230,'Entrada de Dados'!$A$6:$A$196,0))</f>
        <v/>
      </c>
      <c r="Q230" s="243">
        <f>INDEX('Entrada de Dados'!N$6:N$196,MATCH($C230,'Entrada de Dados'!$A$6:$A$196,0))</f>
        <v/>
      </c>
      <c r="R230" s="243">
        <f>INDEX('Entrada de Dados'!O$6:O$196,MATCH($C230,'Entrada de Dados'!$A$6:$A$196,0))</f>
        <v/>
      </c>
      <c r="S230" s="243">
        <f>INDEX('Entrada de Dados'!P$6:P$196,MATCH($C230,'Entrada de Dados'!$A$6:$A$196,0))</f>
        <v/>
      </c>
      <c r="T230" s="243">
        <f>INDEX('Entrada de Dados'!Q$6:Q$196,MATCH($C230,'Entrada de Dados'!$A$6:$A$196,0))</f>
        <v/>
      </c>
      <c r="U230" s="243">
        <f>INDEX('Entrada de Dados'!R$6:R$196,MATCH($C230,'Entrada de Dados'!$A$6:$A$196,0))</f>
        <v/>
      </c>
      <c r="V230" s="243">
        <f>INDEX('Entrada de Dados'!S$6:S$196,MATCH($C230,'Entrada de Dados'!$A$6:$A$196,0))</f>
        <v/>
      </c>
      <c r="W230" s="243">
        <f>INDEX('Entrada de Dados'!T$6:T$196,MATCH($C230,'Entrada de Dados'!$A$6:$A$196,0))</f>
        <v/>
      </c>
      <c r="X230" s="243">
        <f>INDEX('Entrada de Dados'!U$6:U$196,MATCH($C230,'Entrada de Dados'!$A$6:$A$196,0))</f>
        <v/>
      </c>
    </row>
    <row r="231">
      <c r="A231" s="253" t="n">
        <v>7</v>
      </c>
      <c r="B231" s="253" t="inlineStr">
        <is>
          <t>A</t>
        </is>
      </c>
      <c r="C231" s="254" t="inlineStr">
        <is>
          <t>1107</t>
        </is>
      </c>
      <c r="D231" s="255">
        <f>HYPERLINK("#'E M DR RUBENS DE CASTRO BOMTEMP'!A1","E M DR RUBENS DE CASTRO BOMTEMPO")</f>
        <v/>
      </c>
      <c r="E231" s="255" t="inlineStr">
        <is>
          <t>CHÁCARA FLORA</t>
        </is>
      </c>
      <c r="F231" s="256">
        <f>INDEX('Entrada de Dados'!C$6:C$196,MATCH($C231,'Entrada de Dados'!$A$6:$A$196,0))</f>
        <v/>
      </c>
      <c r="G231" s="256">
        <f>INDEX('Entrada de Dados'!D$6:D$196,MATCH($C231,'Entrada de Dados'!$A$6:$A$196,0))</f>
        <v/>
      </c>
      <c r="H231" s="256">
        <f>INDEX('Entrada de Dados'!E$6:E$196,MATCH($C231,'Entrada de Dados'!$A$6:$A$196,0))</f>
        <v/>
      </c>
      <c r="I231" s="256">
        <f>INDEX('Entrada de Dados'!F$6:F$196,MATCH($C231,'Entrada de Dados'!$A$6:$A$196,0))</f>
        <v/>
      </c>
      <c r="J231" s="256">
        <f>INDEX('Entrada de Dados'!G$6:G$196,MATCH($C231,'Entrada de Dados'!$A$6:$A$196,0))</f>
        <v/>
      </c>
      <c r="K231" s="256">
        <f>INDEX('Entrada de Dados'!H$6:H$196,MATCH($C231,'Entrada de Dados'!$A$6:$A$196,0))</f>
        <v/>
      </c>
      <c r="L231" s="256">
        <f>INDEX('Entrada de Dados'!I$6:I$196,MATCH($C231,'Entrada de Dados'!$A$6:$A$196,0))</f>
        <v/>
      </c>
      <c r="M231" s="256">
        <f>INDEX('Entrada de Dados'!J$6:J$196,MATCH($C231,'Entrada de Dados'!$A$6:$A$196,0))</f>
        <v/>
      </c>
      <c r="N231" s="256">
        <f>INDEX('Entrada de Dados'!K$6:K$196,MATCH($C231,'Entrada de Dados'!$A$6:$A$196,0))</f>
        <v/>
      </c>
      <c r="O231" s="256">
        <f>INDEX('Entrada de Dados'!L$6:L$196,MATCH($C231,'Entrada de Dados'!$A$6:$A$196,0))</f>
        <v/>
      </c>
      <c r="P231" s="256">
        <f>INDEX('Entrada de Dados'!M$6:M$196,MATCH($C231,'Entrada de Dados'!$A$6:$A$196,0))</f>
        <v/>
      </c>
      <c r="Q231" s="256">
        <f>INDEX('Entrada de Dados'!N$6:N$196,MATCH($C231,'Entrada de Dados'!$A$6:$A$196,0))</f>
        <v/>
      </c>
      <c r="R231" s="256">
        <f>INDEX('Entrada de Dados'!O$6:O$196,MATCH($C231,'Entrada de Dados'!$A$6:$A$196,0))</f>
        <v/>
      </c>
      <c r="S231" s="256">
        <f>INDEX('Entrada de Dados'!P$6:P$196,MATCH($C231,'Entrada de Dados'!$A$6:$A$196,0))</f>
        <v/>
      </c>
      <c r="T231" s="256">
        <f>INDEX('Entrada de Dados'!Q$6:Q$196,MATCH($C231,'Entrada de Dados'!$A$6:$A$196,0))</f>
        <v/>
      </c>
      <c r="U231" s="256">
        <f>INDEX('Entrada de Dados'!R$6:R$196,MATCH($C231,'Entrada de Dados'!$A$6:$A$196,0))</f>
        <v/>
      </c>
      <c r="V231" s="256">
        <f>INDEX('Entrada de Dados'!S$6:S$196,MATCH($C231,'Entrada de Dados'!$A$6:$A$196,0))</f>
        <v/>
      </c>
      <c r="W231" s="256">
        <f>INDEX('Entrada de Dados'!T$6:T$196,MATCH($C231,'Entrada de Dados'!$A$6:$A$196,0))</f>
        <v/>
      </c>
      <c r="X231" s="256">
        <f>INDEX('Entrada de Dados'!U$6:U$196,MATCH($C231,'Entrada de Dados'!$A$6:$A$196,0))</f>
        <v/>
      </c>
    </row>
    <row r="232">
      <c r="A232" s="253" t="n">
        <v>7</v>
      </c>
      <c r="B232" s="253" t="inlineStr">
        <is>
          <t>B</t>
        </is>
      </c>
      <c r="C232" s="254" t="inlineStr">
        <is>
          <t>3008</t>
        </is>
      </c>
      <c r="D232" s="255">
        <f>HYPERLINK("#'CEI FREI LEÃO'!A1","CEI FREI LEÃO")</f>
        <v/>
      </c>
      <c r="E232" s="255" t="inlineStr">
        <is>
          <t>CHÁCARA FLORA</t>
        </is>
      </c>
      <c r="F232" s="256">
        <f>INDEX('Entrada de Dados'!C$6:C$196,MATCH($C232,'Entrada de Dados'!$A$6:$A$196,0))</f>
        <v/>
      </c>
      <c r="G232" s="256">
        <f>INDEX('Entrada de Dados'!D$6:D$196,MATCH($C232,'Entrada de Dados'!$A$6:$A$196,0))</f>
        <v/>
      </c>
      <c r="H232" s="256">
        <f>INDEX('Entrada de Dados'!E$6:E$196,MATCH($C232,'Entrada de Dados'!$A$6:$A$196,0))</f>
        <v/>
      </c>
      <c r="I232" s="256">
        <f>INDEX('Entrada de Dados'!F$6:F$196,MATCH($C232,'Entrada de Dados'!$A$6:$A$196,0))</f>
        <v/>
      </c>
      <c r="J232" s="256">
        <f>INDEX('Entrada de Dados'!G$6:G$196,MATCH($C232,'Entrada de Dados'!$A$6:$A$196,0))</f>
        <v/>
      </c>
      <c r="K232" s="256">
        <f>INDEX('Entrada de Dados'!H$6:H$196,MATCH($C232,'Entrada de Dados'!$A$6:$A$196,0))</f>
        <v/>
      </c>
      <c r="L232" s="256">
        <f>INDEX('Entrada de Dados'!I$6:I$196,MATCH($C232,'Entrada de Dados'!$A$6:$A$196,0))</f>
        <v/>
      </c>
      <c r="M232" s="256">
        <f>INDEX('Entrada de Dados'!J$6:J$196,MATCH($C232,'Entrada de Dados'!$A$6:$A$196,0))</f>
        <v/>
      </c>
      <c r="N232" s="256">
        <f>INDEX('Entrada de Dados'!K$6:K$196,MATCH($C232,'Entrada de Dados'!$A$6:$A$196,0))</f>
        <v/>
      </c>
      <c r="O232" s="256">
        <f>INDEX('Entrada de Dados'!L$6:L$196,MATCH($C232,'Entrada de Dados'!$A$6:$A$196,0))</f>
        <v/>
      </c>
      <c r="P232" s="256">
        <f>INDEX('Entrada de Dados'!M$6:M$196,MATCH($C232,'Entrada de Dados'!$A$6:$A$196,0))</f>
        <v/>
      </c>
      <c r="Q232" s="256">
        <f>INDEX('Entrada de Dados'!N$6:N$196,MATCH($C232,'Entrada de Dados'!$A$6:$A$196,0))</f>
        <v/>
      </c>
      <c r="R232" s="256">
        <f>INDEX('Entrada de Dados'!O$6:O$196,MATCH($C232,'Entrada de Dados'!$A$6:$A$196,0))</f>
        <v/>
      </c>
      <c r="S232" s="256">
        <f>INDEX('Entrada de Dados'!P$6:P$196,MATCH($C232,'Entrada de Dados'!$A$6:$A$196,0))</f>
        <v/>
      </c>
      <c r="T232" s="256">
        <f>INDEX('Entrada de Dados'!Q$6:Q$196,MATCH($C232,'Entrada de Dados'!$A$6:$A$196,0))</f>
        <v/>
      </c>
      <c r="U232" s="256">
        <f>INDEX('Entrada de Dados'!R$6:R$196,MATCH($C232,'Entrada de Dados'!$A$6:$A$196,0))</f>
        <v/>
      </c>
      <c r="V232" s="256">
        <f>INDEX('Entrada de Dados'!S$6:S$196,MATCH($C232,'Entrada de Dados'!$A$6:$A$196,0))</f>
        <v/>
      </c>
      <c r="W232" s="256">
        <f>INDEX('Entrada de Dados'!T$6:T$196,MATCH($C232,'Entrada de Dados'!$A$6:$A$196,0))</f>
        <v/>
      </c>
      <c r="X232" s="256">
        <f>INDEX('Entrada de Dados'!U$6:U$196,MATCH($C232,'Entrada de Dados'!$A$6:$A$196,0))</f>
        <v/>
      </c>
    </row>
    <row r="233">
      <c r="A233" s="241" t="n">
        <v>8</v>
      </c>
      <c r="B233" s="241" t="inlineStr"/>
      <c r="C233" s="241" t="inlineStr">
        <is>
          <t>1022</t>
        </is>
      </c>
      <c r="D233" s="242">
        <f>HYPERLINK("#'E M ROSALINA NICOLAY'!A1","E M ROSALINA NICOLAY")</f>
        <v/>
      </c>
      <c r="E233" s="242" t="inlineStr">
        <is>
          <t>SIMÉRIA</t>
        </is>
      </c>
      <c r="F233" s="243">
        <f>INDEX('Entrada de Dados'!C$6:C$196,MATCH($C233,'Entrada de Dados'!$A$6:$A$196,0))</f>
        <v/>
      </c>
      <c r="G233" s="243">
        <f>INDEX('Entrada de Dados'!D$6:D$196,MATCH($C233,'Entrada de Dados'!$A$6:$A$196,0))</f>
        <v/>
      </c>
      <c r="H233" s="243">
        <f>INDEX('Entrada de Dados'!E$6:E$196,MATCH($C233,'Entrada de Dados'!$A$6:$A$196,0))</f>
        <v/>
      </c>
      <c r="I233" s="243">
        <f>INDEX('Entrada de Dados'!F$6:F$196,MATCH($C233,'Entrada de Dados'!$A$6:$A$196,0))</f>
        <v/>
      </c>
      <c r="J233" s="243">
        <f>INDEX('Entrada de Dados'!G$6:G$196,MATCH($C233,'Entrada de Dados'!$A$6:$A$196,0))</f>
        <v/>
      </c>
      <c r="K233" s="243">
        <f>INDEX('Entrada de Dados'!H$6:H$196,MATCH($C233,'Entrada de Dados'!$A$6:$A$196,0))</f>
        <v/>
      </c>
      <c r="L233" s="243">
        <f>INDEX('Entrada de Dados'!I$6:I$196,MATCH($C233,'Entrada de Dados'!$A$6:$A$196,0))</f>
        <v/>
      </c>
      <c r="M233" s="243">
        <f>INDEX('Entrada de Dados'!J$6:J$196,MATCH($C233,'Entrada de Dados'!$A$6:$A$196,0))</f>
        <v/>
      </c>
      <c r="N233" s="243">
        <f>INDEX('Entrada de Dados'!K$6:K$196,MATCH($C233,'Entrada de Dados'!$A$6:$A$196,0))</f>
        <v/>
      </c>
      <c r="O233" s="243">
        <f>INDEX('Entrada de Dados'!L$6:L$196,MATCH($C233,'Entrada de Dados'!$A$6:$A$196,0))</f>
        <v/>
      </c>
      <c r="P233" s="243">
        <f>INDEX('Entrada de Dados'!M$6:M$196,MATCH($C233,'Entrada de Dados'!$A$6:$A$196,0))</f>
        <v/>
      </c>
      <c r="Q233" s="243">
        <f>INDEX('Entrada de Dados'!N$6:N$196,MATCH($C233,'Entrada de Dados'!$A$6:$A$196,0))</f>
        <v/>
      </c>
      <c r="R233" s="243">
        <f>INDEX('Entrada de Dados'!O$6:O$196,MATCH($C233,'Entrada de Dados'!$A$6:$A$196,0))</f>
        <v/>
      </c>
      <c r="S233" s="243">
        <f>INDEX('Entrada de Dados'!P$6:P$196,MATCH($C233,'Entrada de Dados'!$A$6:$A$196,0))</f>
        <v/>
      </c>
      <c r="T233" s="243">
        <f>INDEX('Entrada de Dados'!Q$6:Q$196,MATCH($C233,'Entrada de Dados'!$A$6:$A$196,0))</f>
        <v/>
      </c>
      <c r="U233" s="243">
        <f>INDEX('Entrada de Dados'!R$6:R$196,MATCH($C233,'Entrada de Dados'!$A$6:$A$196,0))</f>
        <v/>
      </c>
      <c r="V233" s="243">
        <f>INDEX('Entrada de Dados'!S$6:S$196,MATCH($C233,'Entrada de Dados'!$A$6:$A$196,0))</f>
        <v/>
      </c>
      <c r="W233" s="243">
        <f>INDEX('Entrada de Dados'!T$6:T$196,MATCH($C233,'Entrada de Dados'!$A$6:$A$196,0))</f>
        <v/>
      </c>
      <c r="X233" s="243">
        <f>INDEX('Entrada de Dados'!U$6:U$196,MATCH($C233,'Entrada de Dados'!$A$6:$A$196,0))</f>
        <v/>
      </c>
    </row>
    <row r="234">
      <c r="A234" s="241" t="n">
        <v>9</v>
      </c>
      <c r="B234" s="241" t="inlineStr"/>
      <c r="C234" s="241" t="inlineStr">
        <is>
          <t>3017</t>
        </is>
      </c>
      <c r="D234" s="242">
        <f>HYPERLINK("#'CEI INÊS BELARMINO DE SOUZA'!A1","CEI INÊS BELARMINO DE SOUZA")</f>
        <v/>
      </c>
      <c r="E234" s="242" t="inlineStr">
        <is>
          <t>SIMÉRIA</t>
        </is>
      </c>
      <c r="F234" s="243">
        <f>INDEX('Entrada de Dados'!C$6:C$196,MATCH($C234,'Entrada de Dados'!$A$6:$A$196,0))</f>
        <v/>
      </c>
      <c r="G234" s="243">
        <f>INDEX('Entrada de Dados'!D$6:D$196,MATCH($C234,'Entrada de Dados'!$A$6:$A$196,0))</f>
        <v/>
      </c>
      <c r="H234" s="243">
        <f>INDEX('Entrada de Dados'!E$6:E$196,MATCH($C234,'Entrada de Dados'!$A$6:$A$196,0))</f>
        <v/>
      </c>
      <c r="I234" s="243">
        <f>INDEX('Entrada de Dados'!F$6:F$196,MATCH($C234,'Entrada de Dados'!$A$6:$A$196,0))</f>
        <v/>
      </c>
      <c r="J234" s="243">
        <f>INDEX('Entrada de Dados'!G$6:G$196,MATCH($C234,'Entrada de Dados'!$A$6:$A$196,0))</f>
        <v/>
      </c>
      <c r="K234" s="243">
        <f>INDEX('Entrada de Dados'!H$6:H$196,MATCH($C234,'Entrada de Dados'!$A$6:$A$196,0))</f>
        <v/>
      </c>
      <c r="L234" s="243">
        <f>INDEX('Entrada de Dados'!I$6:I$196,MATCH($C234,'Entrada de Dados'!$A$6:$A$196,0))</f>
        <v/>
      </c>
      <c r="M234" s="243">
        <f>INDEX('Entrada de Dados'!J$6:J$196,MATCH($C234,'Entrada de Dados'!$A$6:$A$196,0))</f>
        <v/>
      </c>
      <c r="N234" s="243">
        <f>INDEX('Entrada de Dados'!K$6:K$196,MATCH($C234,'Entrada de Dados'!$A$6:$A$196,0))</f>
        <v/>
      </c>
      <c r="O234" s="243">
        <f>INDEX('Entrada de Dados'!L$6:L$196,MATCH($C234,'Entrada de Dados'!$A$6:$A$196,0))</f>
        <v/>
      </c>
      <c r="P234" s="243">
        <f>INDEX('Entrada de Dados'!M$6:M$196,MATCH($C234,'Entrada de Dados'!$A$6:$A$196,0))</f>
        <v/>
      </c>
      <c r="Q234" s="243">
        <f>INDEX('Entrada de Dados'!N$6:N$196,MATCH($C234,'Entrada de Dados'!$A$6:$A$196,0))</f>
        <v/>
      </c>
      <c r="R234" s="243">
        <f>INDEX('Entrada de Dados'!O$6:O$196,MATCH($C234,'Entrada de Dados'!$A$6:$A$196,0))</f>
        <v/>
      </c>
      <c r="S234" s="243">
        <f>INDEX('Entrada de Dados'!P$6:P$196,MATCH($C234,'Entrada de Dados'!$A$6:$A$196,0))</f>
        <v/>
      </c>
      <c r="T234" s="243">
        <f>INDEX('Entrada de Dados'!Q$6:Q$196,MATCH($C234,'Entrada de Dados'!$A$6:$A$196,0))</f>
        <v/>
      </c>
      <c r="U234" s="243">
        <f>INDEX('Entrada de Dados'!R$6:R$196,MATCH($C234,'Entrada de Dados'!$A$6:$A$196,0))</f>
        <v/>
      </c>
      <c r="V234" s="243">
        <f>INDEX('Entrada de Dados'!S$6:S$196,MATCH($C234,'Entrada de Dados'!$A$6:$A$196,0))</f>
        <v/>
      </c>
      <c r="W234" s="243">
        <f>INDEX('Entrada de Dados'!T$6:T$196,MATCH($C234,'Entrada de Dados'!$A$6:$A$196,0))</f>
        <v/>
      </c>
      <c r="X234" s="243">
        <f>INDEX('Entrada de Dados'!U$6:U$196,MATCH($C234,'Entrada de Dados'!$A$6:$A$196,0))</f>
        <v/>
      </c>
    </row>
    <row r="235" ht="22" customHeight="1" s="107">
      <c r="A235" s="248" t="inlineStr">
        <is>
          <t>Peso previsto:</t>
        </is>
      </c>
      <c r="C235" s="249">
        <f>SUM(F225:F234)+SUM(G225:G234)+SUM(H225:H234)+SUM(I225:I234)+SUM(J225:J234)+SUM(K225:K234)+SUM(L225:L234)+SUM(M225:M234)+SUM(N225:N234)+SUM(O225:O234)+SUM(P225:P234)+SUM(Q225:Q234)+SUM(R225:R234)+SUM(S225:S234)+SUM(T225:T234)+SUM(U225:U234)+SUM(W225:W234)+SUM(X225:X234)</f>
        <v/>
      </c>
      <c r="D235" s="248" t="inlineStr">
        <is>
          <t>Peso embarcado (kg):</t>
        </is>
      </c>
      <c r="F235" s="250" t="n"/>
      <c r="G235" s="248" t="inlineStr">
        <is>
          <t>Veículo:</t>
        </is>
      </c>
      <c r="I235" s="250" t="n"/>
      <c r="J235" s="251" t="n"/>
      <c r="K235" s="248" t="inlineStr">
        <is>
          <t>Motorista:</t>
        </is>
      </c>
      <c r="M235" s="250" t="n"/>
      <c r="N235" s="252" t="n"/>
      <c r="O235" s="252" t="n"/>
      <c r="P235" s="252" t="n"/>
      <c r="Q235" s="252" t="n"/>
      <c r="R235" s="252" t="n"/>
      <c r="S235" s="252" t="n"/>
      <c r="T235" s="252" t="n"/>
      <c r="U235" s="252" t="n"/>
      <c r="V235" s="252" t="n"/>
      <c r="W235" s="252" t="n"/>
      <c r="X235" s="251" t="n"/>
    </row>
    <row r="237" ht="20" customHeight="1" s="107">
      <c r="A237" s="236" t="inlineStr">
        <is>
          <t>ROTA T6 —  · KOMBI · 10 escolas · 10 paradas físicas</t>
        </is>
      </c>
    </row>
    <row r="238" ht="26" customHeight="1" s="107">
      <c r="A238" s="238" t="inlineStr">
        <is>
          <t>Sequência-base: Galpão Itaipava &gt; Independência &gt; Alto Independência &gt; São Sebastião &gt; Galpão   Atenção: Morro, ruas estreitas e pontos de manobra limitados. Confirmar acesso em campo antes da primeira entrega.</t>
        </is>
      </c>
    </row>
    <row r="239" ht="30" customHeight="1" s="107">
      <c r="A239" s="240" t="inlineStr">
        <is>
          <t>PAR.</t>
        </is>
      </c>
      <c r="B239" s="240" t="inlineStr">
        <is>
          <t>SUB</t>
        </is>
      </c>
      <c r="C239" s="240" t="inlineStr">
        <is>
          <t>CÓDIGO</t>
        </is>
      </c>
      <c r="D239" s="240" t="inlineStr">
        <is>
          <t>ESCOLA</t>
        </is>
      </c>
      <c r="E239" s="240" t="inlineStr">
        <is>
          <t>BAIRRO/CORREDOR</t>
        </is>
      </c>
      <c r="F239" s="240" t="inlineStr">
        <is>
          <t>Abacate</t>
        </is>
      </c>
      <c r="G239" s="240" t="inlineStr">
        <is>
          <t>Abobrinha</t>
        </is>
      </c>
      <c r="H239" s="240" t="inlineStr">
        <is>
          <t>Agrião</t>
        </is>
      </c>
      <c r="I239" s="240" t="inlineStr">
        <is>
          <t>Alface lisa</t>
        </is>
      </c>
      <c r="J239" s="240" t="inlineStr">
        <is>
          <t>Banana prata</t>
        </is>
      </c>
      <c r="K239" s="240" t="inlineStr">
        <is>
          <t>Batata inglesa</t>
        </is>
      </c>
      <c r="L239" s="240" t="inlineStr">
        <is>
          <t>Beterraba</t>
        </is>
      </c>
      <c r="M239" s="240" t="inlineStr">
        <is>
          <t>Brócolis</t>
        </is>
      </c>
      <c r="N239" s="240" t="inlineStr">
        <is>
          <t>Cenoura</t>
        </is>
      </c>
      <c r="O239" s="240" t="inlineStr">
        <is>
          <t>Cheiro verde</t>
        </is>
      </c>
      <c r="P239" s="240" t="inlineStr">
        <is>
          <t>Chuchu</t>
        </is>
      </c>
      <c r="Q239" s="240" t="inlineStr">
        <is>
          <t>Couve manteiga</t>
        </is>
      </c>
      <c r="R239" s="240" t="inlineStr">
        <is>
          <t>Couve-flor</t>
        </is>
      </c>
      <c r="S239" s="240" t="inlineStr">
        <is>
          <t>Espinafre</t>
        </is>
      </c>
      <c r="T239" s="240" t="inlineStr">
        <is>
          <t>Maçã gala</t>
        </is>
      </c>
      <c r="U239" s="240" t="inlineStr">
        <is>
          <t>Mel</t>
        </is>
      </c>
      <c r="V239" s="240" t="inlineStr">
        <is>
          <t>Ovos (dz)</t>
        </is>
      </c>
      <c r="W239" s="240" t="inlineStr">
        <is>
          <t>Repolho</t>
        </is>
      </c>
      <c r="X239" s="240" t="inlineStr">
        <is>
          <t>Tangerina ponkan</t>
        </is>
      </c>
    </row>
    <row r="240">
      <c r="A240" s="241" t="n">
        <v>1</v>
      </c>
      <c r="B240" s="241" t="inlineStr"/>
      <c r="C240" s="241" t="inlineStr">
        <is>
          <t>3040</t>
        </is>
      </c>
      <c r="D240" s="242">
        <f>HYPERLINK("#'CEI CÉLIA LÔBO PAULO'!A1","CEI CÉLIA LÔBO PAULO")</f>
        <v/>
      </c>
      <c r="E240" s="242" t="inlineStr">
        <is>
          <t>INDEPENDÊNCIA</t>
        </is>
      </c>
      <c r="F240" s="243">
        <f>INDEX('Entrada de Dados'!C$6:C$196,MATCH($C240,'Entrada de Dados'!$A$6:$A$196,0))</f>
        <v/>
      </c>
      <c r="G240" s="243">
        <f>INDEX('Entrada de Dados'!D$6:D$196,MATCH($C240,'Entrada de Dados'!$A$6:$A$196,0))</f>
        <v/>
      </c>
      <c r="H240" s="243">
        <f>INDEX('Entrada de Dados'!E$6:E$196,MATCH($C240,'Entrada de Dados'!$A$6:$A$196,0))</f>
        <v/>
      </c>
      <c r="I240" s="243">
        <f>INDEX('Entrada de Dados'!F$6:F$196,MATCH($C240,'Entrada de Dados'!$A$6:$A$196,0))</f>
        <v/>
      </c>
      <c r="J240" s="243">
        <f>INDEX('Entrada de Dados'!G$6:G$196,MATCH($C240,'Entrada de Dados'!$A$6:$A$196,0))</f>
        <v/>
      </c>
      <c r="K240" s="243">
        <f>INDEX('Entrada de Dados'!H$6:H$196,MATCH($C240,'Entrada de Dados'!$A$6:$A$196,0))</f>
        <v/>
      </c>
      <c r="L240" s="243">
        <f>INDEX('Entrada de Dados'!I$6:I$196,MATCH($C240,'Entrada de Dados'!$A$6:$A$196,0))</f>
        <v/>
      </c>
      <c r="M240" s="243">
        <f>INDEX('Entrada de Dados'!J$6:J$196,MATCH($C240,'Entrada de Dados'!$A$6:$A$196,0))</f>
        <v/>
      </c>
      <c r="N240" s="243">
        <f>INDEX('Entrada de Dados'!K$6:K$196,MATCH($C240,'Entrada de Dados'!$A$6:$A$196,0))</f>
        <v/>
      </c>
      <c r="O240" s="243">
        <f>INDEX('Entrada de Dados'!L$6:L$196,MATCH($C240,'Entrada de Dados'!$A$6:$A$196,0))</f>
        <v/>
      </c>
      <c r="P240" s="243">
        <f>INDEX('Entrada de Dados'!M$6:M$196,MATCH($C240,'Entrada de Dados'!$A$6:$A$196,0))</f>
        <v/>
      </c>
      <c r="Q240" s="243">
        <f>INDEX('Entrada de Dados'!N$6:N$196,MATCH($C240,'Entrada de Dados'!$A$6:$A$196,0))</f>
        <v/>
      </c>
      <c r="R240" s="243">
        <f>INDEX('Entrada de Dados'!O$6:O$196,MATCH($C240,'Entrada de Dados'!$A$6:$A$196,0))</f>
        <v/>
      </c>
      <c r="S240" s="243">
        <f>INDEX('Entrada de Dados'!P$6:P$196,MATCH($C240,'Entrada de Dados'!$A$6:$A$196,0))</f>
        <v/>
      </c>
      <c r="T240" s="243">
        <f>INDEX('Entrada de Dados'!Q$6:Q$196,MATCH($C240,'Entrada de Dados'!$A$6:$A$196,0))</f>
        <v/>
      </c>
      <c r="U240" s="243">
        <f>INDEX('Entrada de Dados'!R$6:R$196,MATCH($C240,'Entrada de Dados'!$A$6:$A$196,0))</f>
        <v/>
      </c>
      <c r="V240" s="243">
        <f>INDEX('Entrada de Dados'!S$6:S$196,MATCH($C240,'Entrada de Dados'!$A$6:$A$196,0))</f>
        <v/>
      </c>
      <c r="W240" s="243">
        <f>INDEX('Entrada de Dados'!T$6:T$196,MATCH($C240,'Entrada de Dados'!$A$6:$A$196,0))</f>
        <v/>
      </c>
      <c r="X240" s="243">
        <f>INDEX('Entrada de Dados'!U$6:U$196,MATCH($C240,'Entrada de Dados'!$A$6:$A$196,0))</f>
        <v/>
      </c>
    </row>
    <row r="241">
      <c r="A241" s="241" t="n">
        <v>2</v>
      </c>
      <c r="B241" s="241" t="inlineStr"/>
      <c r="C241" s="241" t="inlineStr">
        <is>
          <t>1089</t>
        </is>
      </c>
      <c r="D241" s="242">
        <f>HYPERLINK("#'E M PROFª MARIA DA GLÓRIA QUEIR'!A1","E M PROFª MARIA DA GLÓRIA QUEIROZ DE VASCONCELLOS")</f>
        <v/>
      </c>
      <c r="E241" s="242" t="inlineStr">
        <is>
          <t>INDEPENDÊNCIA</t>
        </is>
      </c>
      <c r="F241" s="243">
        <f>INDEX('Entrada de Dados'!C$6:C$196,MATCH($C241,'Entrada de Dados'!$A$6:$A$196,0))</f>
        <v/>
      </c>
      <c r="G241" s="243">
        <f>INDEX('Entrada de Dados'!D$6:D$196,MATCH($C241,'Entrada de Dados'!$A$6:$A$196,0))</f>
        <v/>
      </c>
      <c r="H241" s="243">
        <f>INDEX('Entrada de Dados'!E$6:E$196,MATCH($C241,'Entrada de Dados'!$A$6:$A$196,0))</f>
        <v/>
      </c>
      <c r="I241" s="243">
        <f>INDEX('Entrada de Dados'!F$6:F$196,MATCH($C241,'Entrada de Dados'!$A$6:$A$196,0))</f>
        <v/>
      </c>
      <c r="J241" s="243">
        <f>INDEX('Entrada de Dados'!G$6:G$196,MATCH($C241,'Entrada de Dados'!$A$6:$A$196,0))</f>
        <v/>
      </c>
      <c r="K241" s="243">
        <f>INDEX('Entrada de Dados'!H$6:H$196,MATCH($C241,'Entrada de Dados'!$A$6:$A$196,0))</f>
        <v/>
      </c>
      <c r="L241" s="243">
        <f>INDEX('Entrada de Dados'!I$6:I$196,MATCH($C241,'Entrada de Dados'!$A$6:$A$196,0))</f>
        <v/>
      </c>
      <c r="M241" s="243">
        <f>INDEX('Entrada de Dados'!J$6:J$196,MATCH($C241,'Entrada de Dados'!$A$6:$A$196,0))</f>
        <v/>
      </c>
      <c r="N241" s="243">
        <f>INDEX('Entrada de Dados'!K$6:K$196,MATCH($C241,'Entrada de Dados'!$A$6:$A$196,0))</f>
        <v/>
      </c>
      <c r="O241" s="243">
        <f>INDEX('Entrada de Dados'!L$6:L$196,MATCH($C241,'Entrada de Dados'!$A$6:$A$196,0))</f>
        <v/>
      </c>
      <c r="P241" s="243">
        <f>INDEX('Entrada de Dados'!M$6:M$196,MATCH($C241,'Entrada de Dados'!$A$6:$A$196,0))</f>
        <v/>
      </c>
      <c r="Q241" s="243">
        <f>INDEX('Entrada de Dados'!N$6:N$196,MATCH($C241,'Entrada de Dados'!$A$6:$A$196,0))</f>
        <v/>
      </c>
      <c r="R241" s="243">
        <f>INDEX('Entrada de Dados'!O$6:O$196,MATCH($C241,'Entrada de Dados'!$A$6:$A$196,0))</f>
        <v/>
      </c>
      <c r="S241" s="243">
        <f>INDEX('Entrada de Dados'!P$6:P$196,MATCH($C241,'Entrada de Dados'!$A$6:$A$196,0))</f>
        <v/>
      </c>
      <c r="T241" s="243">
        <f>INDEX('Entrada de Dados'!Q$6:Q$196,MATCH($C241,'Entrada de Dados'!$A$6:$A$196,0))</f>
        <v/>
      </c>
      <c r="U241" s="243">
        <f>INDEX('Entrada de Dados'!R$6:R$196,MATCH($C241,'Entrada de Dados'!$A$6:$A$196,0))</f>
        <v/>
      </c>
      <c r="V241" s="243">
        <f>INDEX('Entrada de Dados'!S$6:S$196,MATCH($C241,'Entrada de Dados'!$A$6:$A$196,0))</f>
        <v/>
      </c>
      <c r="W241" s="243">
        <f>INDEX('Entrada de Dados'!T$6:T$196,MATCH($C241,'Entrada de Dados'!$A$6:$A$196,0))</f>
        <v/>
      </c>
      <c r="X241" s="243">
        <f>INDEX('Entrada de Dados'!U$6:U$196,MATCH($C241,'Entrada de Dados'!$A$6:$A$196,0))</f>
        <v/>
      </c>
    </row>
    <row r="242">
      <c r="A242" s="241" t="n">
        <v>3</v>
      </c>
      <c r="B242" s="241" t="inlineStr"/>
      <c r="C242" s="241" t="inlineStr">
        <is>
          <t>3053</t>
        </is>
      </c>
      <c r="D242" s="242">
        <f>HYPERLINK("#'CEI PROFª DORA KILLER'!A1","CEI PROFª DORA KILLER")</f>
        <v/>
      </c>
      <c r="E242" s="242" t="inlineStr">
        <is>
          <t>INDEPENDÊNCIA</t>
        </is>
      </c>
      <c r="F242" s="243">
        <f>INDEX('Entrada de Dados'!C$6:C$196,MATCH($C242,'Entrada de Dados'!$A$6:$A$196,0))</f>
        <v/>
      </c>
      <c r="G242" s="243">
        <f>INDEX('Entrada de Dados'!D$6:D$196,MATCH($C242,'Entrada de Dados'!$A$6:$A$196,0))</f>
        <v/>
      </c>
      <c r="H242" s="243">
        <f>INDEX('Entrada de Dados'!E$6:E$196,MATCH($C242,'Entrada de Dados'!$A$6:$A$196,0))</f>
        <v/>
      </c>
      <c r="I242" s="243">
        <f>INDEX('Entrada de Dados'!F$6:F$196,MATCH($C242,'Entrada de Dados'!$A$6:$A$196,0))</f>
        <v/>
      </c>
      <c r="J242" s="243">
        <f>INDEX('Entrada de Dados'!G$6:G$196,MATCH($C242,'Entrada de Dados'!$A$6:$A$196,0))</f>
        <v/>
      </c>
      <c r="K242" s="243">
        <f>INDEX('Entrada de Dados'!H$6:H$196,MATCH($C242,'Entrada de Dados'!$A$6:$A$196,0))</f>
        <v/>
      </c>
      <c r="L242" s="243">
        <f>INDEX('Entrada de Dados'!I$6:I$196,MATCH($C242,'Entrada de Dados'!$A$6:$A$196,0))</f>
        <v/>
      </c>
      <c r="M242" s="243">
        <f>INDEX('Entrada de Dados'!J$6:J$196,MATCH($C242,'Entrada de Dados'!$A$6:$A$196,0))</f>
        <v/>
      </c>
      <c r="N242" s="243">
        <f>INDEX('Entrada de Dados'!K$6:K$196,MATCH($C242,'Entrada de Dados'!$A$6:$A$196,0))</f>
        <v/>
      </c>
      <c r="O242" s="243">
        <f>INDEX('Entrada de Dados'!L$6:L$196,MATCH($C242,'Entrada de Dados'!$A$6:$A$196,0))</f>
        <v/>
      </c>
      <c r="P242" s="243">
        <f>INDEX('Entrada de Dados'!M$6:M$196,MATCH($C242,'Entrada de Dados'!$A$6:$A$196,0))</f>
        <v/>
      </c>
      <c r="Q242" s="243">
        <f>INDEX('Entrada de Dados'!N$6:N$196,MATCH($C242,'Entrada de Dados'!$A$6:$A$196,0))</f>
        <v/>
      </c>
      <c r="R242" s="243">
        <f>INDEX('Entrada de Dados'!O$6:O$196,MATCH($C242,'Entrada de Dados'!$A$6:$A$196,0))</f>
        <v/>
      </c>
      <c r="S242" s="243">
        <f>INDEX('Entrada de Dados'!P$6:P$196,MATCH($C242,'Entrada de Dados'!$A$6:$A$196,0))</f>
        <v/>
      </c>
      <c r="T242" s="243">
        <f>INDEX('Entrada de Dados'!Q$6:Q$196,MATCH($C242,'Entrada de Dados'!$A$6:$A$196,0))</f>
        <v/>
      </c>
      <c r="U242" s="243">
        <f>INDEX('Entrada de Dados'!R$6:R$196,MATCH($C242,'Entrada de Dados'!$A$6:$A$196,0))</f>
        <v/>
      </c>
      <c r="V242" s="243">
        <f>INDEX('Entrada de Dados'!S$6:S$196,MATCH($C242,'Entrada de Dados'!$A$6:$A$196,0))</f>
        <v/>
      </c>
      <c r="W242" s="243">
        <f>INDEX('Entrada de Dados'!T$6:T$196,MATCH($C242,'Entrada de Dados'!$A$6:$A$196,0))</f>
        <v/>
      </c>
      <c r="X242" s="243">
        <f>INDEX('Entrada de Dados'!U$6:U$196,MATCH($C242,'Entrada de Dados'!$A$6:$A$196,0))</f>
        <v/>
      </c>
    </row>
    <row r="243">
      <c r="A243" s="241" t="n">
        <v>4</v>
      </c>
      <c r="B243" s="241" t="inlineStr"/>
      <c r="C243" s="241" t="inlineStr">
        <is>
          <t>3011</t>
        </is>
      </c>
      <c r="D243" s="242">
        <f>HYPERLINK("#'CEI ROMANO CANAVESE'!A1","CEI ROMANO CANAVESE")</f>
        <v/>
      </c>
      <c r="E243" s="242" t="inlineStr">
        <is>
          <t>INDEPENDÊNCIA</t>
        </is>
      </c>
      <c r="F243" s="243">
        <f>INDEX('Entrada de Dados'!C$6:C$196,MATCH($C243,'Entrada de Dados'!$A$6:$A$196,0))</f>
        <v/>
      </c>
      <c r="G243" s="243">
        <f>INDEX('Entrada de Dados'!D$6:D$196,MATCH($C243,'Entrada de Dados'!$A$6:$A$196,0))</f>
        <v/>
      </c>
      <c r="H243" s="243">
        <f>INDEX('Entrada de Dados'!E$6:E$196,MATCH($C243,'Entrada de Dados'!$A$6:$A$196,0))</f>
        <v/>
      </c>
      <c r="I243" s="243">
        <f>INDEX('Entrada de Dados'!F$6:F$196,MATCH($C243,'Entrada de Dados'!$A$6:$A$196,0))</f>
        <v/>
      </c>
      <c r="J243" s="243">
        <f>INDEX('Entrada de Dados'!G$6:G$196,MATCH($C243,'Entrada de Dados'!$A$6:$A$196,0))</f>
        <v/>
      </c>
      <c r="K243" s="243">
        <f>INDEX('Entrada de Dados'!H$6:H$196,MATCH($C243,'Entrada de Dados'!$A$6:$A$196,0))</f>
        <v/>
      </c>
      <c r="L243" s="243">
        <f>INDEX('Entrada de Dados'!I$6:I$196,MATCH($C243,'Entrada de Dados'!$A$6:$A$196,0))</f>
        <v/>
      </c>
      <c r="M243" s="243">
        <f>INDEX('Entrada de Dados'!J$6:J$196,MATCH($C243,'Entrada de Dados'!$A$6:$A$196,0))</f>
        <v/>
      </c>
      <c r="N243" s="243">
        <f>INDEX('Entrada de Dados'!K$6:K$196,MATCH($C243,'Entrada de Dados'!$A$6:$A$196,0))</f>
        <v/>
      </c>
      <c r="O243" s="243">
        <f>INDEX('Entrada de Dados'!L$6:L$196,MATCH($C243,'Entrada de Dados'!$A$6:$A$196,0))</f>
        <v/>
      </c>
      <c r="P243" s="243">
        <f>INDEX('Entrada de Dados'!M$6:M$196,MATCH($C243,'Entrada de Dados'!$A$6:$A$196,0))</f>
        <v/>
      </c>
      <c r="Q243" s="243">
        <f>INDEX('Entrada de Dados'!N$6:N$196,MATCH($C243,'Entrada de Dados'!$A$6:$A$196,0))</f>
        <v/>
      </c>
      <c r="R243" s="243">
        <f>INDEX('Entrada de Dados'!O$6:O$196,MATCH($C243,'Entrada de Dados'!$A$6:$A$196,0))</f>
        <v/>
      </c>
      <c r="S243" s="243">
        <f>INDEX('Entrada de Dados'!P$6:P$196,MATCH($C243,'Entrada de Dados'!$A$6:$A$196,0))</f>
        <v/>
      </c>
      <c r="T243" s="243">
        <f>INDEX('Entrada de Dados'!Q$6:Q$196,MATCH($C243,'Entrada de Dados'!$A$6:$A$196,0))</f>
        <v/>
      </c>
      <c r="U243" s="243">
        <f>INDEX('Entrada de Dados'!R$6:R$196,MATCH($C243,'Entrada de Dados'!$A$6:$A$196,0))</f>
        <v/>
      </c>
      <c r="V243" s="243">
        <f>INDEX('Entrada de Dados'!S$6:S$196,MATCH($C243,'Entrada de Dados'!$A$6:$A$196,0))</f>
        <v/>
      </c>
      <c r="W243" s="243">
        <f>INDEX('Entrada de Dados'!T$6:T$196,MATCH($C243,'Entrada de Dados'!$A$6:$A$196,0))</f>
        <v/>
      </c>
      <c r="X243" s="243">
        <f>INDEX('Entrada de Dados'!U$6:U$196,MATCH($C243,'Entrada de Dados'!$A$6:$A$196,0))</f>
        <v/>
      </c>
    </row>
    <row r="244">
      <c r="A244" s="241" t="n">
        <v>5</v>
      </c>
      <c r="B244" s="241" t="inlineStr"/>
      <c r="C244" s="241" t="inlineStr">
        <is>
          <t>4001</t>
        </is>
      </c>
      <c r="D244" s="242">
        <f>HYPERLINK("#'CEI ALTO INDEPENDÊNCIA'!A1","CEI ALTO INDEPENDÊNCIA")</f>
        <v/>
      </c>
      <c r="E244" s="242" t="inlineStr">
        <is>
          <t>INDEPENDÊNCIA</t>
        </is>
      </c>
      <c r="F244" s="243">
        <f>INDEX('Entrada de Dados'!C$6:C$196,MATCH($C244,'Entrada de Dados'!$A$6:$A$196,0))</f>
        <v/>
      </c>
      <c r="G244" s="243">
        <f>INDEX('Entrada de Dados'!D$6:D$196,MATCH($C244,'Entrada de Dados'!$A$6:$A$196,0))</f>
        <v/>
      </c>
      <c r="H244" s="243">
        <f>INDEX('Entrada de Dados'!E$6:E$196,MATCH($C244,'Entrada de Dados'!$A$6:$A$196,0))</f>
        <v/>
      </c>
      <c r="I244" s="243">
        <f>INDEX('Entrada de Dados'!F$6:F$196,MATCH($C244,'Entrada de Dados'!$A$6:$A$196,0))</f>
        <v/>
      </c>
      <c r="J244" s="243">
        <f>INDEX('Entrada de Dados'!G$6:G$196,MATCH($C244,'Entrada de Dados'!$A$6:$A$196,0))</f>
        <v/>
      </c>
      <c r="K244" s="243">
        <f>INDEX('Entrada de Dados'!H$6:H$196,MATCH($C244,'Entrada de Dados'!$A$6:$A$196,0))</f>
        <v/>
      </c>
      <c r="L244" s="243">
        <f>INDEX('Entrada de Dados'!I$6:I$196,MATCH($C244,'Entrada de Dados'!$A$6:$A$196,0))</f>
        <v/>
      </c>
      <c r="M244" s="243">
        <f>INDEX('Entrada de Dados'!J$6:J$196,MATCH($C244,'Entrada de Dados'!$A$6:$A$196,0))</f>
        <v/>
      </c>
      <c r="N244" s="243">
        <f>INDEX('Entrada de Dados'!K$6:K$196,MATCH($C244,'Entrada de Dados'!$A$6:$A$196,0))</f>
        <v/>
      </c>
      <c r="O244" s="243">
        <f>INDEX('Entrada de Dados'!L$6:L$196,MATCH($C244,'Entrada de Dados'!$A$6:$A$196,0))</f>
        <v/>
      </c>
      <c r="P244" s="243">
        <f>INDEX('Entrada de Dados'!M$6:M$196,MATCH($C244,'Entrada de Dados'!$A$6:$A$196,0))</f>
        <v/>
      </c>
      <c r="Q244" s="243">
        <f>INDEX('Entrada de Dados'!N$6:N$196,MATCH($C244,'Entrada de Dados'!$A$6:$A$196,0))</f>
        <v/>
      </c>
      <c r="R244" s="243">
        <f>INDEX('Entrada de Dados'!O$6:O$196,MATCH($C244,'Entrada de Dados'!$A$6:$A$196,0))</f>
        <v/>
      </c>
      <c r="S244" s="243">
        <f>INDEX('Entrada de Dados'!P$6:P$196,MATCH($C244,'Entrada de Dados'!$A$6:$A$196,0))</f>
        <v/>
      </c>
      <c r="T244" s="243">
        <f>INDEX('Entrada de Dados'!Q$6:Q$196,MATCH($C244,'Entrada de Dados'!$A$6:$A$196,0))</f>
        <v/>
      </c>
      <c r="U244" s="243">
        <f>INDEX('Entrada de Dados'!R$6:R$196,MATCH($C244,'Entrada de Dados'!$A$6:$A$196,0))</f>
        <v/>
      </c>
      <c r="V244" s="243">
        <f>INDEX('Entrada de Dados'!S$6:S$196,MATCH($C244,'Entrada de Dados'!$A$6:$A$196,0))</f>
        <v/>
      </c>
      <c r="W244" s="243">
        <f>INDEX('Entrada de Dados'!T$6:T$196,MATCH($C244,'Entrada de Dados'!$A$6:$A$196,0))</f>
        <v/>
      </c>
      <c r="X244" s="243">
        <f>INDEX('Entrada de Dados'!U$6:U$196,MATCH($C244,'Entrada de Dados'!$A$6:$A$196,0))</f>
        <v/>
      </c>
    </row>
    <row r="245">
      <c r="A245" s="241" t="n">
        <v>6</v>
      </c>
      <c r="B245" s="241" t="inlineStr"/>
      <c r="C245" s="241" t="inlineStr">
        <is>
          <t>2002</t>
        </is>
      </c>
      <c r="D245" s="242">
        <f>HYPERLINK("#'CENTRO EDUCACIONAL COMUNIDADE S'!A1","CENTRO EDUCACIONAL COMUNIDADE SÃO JORGE")</f>
        <v/>
      </c>
      <c r="E245" s="242" t="inlineStr">
        <is>
          <t>INDEPENDÊNCIA</t>
        </is>
      </c>
      <c r="F245" s="243">
        <f>INDEX('Entrada de Dados'!C$6:C$196,MATCH($C245,'Entrada de Dados'!$A$6:$A$196,0))</f>
        <v/>
      </c>
      <c r="G245" s="243">
        <f>INDEX('Entrada de Dados'!D$6:D$196,MATCH($C245,'Entrada de Dados'!$A$6:$A$196,0))</f>
        <v/>
      </c>
      <c r="H245" s="243">
        <f>INDEX('Entrada de Dados'!E$6:E$196,MATCH($C245,'Entrada de Dados'!$A$6:$A$196,0))</f>
        <v/>
      </c>
      <c r="I245" s="243">
        <f>INDEX('Entrada de Dados'!F$6:F$196,MATCH($C245,'Entrada de Dados'!$A$6:$A$196,0))</f>
        <v/>
      </c>
      <c r="J245" s="243">
        <f>INDEX('Entrada de Dados'!G$6:G$196,MATCH($C245,'Entrada de Dados'!$A$6:$A$196,0))</f>
        <v/>
      </c>
      <c r="K245" s="243">
        <f>INDEX('Entrada de Dados'!H$6:H$196,MATCH($C245,'Entrada de Dados'!$A$6:$A$196,0))</f>
        <v/>
      </c>
      <c r="L245" s="243">
        <f>INDEX('Entrada de Dados'!I$6:I$196,MATCH($C245,'Entrada de Dados'!$A$6:$A$196,0))</f>
        <v/>
      </c>
      <c r="M245" s="243">
        <f>INDEX('Entrada de Dados'!J$6:J$196,MATCH($C245,'Entrada de Dados'!$A$6:$A$196,0))</f>
        <v/>
      </c>
      <c r="N245" s="243">
        <f>INDEX('Entrada de Dados'!K$6:K$196,MATCH($C245,'Entrada de Dados'!$A$6:$A$196,0))</f>
        <v/>
      </c>
      <c r="O245" s="243">
        <f>INDEX('Entrada de Dados'!L$6:L$196,MATCH($C245,'Entrada de Dados'!$A$6:$A$196,0))</f>
        <v/>
      </c>
      <c r="P245" s="243">
        <f>INDEX('Entrada de Dados'!M$6:M$196,MATCH($C245,'Entrada de Dados'!$A$6:$A$196,0))</f>
        <v/>
      </c>
      <c r="Q245" s="243">
        <f>INDEX('Entrada de Dados'!N$6:N$196,MATCH($C245,'Entrada de Dados'!$A$6:$A$196,0))</f>
        <v/>
      </c>
      <c r="R245" s="243">
        <f>INDEX('Entrada de Dados'!O$6:O$196,MATCH($C245,'Entrada de Dados'!$A$6:$A$196,0))</f>
        <v/>
      </c>
      <c r="S245" s="243">
        <f>INDEX('Entrada de Dados'!P$6:P$196,MATCH($C245,'Entrada de Dados'!$A$6:$A$196,0))</f>
        <v/>
      </c>
      <c r="T245" s="243">
        <f>INDEX('Entrada de Dados'!Q$6:Q$196,MATCH($C245,'Entrada de Dados'!$A$6:$A$196,0))</f>
        <v/>
      </c>
      <c r="U245" s="243">
        <f>INDEX('Entrada de Dados'!R$6:R$196,MATCH($C245,'Entrada de Dados'!$A$6:$A$196,0))</f>
        <v/>
      </c>
      <c r="V245" s="243">
        <f>INDEX('Entrada de Dados'!S$6:S$196,MATCH($C245,'Entrada de Dados'!$A$6:$A$196,0))</f>
        <v/>
      </c>
      <c r="W245" s="243">
        <f>INDEX('Entrada de Dados'!T$6:T$196,MATCH($C245,'Entrada de Dados'!$A$6:$A$196,0))</f>
        <v/>
      </c>
      <c r="X245" s="243">
        <f>INDEX('Entrada de Dados'!U$6:U$196,MATCH($C245,'Entrada de Dados'!$A$6:$A$196,0))</f>
        <v/>
      </c>
    </row>
    <row r="246">
      <c r="A246" s="241" t="n">
        <v>7</v>
      </c>
      <c r="B246" s="241" t="inlineStr"/>
      <c r="C246" s="241" t="inlineStr">
        <is>
          <t>1084</t>
        </is>
      </c>
      <c r="D246" s="242">
        <f>HYPERLINK("#'ESCOLA MUNICIPAL ALTO INDEPENDÊ'!A1","ESCOLA MUNICIPAL ALTO INDEPENDÊNCIA")</f>
        <v/>
      </c>
      <c r="E246" s="242" t="inlineStr">
        <is>
          <t>ALTO INDEPENDÊNCIA</t>
        </is>
      </c>
      <c r="F246" s="243">
        <f>INDEX('Entrada de Dados'!C$6:C$196,MATCH($C246,'Entrada de Dados'!$A$6:$A$196,0))</f>
        <v/>
      </c>
      <c r="G246" s="243">
        <f>INDEX('Entrada de Dados'!D$6:D$196,MATCH($C246,'Entrada de Dados'!$A$6:$A$196,0))</f>
        <v/>
      </c>
      <c r="H246" s="243">
        <f>INDEX('Entrada de Dados'!E$6:E$196,MATCH($C246,'Entrada de Dados'!$A$6:$A$196,0))</f>
        <v/>
      </c>
      <c r="I246" s="243">
        <f>INDEX('Entrada de Dados'!F$6:F$196,MATCH($C246,'Entrada de Dados'!$A$6:$A$196,0))</f>
        <v/>
      </c>
      <c r="J246" s="243">
        <f>INDEX('Entrada de Dados'!G$6:G$196,MATCH($C246,'Entrada de Dados'!$A$6:$A$196,0))</f>
        <v/>
      </c>
      <c r="K246" s="243">
        <f>INDEX('Entrada de Dados'!H$6:H$196,MATCH($C246,'Entrada de Dados'!$A$6:$A$196,0))</f>
        <v/>
      </c>
      <c r="L246" s="243">
        <f>INDEX('Entrada de Dados'!I$6:I$196,MATCH($C246,'Entrada de Dados'!$A$6:$A$196,0))</f>
        <v/>
      </c>
      <c r="M246" s="243">
        <f>INDEX('Entrada de Dados'!J$6:J$196,MATCH($C246,'Entrada de Dados'!$A$6:$A$196,0))</f>
        <v/>
      </c>
      <c r="N246" s="243">
        <f>INDEX('Entrada de Dados'!K$6:K$196,MATCH($C246,'Entrada de Dados'!$A$6:$A$196,0))</f>
        <v/>
      </c>
      <c r="O246" s="243">
        <f>INDEX('Entrada de Dados'!L$6:L$196,MATCH($C246,'Entrada de Dados'!$A$6:$A$196,0))</f>
        <v/>
      </c>
      <c r="P246" s="243">
        <f>INDEX('Entrada de Dados'!M$6:M$196,MATCH($C246,'Entrada de Dados'!$A$6:$A$196,0))</f>
        <v/>
      </c>
      <c r="Q246" s="243">
        <f>INDEX('Entrada de Dados'!N$6:N$196,MATCH($C246,'Entrada de Dados'!$A$6:$A$196,0))</f>
        <v/>
      </c>
      <c r="R246" s="243">
        <f>INDEX('Entrada de Dados'!O$6:O$196,MATCH($C246,'Entrada de Dados'!$A$6:$A$196,0))</f>
        <v/>
      </c>
      <c r="S246" s="243">
        <f>INDEX('Entrada de Dados'!P$6:P$196,MATCH($C246,'Entrada de Dados'!$A$6:$A$196,0))</f>
        <v/>
      </c>
      <c r="T246" s="243">
        <f>INDEX('Entrada de Dados'!Q$6:Q$196,MATCH($C246,'Entrada de Dados'!$A$6:$A$196,0))</f>
        <v/>
      </c>
      <c r="U246" s="243">
        <f>INDEX('Entrada de Dados'!R$6:R$196,MATCH($C246,'Entrada de Dados'!$A$6:$A$196,0))</f>
        <v/>
      </c>
      <c r="V246" s="243">
        <f>INDEX('Entrada de Dados'!S$6:S$196,MATCH($C246,'Entrada de Dados'!$A$6:$A$196,0))</f>
        <v/>
      </c>
      <c r="W246" s="243">
        <f>INDEX('Entrada de Dados'!T$6:T$196,MATCH($C246,'Entrada de Dados'!$A$6:$A$196,0))</f>
        <v/>
      </c>
      <c r="X246" s="243">
        <f>INDEX('Entrada de Dados'!U$6:U$196,MATCH($C246,'Entrada de Dados'!$A$6:$A$196,0))</f>
        <v/>
      </c>
    </row>
    <row r="247">
      <c r="A247" s="241" t="n">
        <v>8</v>
      </c>
      <c r="B247" s="241" t="inlineStr"/>
      <c r="C247" s="241" t="inlineStr">
        <is>
          <t>3065</t>
        </is>
      </c>
      <c r="D247" s="242">
        <f>HYPERLINK("#'CEI PROFª HERMÍNIA MATHEUS'!A1","CEI PROFª HERMÍNIA MATHEUS")</f>
        <v/>
      </c>
      <c r="E247" s="242" t="inlineStr">
        <is>
          <t>SÃO SEBASTIÃO</t>
        </is>
      </c>
      <c r="F247" s="243">
        <f>INDEX('Entrada de Dados'!C$6:C$196,MATCH($C247,'Entrada de Dados'!$A$6:$A$196,0))</f>
        <v/>
      </c>
      <c r="G247" s="243">
        <f>INDEX('Entrada de Dados'!D$6:D$196,MATCH($C247,'Entrada de Dados'!$A$6:$A$196,0))</f>
        <v/>
      </c>
      <c r="H247" s="243">
        <f>INDEX('Entrada de Dados'!E$6:E$196,MATCH($C247,'Entrada de Dados'!$A$6:$A$196,0))</f>
        <v/>
      </c>
      <c r="I247" s="243">
        <f>INDEX('Entrada de Dados'!F$6:F$196,MATCH($C247,'Entrada de Dados'!$A$6:$A$196,0))</f>
        <v/>
      </c>
      <c r="J247" s="243">
        <f>INDEX('Entrada de Dados'!G$6:G$196,MATCH($C247,'Entrada de Dados'!$A$6:$A$196,0))</f>
        <v/>
      </c>
      <c r="K247" s="243">
        <f>INDEX('Entrada de Dados'!H$6:H$196,MATCH($C247,'Entrada de Dados'!$A$6:$A$196,0))</f>
        <v/>
      </c>
      <c r="L247" s="243">
        <f>INDEX('Entrada de Dados'!I$6:I$196,MATCH($C247,'Entrada de Dados'!$A$6:$A$196,0))</f>
        <v/>
      </c>
      <c r="M247" s="243">
        <f>INDEX('Entrada de Dados'!J$6:J$196,MATCH($C247,'Entrada de Dados'!$A$6:$A$196,0))</f>
        <v/>
      </c>
      <c r="N247" s="243">
        <f>INDEX('Entrada de Dados'!K$6:K$196,MATCH($C247,'Entrada de Dados'!$A$6:$A$196,0))</f>
        <v/>
      </c>
      <c r="O247" s="243">
        <f>INDEX('Entrada de Dados'!L$6:L$196,MATCH($C247,'Entrada de Dados'!$A$6:$A$196,0))</f>
        <v/>
      </c>
      <c r="P247" s="243">
        <f>INDEX('Entrada de Dados'!M$6:M$196,MATCH($C247,'Entrada de Dados'!$A$6:$A$196,0))</f>
        <v/>
      </c>
      <c r="Q247" s="243">
        <f>INDEX('Entrada de Dados'!N$6:N$196,MATCH($C247,'Entrada de Dados'!$A$6:$A$196,0))</f>
        <v/>
      </c>
      <c r="R247" s="243">
        <f>INDEX('Entrada de Dados'!O$6:O$196,MATCH($C247,'Entrada de Dados'!$A$6:$A$196,0))</f>
        <v/>
      </c>
      <c r="S247" s="243">
        <f>INDEX('Entrada de Dados'!P$6:P$196,MATCH($C247,'Entrada de Dados'!$A$6:$A$196,0))</f>
        <v/>
      </c>
      <c r="T247" s="243">
        <f>INDEX('Entrada de Dados'!Q$6:Q$196,MATCH($C247,'Entrada de Dados'!$A$6:$A$196,0))</f>
        <v/>
      </c>
      <c r="U247" s="243">
        <f>INDEX('Entrada de Dados'!R$6:R$196,MATCH($C247,'Entrada de Dados'!$A$6:$A$196,0))</f>
        <v/>
      </c>
      <c r="V247" s="243">
        <f>INDEX('Entrada de Dados'!S$6:S$196,MATCH($C247,'Entrada de Dados'!$A$6:$A$196,0))</f>
        <v/>
      </c>
      <c r="W247" s="243">
        <f>INDEX('Entrada de Dados'!T$6:T$196,MATCH($C247,'Entrada de Dados'!$A$6:$A$196,0))</f>
        <v/>
      </c>
      <c r="X247" s="243">
        <f>INDEX('Entrada de Dados'!U$6:U$196,MATCH($C247,'Entrada de Dados'!$A$6:$A$196,0))</f>
        <v/>
      </c>
    </row>
    <row r="248">
      <c r="A248" s="241" t="n">
        <v>9</v>
      </c>
      <c r="B248" s="241" t="inlineStr"/>
      <c r="C248" s="241" t="inlineStr">
        <is>
          <t>3034</t>
        </is>
      </c>
      <c r="D248" s="242">
        <f>HYPERLINK("#'CEI ANDRÉ REBOUÇAS'!A1","CEI ANDRÉ REBOUÇAS")</f>
        <v/>
      </c>
      <c r="E248" s="242" t="inlineStr">
        <is>
          <t>SÃO SEBASTIÃO</t>
        </is>
      </c>
      <c r="F248" s="243">
        <f>INDEX('Entrada de Dados'!C$6:C$196,MATCH($C248,'Entrada de Dados'!$A$6:$A$196,0))</f>
        <v/>
      </c>
      <c r="G248" s="243">
        <f>INDEX('Entrada de Dados'!D$6:D$196,MATCH($C248,'Entrada de Dados'!$A$6:$A$196,0))</f>
        <v/>
      </c>
      <c r="H248" s="243">
        <f>INDEX('Entrada de Dados'!E$6:E$196,MATCH($C248,'Entrada de Dados'!$A$6:$A$196,0))</f>
        <v/>
      </c>
      <c r="I248" s="243">
        <f>INDEX('Entrada de Dados'!F$6:F$196,MATCH($C248,'Entrada de Dados'!$A$6:$A$196,0))</f>
        <v/>
      </c>
      <c r="J248" s="243">
        <f>INDEX('Entrada de Dados'!G$6:G$196,MATCH($C248,'Entrada de Dados'!$A$6:$A$196,0))</f>
        <v/>
      </c>
      <c r="K248" s="243">
        <f>INDEX('Entrada de Dados'!H$6:H$196,MATCH($C248,'Entrada de Dados'!$A$6:$A$196,0))</f>
        <v/>
      </c>
      <c r="L248" s="243">
        <f>INDEX('Entrada de Dados'!I$6:I$196,MATCH($C248,'Entrada de Dados'!$A$6:$A$196,0))</f>
        <v/>
      </c>
      <c r="M248" s="243">
        <f>INDEX('Entrada de Dados'!J$6:J$196,MATCH($C248,'Entrada de Dados'!$A$6:$A$196,0))</f>
        <v/>
      </c>
      <c r="N248" s="243">
        <f>INDEX('Entrada de Dados'!K$6:K$196,MATCH($C248,'Entrada de Dados'!$A$6:$A$196,0))</f>
        <v/>
      </c>
      <c r="O248" s="243">
        <f>INDEX('Entrada de Dados'!L$6:L$196,MATCH($C248,'Entrada de Dados'!$A$6:$A$196,0))</f>
        <v/>
      </c>
      <c r="P248" s="243">
        <f>INDEX('Entrada de Dados'!M$6:M$196,MATCH($C248,'Entrada de Dados'!$A$6:$A$196,0))</f>
        <v/>
      </c>
      <c r="Q248" s="243">
        <f>INDEX('Entrada de Dados'!N$6:N$196,MATCH($C248,'Entrada de Dados'!$A$6:$A$196,0))</f>
        <v/>
      </c>
      <c r="R248" s="243">
        <f>INDEX('Entrada de Dados'!O$6:O$196,MATCH($C248,'Entrada de Dados'!$A$6:$A$196,0))</f>
        <v/>
      </c>
      <c r="S248" s="243">
        <f>INDEX('Entrada de Dados'!P$6:P$196,MATCH($C248,'Entrada de Dados'!$A$6:$A$196,0))</f>
        <v/>
      </c>
      <c r="T248" s="243">
        <f>INDEX('Entrada de Dados'!Q$6:Q$196,MATCH($C248,'Entrada de Dados'!$A$6:$A$196,0))</f>
        <v/>
      </c>
      <c r="U248" s="243">
        <f>INDEX('Entrada de Dados'!R$6:R$196,MATCH($C248,'Entrada de Dados'!$A$6:$A$196,0))</f>
        <v/>
      </c>
      <c r="V248" s="243">
        <f>INDEX('Entrada de Dados'!S$6:S$196,MATCH($C248,'Entrada de Dados'!$A$6:$A$196,0))</f>
        <v/>
      </c>
      <c r="W248" s="243">
        <f>INDEX('Entrada de Dados'!T$6:T$196,MATCH($C248,'Entrada de Dados'!$A$6:$A$196,0))</f>
        <v/>
      </c>
      <c r="X248" s="243">
        <f>INDEX('Entrada de Dados'!U$6:U$196,MATCH($C248,'Entrada de Dados'!$A$6:$A$196,0))</f>
        <v/>
      </c>
    </row>
    <row r="249">
      <c r="A249" s="241" t="n">
        <v>10</v>
      </c>
      <c r="B249" s="241" t="inlineStr"/>
      <c r="C249" s="241" t="inlineStr">
        <is>
          <t>1103</t>
        </is>
      </c>
      <c r="D249" s="242">
        <f>HYPERLINK("#'E M PAPA JOÃO PAULO II'!A1","E M PAPA JOÃO PAULO II")</f>
        <v/>
      </c>
      <c r="E249" s="242" t="inlineStr">
        <is>
          <t>SÃO SEBASTIÃO</t>
        </is>
      </c>
      <c r="F249" s="243">
        <f>INDEX('Entrada de Dados'!C$6:C$196,MATCH($C249,'Entrada de Dados'!$A$6:$A$196,0))</f>
        <v/>
      </c>
      <c r="G249" s="243">
        <f>INDEX('Entrada de Dados'!D$6:D$196,MATCH($C249,'Entrada de Dados'!$A$6:$A$196,0))</f>
        <v/>
      </c>
      <c r="H249" s="243">
        <f>INDEX('Entrada de Dados'!E$6:E$196,MATCH($C249,'Entrada de Dados'!$A$6:$A$196,0))</f>
        <v/>
      </c>
      <c r="I249" s="243">
        <f>INDEX('Entrada de Dados'!F$6:F$196,MATCH($C249,'Entrada de Dados'!$A$6:$A$196,0))</f>
        <v/>
      </c>
      <c r="J249" s="243">
        <f>INDEX('Entrada de Dados'!G$6:G$196,MATCH($C249,'Entrada de Dados'!$A$6:$A$196,0))</f>
        <v/>
      </c>
      <c r="K249" s="243">
        <f>INDEX('Entrada de Dados'!H$6:H$196,MATCH($C249,'Entrada de Dados'!$A$6:$A$196,0))</f>
        <v/>
      </c>
      <c r="L249" s="243">
        <f>INDEX('Entrada de Dados'!I$6:I$196,MATCH($C249,'Entrada de Dados'!$A$6:$A$196,0))</f>
        <v/>
      </c>
      <c r="M249" s="243">
        <f>INDEX('Entrada de Dados'!J$6:J$196,MATCH($C249,'Entrada de Dados'!$A$6:$A$196,0))</f>
        <v/>
      </c>
      <c r="N249" s="243">
        <f>INDEX('Entrada de Dados'!K$6:K$196,MATCH($C249,'Entrada de Dados'!$A$6:$A$196,0))</f>
        <v/>
      </c>
      <c r="O249" s="243">
        <f>INDEX('Entrada de Dados'!L$6:L$196,MATCH($C249,'Entrada de Dados'!$A$6:$A$196,0))</f>
        <v/>
      </c>
      <c r="P249" s="243">
        <f>INDEX('Entrada de Dados'!M$6:M$196,MATCH($C249,'Entrada de Dados'!$A$6:$A$196,0))</f>
        <v/>
      </c>
      <c r="Q249" s="243">
        <f>INDEX('Entrada de Dados'!N$6:N$196,MATCH($C249,'Entrada de Dados'!$A$6:$A$196,0))</f>
        <v/>
      </c>
      <c r="R249" s="243">
        <f>INDEX('Entrada de Dados'!O$6:O$196,MATCH($C249,'Entrada de Dados'!$A$6:$A$196,0))</f>
        <v/>
      </c>
      <c r="S249" s="243">
        <f>INDEX('Entrada de Dados'!P$6:P$196,MATCH($C249,'Entrada de Dados'!$A$6:$A$196,0))</f>
        <v/>
      </c>
      <c r="T249" s="243">
        <f>INDEX('Entrada de Dados'!Q$6:Q$196,MATCH($C249,'Entrada de Dados'!$A$6:$A$196,0))</f>
        <v/>
      </c>
      <c r="U249" s="243">
        <f>INDEX('Entrada de Dados'!R$6:R$196,MATCH($C249,'Entrada de Dados'!$A$6:$A$196,0))</f>
        <v/>
      </c>
      <c r="V249" s="243">
        <f>INDEX('Entrada de Dados'!S$6:S$196,MATCH($C249,'Entrada de Dados'!$A$6:$A$196,0))</f>
        <v/>
      </c>
      <c r="W249" s="243">
        <f>INDEX('Entrada de Dados'!T$6:T$196,MATCH($C249,'Entrada de Dados'!$A$6:$A$196,0))</f>
        <v/>
      </c>
      <c r="X249" s="243">
        <f>INDEX('Entrada de Dados'!U$6:U$196,MATCH($C249,'Entrada de Dados'!$A$6:$A$196,0))</f>
        <v/>
      </c>
    </row>
    <row r="250" ht="22" customHeight="1" s="107">
      <c r="A250" s="248" t="inlineStr">
        <is>
          <t>Peso previsto:</t>
        </is>
      </c>
      <c r="C250" s="249">
        <f>SUM(F240:F249)+SUM(G240:G249)+SUM(H240:H249)+SUM(I240:I249)+SUM(J240:J249)+SUM(K240:K249)+SUM(L240:L249)+SUM(M240:M249)+SUM(N240:N249)+SUM(O240:O249)+SUM(P240:P249)+SUM(Q240:Q249)+SUM(R240:R249)+SUM(S240:S249)+SUM(T240:T249)+SUM(U240:U249)+SUM(W240:W249)+SUM(X240:X249)</f>
        <v/>
      </c>
      <c r="D250" s="248" t="inlineStr">
        <is>
          <t>Peso embarcado (kg):</t>
        </is>
      </c>
      <c r="F250" s="250" t="n"/>
      <c r="G250" s="248" t="inlineStr">
        <is>
          <t>Veículo:</t>
        </is>
      </c>
      <c r="I250" s="250" t="n"/>
      <c r="J250" s="251" t="n"/>
      <c r="K250" s="248" t="inlineStr">
        <is>
          <t>Motorista:</t>
        </is>
      </c>
      <c r="M250" s="250" t="n"/>
      <c r="N250" s="252" t="n"/>
      <c r="O250" s="252" t="n"/>
      <c r="P250" s="252" t="n"/>
      <c r="Q250" s="252" t="n"/>
      <c r="R250" s="252" t="n"/>
      <c r="S250" s="252" t="n"/>
      <c r="T250" s="252" t="n"/>
      <c r="U250" s="252" t="n"/>
      <c r="V250" s="252" t="n"/>
      <c r="W250" s="252" t="n"/>
      <c r="X250" s="251" t="n"/>
    </row>
    <row r="252" ht="20" customHeight="1" s="107">
      <c r="A252" s="236" t="inlineStr">
        <is>
          <t>ROTA T7 — RETIRO - CAXAMBU - QUARTEIRÃO BRASILEIRO · KOMBI · 12 escolas · 11 paradas físicas</t>
        </is>
      </c>
    </row>
    <row r="253" ht="26" customHeight="1" s="107">
      <c r="A253" s="238" t="inlineStr">
        <is>
          <t>Sequência-base: Galpão Itaipava &gt; Retiro &gt; Caxambu &gt; Quarteirão Brasileiro &gt; Galpão   Atenção: Corredor de vias locais. Flávio Cavalcanti é uma parada compartilhada por duas escolas.</t>
        </is>
      </c>
    </row>
    <row r="254" ht="30" customHeight="1" s="107">
      <c r="A254" s="240" t="inlineStr">
        <is>
          <t>PAR.</t>
        </is>
      </c>
      <c r="B254" s="240" t="inlineStr">
        <is>
          <t>SUB</t>
        </is>
      </c>
      <c r="C254" s="240" t="inlineStr">
        <is>
          <t>CÓDIGO</t>
        </is>
      </c>
      <c r="D254" s="240" t="inlineStr">
        <is>
          <t>ESCOLA</t>
        </is>
      </c>
      <c r="E254" s="240" t="inlineStr">
        <is>
          <t>BAIRRO/CORREDOR</t>
        </is>
      </c>
      <c r="F254" s="240" t="inlineStr">
        <is>
          <t>Abacate</t>
        </is>
      </c>
      <c r="G254" s="240" t="inlineStr">
        <is>
          <t>Abobrinha</t>
        </is>
      </c>
      <c r="H254" s="240" t="inlineStr">
        <is>
          <t>Agrião</t>
        </is>
      </c>
      <c r="I254" s="240" t="inlineStr">
        <is>
          <t>Alface lisa</t>
        </is>
      </c>
      <c r="J254" s="240" t="inlineStr">
        <is>
          <t>Banana prata</t>
        </is>
      </c>
      <c r="K254" s="240" t="inlineStr">
        <is>
          <t>Batata inglesa</t>
        </is>
      </c>
      <c r="L254" s="240" t="inlineStr">
        <is>
          <t>Beterraba</t>
        </is>
      </c>
      <c r="M254" s="240" t="inlineStr">
        <is>
          <t>Brócolis</t>
        </is>
      </c>
      <c r="N254" s="240" t="inlineStr">
        <is>
          <t>Cenoura</t>
        </is>
      </c>
      <c r="O254" s="240" t="inlineStr">
        <is>
          <t>Cheiro verde</t>
        </is>
      </c>
      <c r="P254" s="240" t="inlineStr">
        <is>
          <t>Chuchu</t>
        </is>
      </c>
      <c r="Q254" s="240" t="inlineStr">
        <is>
          <t>Couve manteiga</t>
        </is>
      </c>
      <c r="R254" s="240" t="inlineStr">
        <is>
          <t>Couve-flor</t>
        </is>
      </c>
      <c r="S254" s="240" t="inlineStr">
        <is>
          <t>Espinafre</t>
        </is>
      </c>
      <c r="T254" s="240" t="inlineStr">
        <is>
          <t>Maçã gala</t>
        </is>
      </c>
      <c r="U254" s="240" t="inlineStr">
        <is>
          <t>Mel</t>
        </is>
      </c>
      <c r="V254" s="240" t="inlineStr">
        <is>
          <t>Ovos (dz)</t>
        </is>
      </c>
      <c r="W254" s="240" t="inlineStr">
        <is>
          <t>Repolho</t>
        </is>
      </c>
      <c r="X254" s="240" t="inlineStr">
        <is>
          <t>Tangerina ponkan</t>
        </is>
      </c>
    </row>
    <row r="255">
      <c r="A255" s="241" t="n">
        <v>1</v>
      </c>
      <c r="B255" s="241" t="inlineStr"/>
      <c r="C255" s="241" t="inlineStr">
        <is>
          <t>3024</t>
        </is>
      </c>
      <c r="D255" s="242">
        <f>HYPERLINK("#'CENTRO PAROQUIAL DE EDUCAÇÃO IN'!A1","CENTRO PAROQUIAL DE EDUCAÇÃO INFANTIL NOSSA SENHORA APARECIDA")</f>
        <v/>
      </c>
      <c r="E255" s="242" t="inlineStr">
        <is>
          <t>RETIRO</t>
        </is>
      </c>
      <c r="F255" s="243">
        <f>INDEX('Entrada de Dados'!C$6:C$196,MATCH($C255,'Entrada de Dados'!$A$6:$A$196,0))</f>
        <v/>
      </c>
      <c r="G255" s="243">
        <f>INDEX('Entrada de Dados'!D$6:D$196,MATCH($C255,'Entrada de Dados'!$A$6:$A$196,0))</f>
        <v/>
      </c>
      <c r="H255" s="243">
        <f>INDEX('Entrada de Dados'!E$6:E$196,MATCH($C255,'Entrada de Dados'!$A$6:$A$196,0))</f>
        <v/>
      </c>
      <c r="I255" s="243">
        <f>INDEX('Entrada de Dados'!F$6:F$196,MATCH($C255,'Entrada de Dados'!$A$6:$A$196,0))</f>
        <v/>
      </c>
      <c r="J255" s="243">
        <f>INDEX('Entrada de Dados'!G$6:G$196,MATCH($C255,'Entrada de Dados'!$A$6:$A$196,0))</f>
        <v/>
      </c>
      <c r="K255" s="243">
        <f>INDEX('Entrada de Dados'!H$6:H$196,MATCH($C255,'Entrada de Dados'!$A$6:$A$196,0))</f>
        <v/>
      </c>
      <c r="L255" s="243">
        <f>INDEX('Entrada de Dados'!I$6:I$196,MATCH($C255,'Entrada de Dados'!$A$6:$A$196,0))</f>
        <v/>
      </c>
      <c r="M255" s="243">
        <f>INDEX('Entrada de Dados'!J$6:J$196,MATCH($C255,'Entrada de Dados'!$A$6:$A$196,0))</f>
        <v/>
      </c>
      <c r="N255" s="243">
        <f>INDEX('Entrada de Dados'!K$6:K$196,MATCH($C255,'Entrada de Dados'!$A$6:$A$196,0))</f>
        <v/>
      </c>
      <c r="O255" s="243">
        <f>INDEX('Entrada de Dados'!L$6:L$196,MATCH($C255,'Entrada de Dados'!$A$6:$A$196,0))</f>
        <v/>
      </c>
      <c r="P255" s="243">
        <f>INDEX('Entrada de Dados'!M$6:M$196,MATCH($C255,'Entrada de Dados'!$A$6:$A$196,0))</f>
        <v/>
      </c>
      <c r="Q255" s="243">
        <f>INDEX('Entrada de Dados'!N$6:N$196,MATCH($C255,'Entrada de Dados'!$A$6:$A$196,0))</f>
        <v/>
      </c>
      <c r="R255" s="243">
        <f>INDEX('Entrada de Dados'!O$6:O$196,MATCH($C255,'Entrada de Dados'!$A$6:$A$196,0))</f>
        <v/>
      </c>
      <c r="S255" s="243">
        <f>INDEX('Entrada de Dados'!P$6:P$196,MATCH($C255,'Entrada de Dados'!$A$6:$A$196,0))</f>
        <v/>
      </c>
      <c r="T255" s="243">
        <f>INDEX('Entrada de Dados'!Q$6:Q$196,MATCH($C255,'Entrada de Dados'!$A$6:$A$196,0))</f>
        <v/>
      </c>
      <c r="U255" s="243">
        <f>INDEX('Entrada de Dados'!R$6:R$196,MATCH($C255,'Entrada de Dados'!$A$6:$A$196,0))</f>
        <v/>
      </c>
      <c r="V255" s="243">
        <f>INDEX('Entrada de Dados'!S$6:S$196,MATCH($C255,'Entrada de Dados'!$A$6:$A$196,0))</f>
        <v/>
      </c>
      <c r="W255" s="243">
        <f>INDEX('Entrada de Dados'!T$6:T$196,MATCH($C255,'Entrada de Dados'!$A$6:$A$196,0))</f>
        <v/>
      </c>
      <c r="X255" s="243">
        <f>INDEX('Entrada de Dados'!U$6:U$196,MATCH($C255,'Entrada de Dados'!$A$6:$A$196,0))</f>
        <v/>
      </c>
    </row>
    <row r="256">
      <c r="A256" s="241" t="n">
        <v>2</v>
      </c>
      <c r="B256" s="241" t="inlineStr"/>
      <c r="C256" s="241" t="inlineStr">
        <is>
          <t>1085</t>
        </is>
      </c>
      <c r="D256" s="242">
        <f>HYPERLINK("#'E M ALMIRANTE TAMANDARÉ'!A1","E M ALMIRANTE TAMANDARÉ")</f>
        <v/>
      </c>
      <c r="E256" s="242" t="inlineStr">
        <is>
          <t>RETIRO</t>
        </is>
      </c>
      <c r="F256" s="243">
        <f>INDEX('Entrada de Dados'!C$6:C$196,MATCH($C256,'Entrada de Dados'!$A$6:$A$196,0))</f>
        <v/>
      </c>
      <c r="G256" s="243">
        <f>INDEX('Entrada de Dados'!D$6:D$196,MATCH($C256,'Entrada de Dados'!$A$6:$A$196,0))</f>
        <v/>
      </c>
      <c r="H256" s="243">
        <f>INDEX('Entrada de Dados'!E$6:E$196,MATCH($C256,'Entrada de Dados'!$A$6:$A$196,0))</f>
        <v/>
      </c>
      <c r="I256" s="243">
        <f>INDEX('Entrada de Dados'!F$6:F$196,MATCH($C256,'Entrada de Dados'!$A$6:$A$196,0))</f>
        <v/>
      </c>
      <c r="J256" s="243">
        <f>INDEX('Entrada de Dados'!G$6:G$196,MATCH($C256,'Entrada de Dados'!$A$6:$A$196,0))</f>
        <v/>
      </c>
      <c r="K256" s="243">
        <f>INDEX('Entrada de Dados'!H$6:H$196,MATCH($C256,'Entrada de Dados'!$A$6:$A$196,0))</f>
        <v/>
      </c>
      <c r="L256" s="243">
        <f>INDEX('Entrada de Dados'!I$6:I$196,MATCH($C256,'Entrada de Dados'!$A$6:$A$196,0))</f>
        <v/>
      </c>
      <c r="M256" s="243">
        <f>INDEX('Entrada de Dados'!J$6:J$196,MATCH($C256,'Entrada de Dados'!$A$6:$A$196,0))</f>
        <v/>
      </c>
      <c r="N256" s="243">
        <f>INDEX('Entrada de Dados'!K$6:K$196,MATCH($C256,'Entrada de Dados'!$A$6:$A$196,0))</f>
        <v/>
      </c>
      <c r="O256" s="243">
        <f>INDEX('Entrada de Dados'!L$6:L$196,MATCH($C256,'Entrada de Dados'!$A$6:$A$196,0))</f>
        <v/>
      </c>
      <c r="P256" s="243">
        <f>INDEX('Entrada de Dados'!M$6:M$196,MATCH($C256,'Entrada de Dados'!$A$6:$A$196,0))</f>
        <v/>
      </c>
      <c r="Q256" s="243">
        <f>INDEX('Entrada de Dados'!N$6:N$196,MATCH($C256,'Entrada de Dados'!$A$6:$A$196,0))</f>
        <v/>
      </c>
      <c r="R256" s="243">
        <f>INDEX('Entrada de Dados'!O$6:O$196,MATCH($C256,'Entrada de Dados'!$A$6:$A$196,0))</f>
        <v/>
      </c>
      <c r="S256" s="243">
        <f>INDEX('Entrada de Dados'!P$6:P$196,MATCH($C256,'Entrada de Dados'!$A$6:$A$196,0))</f>
        <v/>
      </c>
      <c r="T256" s="243">
        <f>INDEX('Entrada de Dados'!Q$6:Q$196,MATCH($C256,'Entrada de Dados'!$A$6:$A$196,0))</f>
        <v/>
      </c>
      <c r="U256" s="243">
        <f>INDEX('Entrada de Dados'!R$6:R$196,MATCH($C256,'Entrada de Dados'!$A$6:$A$196,0))</f>
        <v/>
      </c>
      <c r="V256" s="243">
        <f>INDEX('Entrada de Dados'!S$6:S$196,MATCH($C256,'Entrada de Dados'!$A$6:$A$196,0))</f>
        <v/>
      </c>
      <c r="W256" s="243">
        <f>INDEX('Entrada de Dados'!T$6:T$196,MATCH($C256,'Entrada de Dados'!$A$6:$A$196,0))</f>
        <v/>
      </c>
      <c r="X256" s="243">
        <f>INDEX('Entrada de Dados'!U$6:U$196,MATCH($C256,'Entrada de Dados'!$A$6:$A$196,0))</f>
        <v/>
      </c>
    </row>
    <row r="257">
      <c r="A257" s="241" t="n">
        <v>3</v>
      </c>
      <c r="B257" s="241" t="inlineStr"/>
      <c r="C257" s="241" t="inlineStr">
        <is>
          <t>3029</t>
        </is>
      </c>
      <c r="D257" s="242">
        <f>HYPERLINK("#'CEI IRMÃ SILVANA'!A1","CEI IRMÃ SILVANA")</f>
        <v/>
      </c>
      <c r="E257" s="242" t="inlineStr">
        <is>
          <t>RETIRO</t>
        </is>
      </c>
      <c r="F257" s="243">
        <f>INDEX('Entrada de Dados'!C$6:C$196,MATCH($C257,'Entrada de Dados'!$A$6:$A$196,0))</f>
        <v/>
      </c>
      <c r="G257" s="243">
        <f>INDEX('Entrada de Dados'!D$6:D$196,MATCH($C257,'Entrada de Dados'!$A$6:$A$196,0))</f>
        <v/>
      </c>
      <c r="H257" s="243">
        <f>INDEX('Entrada de Dados'!E$6:E$196,MATCH($C257,'Entrada de Dados'!$A$6:$A$196,0))</f>
        <v/>
      </c>
      <c r="I257" s="243">
        <f>INDEX('Entrada de Dados'!F$6:F$196,MATCH($C257,'Entrada de Dados'!$A$6:$A$196,0))</f>
        <v/>
      </c>
      <c r="J257" s="243">
        <f>INDEX('Entrada de Dados'!G$6:G$196,MATCH($C257,'Entrada de Dados'!$A$6:$A$196,0))</f>
        <v/>
      </c>
      <c r="K257" s="243">
        <f>INDEX('Entrada de Dados'!H$6:H$196,MATCH($C257,'Entrada de Dados'!$A$6:$A$196,0))</f>
        <v/>
      </c>
      <c r="L257" s="243">
        <f>INDEX('Entrada de Dados'!I$6:I$196,MATCH($C257,'Entrada de Dados'!$A$6:$A$196,0))</f>
        <v/>
      </c>
      <c r="M257" s="243">
        <f>INDEX('Entrada de Dados'!J$6:J$196,MATCH($C257,'Entrada de Dados'!$A$6:$A$196,0))</f>
        <v/>
      </c>
      <c r="N257" s="243">
        <f>INDEX('Entrada de Dados'!K$6:K$196,MATCH($C257,'Entrada de Dados'!$A$6:$A$196,0))</f>
        <v/>
      </c>
      <c r="O257" s="243">
        <f>INDEX('Entrada de Dados'!L$6:L$196,MATCH($C257,'Entrada de Dados'!$A$6:$A$196,0))</f>
        <v/>
      </c>
      <c r="P257" s="243">
        <f>INDEX('Entrada de Dados'!M$6:M$196,MATCH($C257,'Entrada de Dados'!$A$6:$A$196,0))</f>
        <v/>
      </c>
      <c r="Q257" s="243">
        <f>INDEX('Entrada de Dados'!N$6:N$196,MATCH($C257,'Entrada de Dados'!$A$6:$A$196,0))</f>
        <v/>
      </c>
      <c r="R257" s="243">
        <f>INDEX('Entrada de Dados'!O$6:O$196,MATCH($C257,'Entrada de Dados'!$A$6:$A$196,0))</f>
        <v/>
      </c>
      <c r="S257" s="243">
        <f>INDEX('Entrada de Dados'!P$6:P$196,MATCH($C257,'Entrada de Dados'!$A$6:$A$196,0))</f>
        <v/>
      </c>
      <c r="T257" s="243">
        <f>INDEX('Entrada de Dados'!Q$6:Q$196,MATCH($C257,'Entrada de Dados'!$A$6:$A$196,0))</f>
        <v/>
      </c>
      <c r="U257" s="243">
        <f>INDEX('Entrada de Dados'!R$6:R$196,MATCH($C257,'Entrada de Dados'!$A$6:$A$196,0))</f>
        <v/>
      </c>
      <c r="V257" s="243">
        <f>INDEX('Entrada de Dados'!S$6:S$196,MATCH($C257,'Entrada de Dados'!$A$6:$A$196,0))</f>
        <v/>
      </c>
      <c r="W257" s="243">
        <f>INDEX('Entrada de Dados'!T$6:T$196,MATCH($C257,'Entrada de Dados'!$A$6:$A$196,0))</f>
        <v/>
      </c>
      <c r="X257" s="243">
        <f>INDEX('Entrada de Dados'!U$6:U$196,MATCH($C257,'Entrada de Dados'!$A$6:$A$196,0))</f>
        <v/>
      </c>
    </row>
    <row r="258">
      <c r="A258" s="241" t="n">
        <v>4</v>
      </c>
      <c r="B258" s="241" t="inlineStr"/>
      <c r="C258" s="241" t="inlineStr">
        <is>
          <t>1035</t>
        </is>
      </c>
      <c r="D258" s="242">
        <f>HYPERLINK("#'ESCOLA MUNICIPAL MAJOR JÚLIO FR'!A1","ESCOLA MUNICIPAL MAJOR JÚLIO FREDERICO KOELER")</f>
        <v/>
      </c>
      <c r="E258" s="242" t="inlineStr">
        <is>
          <t>RETIRO</t>
        </is>
      </c>
      <c r="F258" s="243">
        <f>INDEX('Entrada de Dados'!C$6:C$196,MATCH($C258,'Entrada de Dados'!$A$6:$A$196,0))</f>
        <v/>
      </c>
      <c r="G258" s="243">
        <f>INDEX('Entrada de Dados'!D$6:D$196,MATCH($C258,'Entrada de Dados'!$A$6:$A$196,0))</f>
        <v/>
      </c>
      <c r="H258" s="243">
        <f>INDEX('Entrada de Dados'!E$6:E$196,MATCH($C258,'Entrada de Dados'!$A$6:$A$196,0))</f>
        <v/>
      </c>
      <c r="I258" s="243">
        <f>INDEX('Entrada de Dados'!F$6:F$196,MATCH($C258,'Entrada de Dados'!$A$6:$A$196,0))</f>
        <v/>
      </c>
      <c r="J258" s="243">
        <f>INDEX('Entrada de Dados'!G$6:G$196,MATCH($C258,'Entrada de Dados'!$A$6:$A$196,0))</f>
        <v/>
      </c>
      <c r="K258" s="243">
        <f>INDEX('Entrada de Dados'!H$6:H$196,MATCH($C258,'Entrada de Dados'!$A$6:$A$196,0))</f>
        <v/>
      </c>
      <c r="L258" s="243">
        <f>INDEX('Entrada de Dados'!I$6:I$196,MATCH($C258,'Entrada de Dados'!$A$6:$A$196,0))</f>
        <v/>
      </c>
      <c r="M258" s="243">
        <f>INDEX('Entrada de Dados'!J$6:J$196,MATCH($C258,'Entrada de Dados'!$A$6:$A$196,0))</f>
        <v/>
      </c>
      <c r="N258" s="243">
        <f>INDEX('Entrada de Dados'!K$6:K$196,MATCH($C258,'Entrada de Dados'!$A$6:$A$196,0))</f>
        <v/>
      </c>
      <c r="O258" s="243">
        <f>INDEX('Entrada de Dados'!L$6:L$196,MATCH($C258,'Entrada de Dados'!$A$6:$A$196,0))</f>
        <v/>
      </c>
      <c r="P258" s="243">
        <f>INDEX('Entrada de Dados'!M$6:M$196,MATCH($C258,'Entrada de Dados'!$A$6:$A$196,0))</f>
        <v/>
      </c>
      <c r="Q258" s="243">
        <f>INDEX('Entrada de Dados'!N$6:N$196,MATCH($C258,'Entrada de Dados'!$A$6:$A$196,0))</f>
        <v/>
      </c>
      <c r="R258" s="243">
        <f>INDEX('Entrada de Dados'!O$6:O$196,MATCH($C258,'Entrada de Dados'!$A$6:$A$196,0))</f>
        <v/>
      </c>
      <c r="S258" s="243">
        <f>INDEX('Entrada de Dados'!P$6:P$196,MATCH($C258,'Entrada de Dados'!$A$6:$A$196,0))</f>
        <v/>
      </c>
      <c r="T258" s="243">
        <f>INDEX('Entrada de Dados'!Q$6:Q$196,MATCH($C258,'Entrada de Dados'!$A$6:$A$196,0))</f>
        <v/>
      </c>
      <c r="U258" s="243">
        <f>INDEX('Entrada de Dados'!R$6:R$196,MATCH($C258,'Entrada de Dados'!$A$6:$A$196,0))</f>
        <v/>
      </c>
      <c r="V258" s="243">
        <f>INDEX('Entrada de Dados'!S$6:S$196,MATCH($C258,'Entrada de Dados'!$A$6:$A$196,0))</f>
        <v/>
      </c>
      <c r="W258" s="243">
        <f>INDEX('Entrada de Dados'!T$6:T$196,MATCH($C258,'Entrada de Dados'!$A$6:$A$196,0))</f>
        <v/>
      </c>
      <c r="X258" s="243">
        <f>INDEX('Entrada de Dados'!U$6:U$196,MATCH($C258,'Entrada de Dados'!$A$6:$A$196,0))</f>
        <v/>
      </c>
    </row>
    <row r="259">
      <c r="A259" s="241" t="n">
        <v>5</v>
      </c>
      <c r="B259" s="241" t="inlineStr"/>
      <c r="C259" s="241" t="inlineStr">
        <is>
          <t>2016</t>
        </is>
      </c>
      <c r="D259" s="242">
        <f>HYPERLINK("#'ESCOLA PAROQUIAL CARLOS DEMIÁ'!A1","ESCOLA PAROQUIAL CARLOS DEMIÁ")</f>
        <v/>
      </c>
      <c r="E259" s="242" t="inlineStr">
        <is>
          <t>RETIRO</t>
        </is>
      </c>
      <c r="F259" s="243">
        <f>INDEX('Entrada de Dados'!C$6:C$196,MATCH($C259,'Entrada de Dados'!$A$6:$A$196,0))</f>
        <v/>
      </c>
      <c r="G259" s="243">
        <f>INDEX('Entrada de Dados'!D$6:D$196,MATCH($C259,'Entrada de Dados'!$A$6:$A$196,0))</f>
        <v/>
      </c>
      <c r="H259" s="243">
        <f>INDEX('Entrada de Dados'!E$6:E$196,MATCH($C259,'Entrada de Dados'!$A$6:$A$196,0))</f>
        <v/>
      </c>
      <c r="I259" s="243">
        <f>INDEX('Entrada de Dados'!F$6:F$196,MATCH($C259,'Entrada de Dados'!$A$6:$A$196,0))</f>
        <v/>
      </c>
      <c r="J259" s="243">
        <f>INDEX('Entrada de Dados'!G$6:G$196,MATCH($C259,'Entrada de Dados'!$A$6:$A$196,0))</f>
        <v/>
      </c>
      <c r="K259" s="243">
        <f>INDEX('Entrada de Dados'!H$6:H$196,MATCH($C259,'Entrada de Dados'!$A$6:$A$196,0))</f>
        <v/>
      </c>
      <c r="L259" s="243">
        <f>INDEX('Entrada de Dados'!I$6:I$196,MATCH($C259,'Entrada de Dados'!$A$6:$A$196,0))</f>
        <v/>
      </c>
      <c r="M259" s="243">
        <f>INDEX('Entrada de Dados'!J$6:J$196,MATCH($C259,'Entrada de Dados'!$A$6:$A$196,0))</f>
        <v/>
      </c>
      <c r="N259" s="243">
        <f>INDEX('Entrada de Dados'!K$6:K$196,MATCH($C259,'Entrada de Dados'!$A$6:$A$196,0))</f>
        <v/>
      </c>
      <c r="O259" s="243">
        <f>INDEX('Entrada de Dados'!L$6:L$196,MATCH($C259,'Entrada de Dados'!$A$6:$A$196,0))</f>
        <v/>
      </c>
      <c r="P259" s="243">
        <f>INDEX('Entrada de Dados'!M$6:M$196,MATCH($C259,'Entrada de Dados'!$A$6:$A$196,0))</f>
        <v/>
      </c>
      <c r="Q259" s="243">
        <f>INDEX('Entrada de Dados'!N$6:N$196,MATCH($C259,'Entrada de Dados'!$A$6:$A$196,0))</f>
        <v/>
      </c>
      <c r="R259" s="243">
        <f>INDEX('Entrada de Dados'!O$6:O$196,MATCH($C259,'Entrada de Dados'!$A$6:$A$196,0))</f>
        <v/>
      </c>
      <c r="S259" s="243">
        <f>INDEX('Entrada de Dados'!P$6:P$196,MATCH($C259,'Entrada de Dados'!$A$6:$A$196,0))</f>
        <v/>
      </c>
      <c r="T259" s="243">
        <f>INDEX('Entrada de Dados'!Q$6:Q$196,MATCH($C259,'Entrada de Dados'!$A$6:$A$196,0))</f>
        <v/>
      </c>
      <c r="U259" s="243">
        <f>INDEX('Entrada de Dados'!R$6:R$196,MATCH($C259,'Entrada de Dados'!$A$6:$A$196,0))</f>
        <v/>
      </c>
      <c r="V259" s="243">
        <f>INDEX('Entrada de Dados'!S$6:S$196,MATCH($C259,'Entrada de Dados'!$A$6:$A$196,0))</f>
        <v/>
      </c>
      <c r="W259" s="243">
        <f>INDEX('Entrada de Dados'!T$6:T$196,MATCH($C259,'Entrada de Dados'!$A$6:$A$196,0))</f>
        <v/>
      </c>
      <c r="X259" s="243">
        <f>INDEX('Entrada de Dados'!U$6:U$196,MATCH($C259,'Entrada de Dados'!$A$6:$A$196,0))</f>
        <v/>
      </c>
    </row>
    <row r="260">
      <c r="A260" s="241" t="n">
        <v>6</v>
      </c>
      <c r="B260" s="241" t="inlineStr"/>
      <c r="C260" s="241" t="inlineStr">
        <is>
          <t>3048</t>
        </is>
      </c>
      <c r="D260" s="242">
        <f>HYPERLINK("#'CEI OLÍVIA MACHADO DA COSTA NOG'!A1","CEI OLÍVIA MACHADO DA COSTA NOGUEIRA")</f>
        <v/>
      </c>
      <c r="E260" s="242" t="inlineStr">
        <is>
          <t>RETIRO</t>
        </is>
      </c>
      <c r="F260" s="243">
        <f>INDEX('Entrada de Dados'!C$6:C$196,MATCH($C260,'Entrada de Dados'!$A$6:$A$196,0))</f>
        <v/>
      </c>
      <c r="G260" s="243">
        <f>INDEX('Entrada de Dados'!D$6:D$196,MATCH($C260,'Entrada de Dados'!$A$6:$A$196,0))</f>
        <v/>
      </c>
      <c r="H260" s="243">
        <f>INDEX('Entrada de Dados'!E$6:E$196,MATCH($C260,'Entrada de Dados'!$A$6:$A$196,0))</f>
        <v/>
      </c>
      <c r="I260" s="243">
        <f>INDEX('Entrada de Dados'!F$6:F$196,MATCH($C260,'Entrada de Dados'!$A$6:$A$196,0))</f>
        <v/>
      </c>
      <c r="J260" s="243">
        <f>INDEX('Entrada de Dados'!G$6:G$196,MATCH($C260,'Entrada de Dados'!$A$6:$A$196,0))</f>
        <v/>
      </c>
      <c r="K260" s="243">
        <f>INDEX('Entrada de Dados'!H$6:H$196,MATCH($C260,'Entrada de Dados'!$A$6:$A$196,0))</f>
        <v/>
      </c>
      <c r="L260" s="243">
        <f>INDEX('Entrada de Dados'!I$6:I$196,MATCH($C260,'Entrada de Dados'!$A$6:$A$196,0))</f>
        <v/>
      </c>
      <c r="M260" s="243">
        <f>INDEX('Entrada de Dados'!J$6:J$196,MATCH($C260,'Entrada de Dados'!$A$6:$A$196,0))</f>
        <v/>
      </c>
      <c r="N260" s="243">
        <f>INDEX('Entrada de Dados'!K$6:K$196,MATCH($C260,'Entrada de Dados'!$A$6:$A$196,0))</f>
        <v/>
      </c>
      <c r="O260" s="243">
        <f>INDEX('Entrada de Dados'!L$6:L$196,MATCH($C260,'Entrada de Dados'!$A$6:$A$196,0))</f>
        <v/>
      </c>
      <c r="P260" s="243">
        <f>INDEX('Entrada de Dados'!M$6:M$196,MATCH($C260,'Entrada de Dados'!$A$6:$A$196,0))</f>
        <v/>
      </c>
      <c r="Q260" s="243">
        <f>INDEX('Entrada de Dados'!N$6:N$196,MATCH($C260,'Entrada de Dados'!$A$6:$A$196,0))</f>
        <v/>
      </c>
      <c r="R260" s="243">
        <f>INDEX('Entrada de Dados'!O$6:O$196,MATCH($C260,'Entrada de Dados'!$A$6:$A$196,0))</f>
        <v/>
      </c>
      <c r="S260" s="243">
        <f>INDEX('Entrada de Dados'!P$6:P$196,MATCH($C260,'Entrada de Dados'!$A$6:$A$196,0))</f>
        <v/>
      </c>
      <c r="T260" s="243">
        <f>INDEX('Entrada de Dados'!Q$6:Q$196,MATCH($C260,'Entrada de Dados'!$A$6:$A$196,0))</f>
        <v/>
      </c>
      <c r="U260" s="243">
        <f>INDEX('Entrada de Dados'!R$6:R$196,MATCH($C260,'Entrada de Dados'!$A$6:$A$196,0))</f>
        <v/>
      </c>
      <c r="V260" s="243">
        <f>INDEX('Entrada de Dados'!S$6:S$196,MATCH($C260,'Entrada de Dados'!$A$6:$A$196,0))</f>
        <v/>
      </c>
      <c r="W260" s="243">
        <f>INDEX('Entrada de Dados'!T$6:T$196,MATCH($C260,'Entrada de Dados'!$A$6:$A$196,0))</f>
        <v/>
      </c>
      <c r="X260" s="243">
        <f>INDEX('Entrada de Dados'!U$6:U$196,MATCH($C260,'Entrada de Dados'!$A$6:$A$196,0))</f>
        <v/>
      </c>
    </row>
    <row r="261">
      <c r="A261" s="241" t="n">
        <v>7</v>
      </c>
      <c r="B261" s="241" t="inlineStr"/>
      <c r="C261" s="241" t="inlineStr">
        <is>
          <t>1001</t>
        </is>
      </c>
      <c r="D261" s="242">
        <f>HYPERLINK("#'E M ABELARDO DE LAMARE'!A1","E M ABELARDO DE LAMARE")</f>
        <v/>
      </c>
      <c r="E261" s="242" t="inlineStr">
        <is>
          <t>CAXAMBU</t>
        </is>
      </c>
      <c r="F261" s="243">
        <f>INDEX('Entrada de Dados'!C$6:C$196,MATCH($C261,'Entrada de Dados'!$A$6:$A$196,0))</f>
        <v/>
      </c>
      <c r="G261" s="243">
        <f>INDEX('Entrada de Dados'!D$6:D$196,MATCH($C261,'Entrada de Dados'!$A$6:$A$196,0))</f>
        <v/>
      </c>
      <c r="H261" s="243">
        <f>INDEX('Entrada de Dados'!E$6:E$196,MATCH($C261,'Entrada de Dados'!$A$6:$A$196,0))</f>
        <v/>
      </c>
      <c r="I261" s="243">
        <f>INDEX('Entrada de Dados'!F$6:F$196,MATCH($C261,'Entrada de Dados'!$A$6:$A$196,0))</f>
        <v/>
      </c>
      <c r="J261" s="243">
        <f>INDEX('Entrada de Dados'!G$6:G$196,MATCH($C261,'Entrada de Dados'!$A$6:$A$196,0))</f>
        <v/>
      </c>
      <c r="K261" s="243">
        <f>INDEX('Entrada de Dados'!H$6:H$196,MATCH($C261,'Entrada de Dados'!$A$6:$A$196,0))</f>
        <v/>
      </c>
      <c r="L261" s="243">
        <f>INDEX('Entrada de Dados'!I$6:I$196,MATCH($C261,'Entrada de Dados'!$A$6:$A$196,0))</f>
        <v/>
      </c>
      <c r="M261" s="243">
        <f>INDEX('Entrada de Dados'!J$6:J$196,MATCH($C261,'Entrada de Dados'!$A$6:$A$196,0))</f>
        <v/>
      </c>
      <c r="N261" s="243">
        <f>INDEX('Entrada de Dados'!K$6:K$196,MATCH($C261,'Entrada de Dados'!$A$6:$A$196,0))</f>
        <v/>
      </c>
      <c r="O261" s="243">
        <f>INDEX('Entrada de Dados'!L$6:L$196,MATCH($C261,'Entrada de Dados'!$A$6:$A$196,0))</f>
        <v/>
      </c>
      <c r="P261" s="243">
        <f>INDEX('Entrada de Dados'!M$6:M$196,MATCH($C261,'Entrada de Dados'!$A$6:$A$196,0))</f>
        <v/>
      </c>
      <c r="Q261" s="243">
        <f>INDEX('Entrada de Dados'!N$6:N$196,MATCH($C261,'Entrada de Dados'!$A$6:$A$196,0))</f>
        <v/>
      </c>
      <c r="R261" s="243">
        <f>INDEX('Entrada de Dados'!O$6:O$196,MATCH($C261,'Entrada de Dados'!$A$6:$A$196,0))</f>
        <v/>
      </c>
      <c r="S261" s="243">
        <f>INDEX('Entrada de Dados'!P$6:P$196,MATCH($C261,'Entrada de Dados'!$A$6:$A$196,0))</f>
        <v/>
      </c>
      <c r="T261" s="243">
        <f>INDEX('Entrada de Dados'!Q$6:Q$196,MATCH($C261,'Entrada de Dados'!$A$6:$A$196,0))</f>
        <v/>
      </c>
      <c r="U261" s="243">
        <f>INDEX('Entrada de Dados'!R$6:R$196,MATCH($C261,'Entrada de Dados'!$A$6:$A$196,0))</f>
        <v/>
      </c>
      <c r="V261" s="243">
        <f>INDEX('Entrada de Dados'!S$6:S$196,MATCH($C261,'Entrada de Dados'!$A$6:$A$196,0))</f>
        <v/>
      </c>
      <c r="W261" s="243">
        <f>INDEX('Entrada de Dados'!T$6:T$196,MATCH($C261,'Entrada de Dados'!$A$6:$A$196,0))</f>
        <v/>
      </c>
      <c r="X261" s="243">
        <f>INDEX('Entrada de Dados'!U$6:U$196,MATCH($C261,'Entrada de Dados'!$A$6:$A$196,0))</f>
        <v/>
      </c>
    </row>
    <row r="262">
      <c r="A262" s="253" t="n">
        <v>8</v>
      </c>
      <c r="B262" s="253" t="inlineStr">
        <is>
          <t>A</t>
        </is>
      </c>
      <c r="C262" s="254" t="inlineStr">
        <is>
          <t>1106</t>
        </is>
      </c>
      <c r="D262" s="255">
        <f>HYPERLINK("#'ESCOLA MUNICIPAL SENADOR MARIO '!A1","ESCOLA MUNICIPAL SENADOR MARIO MARTINS")</f>
        <v/>
      </c>
      <c r="E262" s="255" t="inlineStr">
        <is>
          <t>CAXAMBU</t>
        </is>
      </c>
      <c r="F262" s="256">
        <f>INDEX('Entrada de Dados'!C$6:C$196,MATCH($C262,'Entrada de Dados'!$A$6:$A$196,0))</f>
        <v/>
      </c>
      <c r="G262" s="256">
        <f>INDEX('Entrada de Dados'!D$6:D$196,MATCH($C262,'Entrada de Dados'!$A$6:$A$196,0))</f>
        <v/>
      </c>
      <c r="H262" s="256">
        <f>INDEX('Entrada de Dados'!E$6:E$196,MATCH($C262,'Entrada de Dados'!$A$6:$A$196,0))</f>
        <v/>
      </c>
      <c r="I262" s="256">
        <f>INDEX('Entrada de Dados'!F$6:F$196,MATCH($C262,'Entrada de Dados'!$A$6:$A$196,0))</f>
        <v/>
      </c>
      <c r="J262" s="256">
        <f>INDEX('Entrada de Dados'!G$6:G$196,MATCH($C262,'Entrada de Dados'!$A$6:$A$196,0))</f>
        <v/>
      </c>
      <c r="K262" s="256">
        <f>INDEX('Entrada de Dados'!H$6:H$196,MATCH($C262,'Entrada de Dados'!$A$6:$A$196,0))</f>
        <v/>
      </c>
      <c r="L262" s="256">
        <f>INDEX('Entrada de Dados'!I$6:I$196,MATCH($C262,'Entrada de Dados'!$A$6:$A$196,0))</f>
        <v/>
      </c>
      <c r="M262" s="256">
        <f>INDEX('Entrada de Dados'!J$6:J$196,MATCH($C262,'Entrada de Dados'!$A$6:$A$196,0))</f>
        <v/>
      </c>
      <c r="N262" s="256">
        <f>INDEX('Entrada de Dados'!K$6:K$196,MATCH($C262,'Entrada de Dados'!$A$6:$A$196,0))</f>
        <v/>
      </c>
      <c r="O262" s="256">
        <f>INDEX('Entrada de Dados'!L$6:L$196,MATCH($C262,'Entrada de Dados'!$A$6:$A$196,0))</f>
        <v/>
      </c>
      <c r="P262" s="256">
        <f>INDEX('Entrada de Dados'!M$6:M$196,MATCH($C262,'Entrada de Dados'!$A$6:$A$196,0))</f>
        <v/>
      </c>
      <c r="Q262" s="256">
        <f>INDEX('Entrada de Dados'!N$6:N$196,MATCH($C262,'Entrada de Dados'!$A$6:$A$196,0))</f>
        <v/>
      </c>
      <c r="R262" s="256">
        <f>INDEX('Entrada de Dados'!O$6:O$196,MATCH($C262,'Entrada de Dados'!$A$6:$A$196,0))</f>
        <v/>
      </c>
      <c r="S262" s="256">
        <f>INDEX('Entrada de Dados'!P$6:P$196,MATCH($C262,'Entrada de Dados'!$A$6:$A$196,0))</f>
        <v/>
      </c>
      <c r="T262" s="256">
        <f>INDEX('Entrada de Dados'!Q$6:Q$196,MATCH($C262,'Entrada de Dados'!$A$6:$A$196,0))</f>
        <v/>
      </c>
      <c r="U262" s="256">
        <f>INDEX('Entrada de Dados'!R$6:R$196,MATCH($C262,'Entrada de Dados'!$A$6:$A$196,0))</f>
        <v/>
      </c>
      <c r="V262" s="256">
        <f>INDEX('Entrada de Dados'!S$6:S$196,MATCH($C262,'Entrada de Dados'!$A$6:$A$196,0))</f>
        <v/>
      </c>
      <c r="W262" s="256">
        <f>INDEX('Entrada de Dados'!T$6:T$196,MATCH($C262,'Entrada de Dados'!$A$6:$A$196,0))</f>
        <v/>
      </c>
      <c r="X262" s="256">
        <f>INDEX('Entrada de Dados'!U$6:U$196,MATCH($C262,'Entrada de Dados'!$A$6:$A$196,0))</f>
        <v/>
      </c>
    </row>
    <row r="263">
      <c r="A263" s="253" t="n">
        <v>8</v>
      </c>
      <c r="B263" s="253" t="inlineStr">
        <is>
          <t>B</t>
        </is>
      </c>
      <c r="C263" s="254" t="inlineStr">
        <is>
          <t>4004</t>
        </is>
      </c>
      <c r="D263" s="255">
        <f>HYPERLINK("#'CEI SÃO CHARBEL'!A1","CEI SÃO CHARBEL")</f>
        <v/>
      </c>
      <c r="E263" s="255" t="inlineStr">
        <is>
          <t>CAXAMBU</t>
        </is>
      </c>
      <c r="F263" s="256">
        <f>INDEX('Entrada de Dados'!C$6:C$196,MATCH($C263,'Entrada de Dados'!$A$6:$A$196,0))</f>
        <v/>
      </c>
      <c r="G263" s="256">
        <f>INDEX('Entrada de Dados'!D$6:D$196,MATCH($C263,'Entrada de Dados'!$A$6:$A$196,0))</f>
        <v/>
      </c>
      <c r="H263" s="256">
        <f>INDEX('Entrada de Dados'!E$6:E$196,MATCH($C263,'Entrada de Dados'!$A$6:$A$196,0))</f>
        <v/>
      </c>
      <c r="I263" s="256">
        <f>INDEX('Entrada de Dados'!F$6:F$196,MATCH($C263,'Entrada de Dados'!$A$6:$A$196,0))</f>
        <v/>
      </c>
      <c r="J263" s="256">
        <f>INDEX('Entrada de Dados'!G$6:G$196,MATCH($C263,'Entrada de Dados'!$A$6:$A$196,0))</f>
        <v/>
      </c>
      <c r="K263" s="256">
        <f>INDEX('Entrada de Dados'!H$6:H$196,MATCH($C263,'Entrada de Dados'!$A$6:$A$196,0))</f>
        <v/>
      </c>
      <c r="L263" s="256">
        <f>INDEX('Entrada de Dados'!I$6:I$196,MATCH($C263,'Entrada de Dados'!$A$6:$A$196,0))</f>
        <v/>
      </c>
      <c r="M263" s="256">
        <f>INDEX('Entrada de Dados'!J$6:J$196,MATCH($C263,'Entrada de Dados'!$A$6:$A$196,0))</f>
        <v/>
      </c>
      <c r="N263" s="256">
        <f>INDEX('Entrada de Dados'!K$6:K$196,MATCH($C263,'Entrada de Dados'!$A$6:$A$196,0))</f>
        <v/>
      </c>
      <c r="O263" s="256">
        <f>INDEX('Entrada de Dados'!L$6:L$196,MATCH($C263,'Entrada de Dados'!$A$6:$A$196,0))</f>
        <v/>
      </c>
      <c r="P263" s="256">
        <f>INDEX('Entrada de Dados'!M$6:M$196,MATCH($C263,'Entrada de Dados'!$A$6:$A$196,0))</f>
        <v/>
      </c>
      <c r="Q263" s="256">
        <f>INDEX('Entrada de Dados'!N$6:N$196,MATCH($C263,'Entrada de Dados'!$A$6:$A$196,0))</f>
        <v/>
      </c>
      <c r="R263" s="256">
        <f>INDEX('Entrada de Dados'!O$6:O$196,MATCH($C263,'Entrada de Dados'!$A$6:$A$196,0))</f>
        <v/>
      </c>
      <c r="S263" s="256">
        <f>INDEX('Entrada de Dados'!P$6:P$196,MATCH($C263,'Entrada de Dados'!$A$6:$A$196,0))</f>
        <v/>
      </c>
      <c r="T263" s="256">
        <f>INDEX('Entrada de Dados'!Q$6:Q$196,MATCH($C263,'Entrada de Dados'!$A$6:$A$196,0))</f>
        <v/>
      </c>
      <c r="U263" s="256">
        <f>INDEX('Entrada de Dados'!R$6:R$196,MATCH($C263,'Entrada de Dados'!$A$6:$A$196,0))</f>
        <v/>
      </c>
      <c r="V263" s="256">
        <f>INDEX('Entrada de Dados'!S$6:S$196,MATCH($C263,'Entrada de Dados'!$A$6:$A$196,0))</f>
        <v/>
      </c>
      <c r="W263" s="256">
        <f>INDEX('Entrada de Dados'!T$6:T$196,MATCH($C263,'Entrada de Dados'!$A$6:$A$196,0))</f>
        <v/>
      </c>
      <c r="X263" s="256">
        <f>INDEX('Entrada de Dados'!U$6:U$196,MATCH($C263,'Entrada de Dados'!$A$6:$A$196,0))</f>
        <v/>
      </c>
    </row>
    <row r="264">
      <c r="A264" s="241" t="n">
        <v>9</v>
      </c>
      <c r="B264" s="241" t="inlineStr"/>
      <c r="C264" s="241" t="inlineStr">
        <is>
          <t>2030</t>
        </is>
      </c>
      <c r="D264" s="242">
        <f>HYPERLINK("#'ESCOLA PAROQUIAL SÃO PIO X'!A1","ESCOLA PAROQUIAL SÃO PIO X")</f>
        <v/>
      </c>
      <c r="E264" s="242" t="inlineStr">
        <is>
          <t>CAXAMBU</t>
        </is>
      </c>
      <c r="F264" s="243">
        <f>INDEX('Entrada de Dados'!C$6:C$196,MATCH($C264,'Entrada de Dados'!$A$6:$A$196,0))</f>
        <v/>
      </c>
      <c r="G264" s="243">
        <f>INDEX('Entrada de Dados'!D$6:D$196,MATCH($C264,'Entrada de Dados'!$A$6:$A$196,0))</f>
        <v/>
      </c>
      <c r="H264" s="243">
        <f>INDEX('Entrada de Dados'!E$6:E$196,MATCH($C264,'Entrada de Dados'!$A$6:$A$196,0))</f>
        <v/>
      </c>
      <c r="I264" s="243">
        <f>INDEX('Entrada de Dados'!F$6:F$196,MATCH($C264,'Entrada de Dados'!$A$6:$A$196,0))</f>
        <v/>
      </c>
      <c r="J264" s="243">
        <f>INDEX('Entrada de Dados'!G$6:G$196,MATCH($C264,'Entrada de Dados'!$A$6:$A$196,0))</f>
        <v/>
      </c>
      <c r="K264" s="243">
        <f>INDEX('Entrada de Dados'!H$6:H$196,MATCH($C264,'Entrada de Dados'!$A$6:$A$196,0))</f>
        <v/>
      </c>
      <c r="L264" s="243">
        <f>INDEX('Entrada de Dados'!I$6:I$196,MATCH($C264,'Entrada de Dados'!$A$6:$A$196,0))</f>
        <v/>
      </c>
      <c r="M264" s="243">
        <f>INDEX('Entrada de Dados'!J$6:J$196,MATCH($C264,'Entrada de Dados'!$A$6:$A$196,0))</f>
        <v/>
      </c>
      <c r="N264" s="243">
        <f>INDEX('Entrada de Dados'!K$6:K$196,MATCH($C264,'Entrada de Dados'!$A$6:$A$196,0))</f>
        <v/>
      </c>
      <c r="O264" s="243">
        <f>INDEX('Entrada de Dados'!L$6:L$196,MATCH($C264,'Entrada de Dados'!$A$6:$A$196,0))</f>
        <v/>
      </c>
      <c r="P264" s="243">
        <f>INDEX('Entrada de Dados'!M$6:M$196,MATCH($C264,'Entrada de Dados'!$A$6:$A$196,0))</f>
        <v/>
      </c>
      <c r="Q264" s="243">
        <f>INDEX('Entrada de Dados'!N$6:N$196,MATCH($C264,'Entrada de Dados'!$A$6:$A$196,0))</f>
        <v/>
      </c>
      <c r="R264" s="243">
        <f>INDEX('Entrada de Dados'!O$6:O$196,MATCH($C264,'Entrada de Dados'!$A$6:$A$196,0))</f>
        <v/>
      </c>
      <c r="S264" s="243">
        <f>INDEX('Entrada de Dados'!P$6:P$196,MATCH($C264,'Entrada de Dados'!$A$6:$A$196,0))</f>
        <v/>
      </c>
      <c r="T264" s="243">
        <f>INDEX('Entrada de Dados'!Q$6:Q$196,MATCH($C264,'Entrada de Dados'!$A$6:$A$196,0))</f>
        <v/>
      </c>
      <c r="U264" s="243">
        <f>INDEX('Entrada de Dados'!R$6:R$196,MATCH($C264,'Entrada de Dados'!$A$6:$A$196,0))</f>
        <v/>
      </c>
      <c r="V264" s="243">
        <f>INDEX('Entrada de Dados'!S$6:S$196,MATCH($C264,'Entrada de Dados'!$A$6:$A$196,0))</f>
        <v/>
      </c>
      <c r="W264" s="243">
        <f>INDEX('Entrada de Dados'!T$6:T$196,MATCH($C264,'Entrada de Dados'!$A$6:$A$196,0))</f>
        <v/>
      </c>
      <c r="X264" s="243">
        <f>INDEX('Entrada de Dados'!U$6:U$196,MATCH($C264,'Entrada de Dados'!$A$6:$A$196,0))</f>
        <v/>
      </c>
    </row>
    <row r="265">
      <c r="A265" s="241" t="n">
        <v>10</v>
      </c>
      <c r="B265" s="241" t="inlineStr"/>
      <c r="C265" s="241" t="inlineStr">
        <is>
          <t>3015</t>
        </is>
      </c>
      <c r="D265" s="242">
        <f>HYPERLINK("#'CENTRO DE EDUCAÇÃO INFANTIL IRM'!A1","CENTRO DE EDUCAÇÃO INFANTIL IRMÃ DULCE")</f>
        <v/>
      </c>
      <c r="E265" s="242" t="inlineStr">
        <is>
          <t>QUARTEIRÃO BRASILEIRO</t>
        </is>
      </c>
      <c r="F265" s="243">
        <f>INDEX('Entrada de Dados'!C$6:C$196,MATCH($C265,'Entrada de Dados'!$A$6:$A$196,0))</f>
        <v/>
      </c>
      <c r="G265" s="243">
        <f>INDEX('Entrada de Dados'!D$6:D$196,MATCH($C265,'Entrada de Dados'!$A$6:$A$196,0))</f>
        <v/>
      </c>
      <c r="H265" s="243">
        <f>INDEX('Entrada de Dados'!E$6:E$196,MATCH($C265,'Entrada de Dados'!$A$6:$A$196,0))</f>
        <v/>
      </c>
      <c r="I265" s="243">
        <f>INDEX('Entrada de Dados'!F$6:F$196,MATCH($C265,'Entrada de Dados'!$A$6:$A$196,0))</f>
        <v/>
      </c>
      <c r="J265" s="243">
        <f>INDEX('Entrada de Dados'!G$6:G$196,MATCH($C265,'Entrada de Dados'!$A$6:$A$196,0))</f>
        <v/>
      </c>
      <c r="K265" s="243">
        <f>INDEX('Entrada de Dados'!H$6:H$196,MATCH($C265,'Entrada de Dados'!$A$6:$A$196,0))</f>
        <v/>
      </c>
      <c r="L265" s="243">
        <f>INDEX('Entrada de Dados'!I$6:I$196,MATCH($C265,'Entrada de Dados'!$A$6:$A$196,0))</f>
        <v/>
      </c>
      <c r="M265" s="243">
        <f>INDEX('Entrada de Dados'!J$6:J$196,MATCH($C265,'Entrada de Dados'!$A$6:$A$196,0))</f>
        <v/>
      </c>
      <c r="N265" s="243">
        <f>INDEX('Entrada de Dados'!K$6:K$196,MATCH($C265,'Entrada de Dados'!$A$6:$A$196,0))</f>
        <v/>
      </c>
      <c r="O265" s="243">
        <f>INDEX('Entrada de Dados'!L$6:L$196,MATCH($C265,'Entrada de Dados'!$A$6:$A$196,0))</f>
        <v/>
      </c>
      <c r="P265" s="243">
        <f>INDEX('Entrada de Dados'!M$6:M$196,MATCH($C265,'Entrada de Dados'!$A$6:$A$196,0))</f>
        <v/>
      </c>
      <c r="Q265" s="243">
        <f>INDEX('Entrada de Dados'!N$6:N$196,MATCH($C265,'Entrada de Dados'!$A$6:$A$196,0))</f>
        <v/>
      </c>
      <c r="R265" s="243">
        <f>INDEX('Entrada de Dados'!O$6:O$196,MATCH($C265,'Entrada de Dados'!$A$6:$A$196,0))</f>
        <v/>
      </c>
      <c r="S265" s="243">
        <f>INDEX('Entrada de Dados'!P$6:P$196,MATCH($C265,'Entrada de Dados'!$A$6:$A$196,0))</f>
        <v/>
      </c>
      <c r="T265" s="243">
        <f>INDEX('Entrada de Dados'!Q$6:Q$196,MATCH($C265,'Entrada de Dados'!$A$6:$A$196,0))</f>
        <v/>
      </c>
      <c r="U265" s="243">
        <f>INDEX('Entrada de Dados'!R$6:R$196,MATCH($C265,'Entrada de Dados'!$A$6:$A$196,0))</f>
        <v/>
      </c>
      <c r="V265" s="243">
        <f>INDEX('Entrada de Dados'!S$6:S$196,MATCH($C265,'Entrada de Dados'!$A$6:$A$196,0))</f>
        <v/>
      </c>
      <c r="W265" s="243">
        <f>INDEX('Entrada de Dados'!T$6:T$196,MATCH($C265,'Entrada de Dados'!$A$6:$A$196,0))</f>
        <v/>
      </c>
      <c r="X265" s="243">
        <f>INDEX('Entrada de Dados'!U$6:U$196,MATCH($C265,'Entrada de Dados'!$A$6:$A$196,0))</f>
        <v/>
      </c>
    </row>
    <row r="266">
      <c r="A266" s="241" t="n">
        <v>11</v>
      </c>
      <c r="B266" s="241" t="inlineStr"/>
      <c r="C266" s="241" t="inlineStr">
        <is>
          <t>2017</t>
        </is>
      </c>
      <c r="D266" s="242">
        <f>HYPERLINK("#'ESCOLA PAROQUIAL NOSSA SENHO 2'!A1","ESCOLA PAROQUIAL NOSSA SENHORA DAS GRAÇAS")</f>
        <v/>
      </c>
      <c r="E266" s="242" t="inlineStr">
        <is>
          <t>QUARTEIRÃO BRASILEIRO</t>
        </is>
      </c>
      <c r="F266" s="243">
        <f>INDEX('Entrada de Dados'!C$6:C$196,MATCH($C266,'Entrada de Dados'!$A$6:$A$196,0))</f>
        <v/>
      </c>
      <c r="G266" s="243">
        <f>INDEX('Entrada de Dados'!D$6:D$196,MATCH($C266,'Entrada de Dados'!$A$6:$A$196,0))</f>
        <v/>
      </c>
      <c r="H266" s="243">
        <f>INDEX('Entrada de Dados'!E$6:E$196,MATCH($C266,'Entrada de Dados'!$A$6:$A$196,0))</f>
        <v/>
      </c>
      <c r="I266" s="243">
        <f>INDEX('Entrada de Dados'!F$6:F$196,MATCH($C266,'Entrada de Dados'!$A$6:$A$196,0))</f>
        <v/>
      </c>
      <c r="J266" s="243">
        <f>INDEX('Entrada de Dados'!G$6:G$196,MATCH($C266,'Entrada de Dados'!$A$6:$A$196,0))</f>
        <v/>
      </c>
      <c r="K266" s="243">
        <f>INDEX('Entrada de Dados'!H$6:H$196,MATCH($C266,'Entrada de Dados'!$A$6:$A$196,0))</f>
        <v/>
      </c>
      <c r="L266" s="243">
        <f>INDEX('Entrada de Dados'!I$6:I$196,MATCH($C266,'Entrada de Dados'!$A$6:$A$196,0))</f>
        <v/>
      </c>
      <c r="M266" s="243">
        <f>INDEX('Entrada de Dados'!J$6:J$196,MATCH($C266,'Entrada de Dados'!$A$6:$A$196,0))</f>
        <v/>
      </c>
      <c r="N266" s="243">
        <f>INDEX('Entrada de Dados'!K$6:K$196,MATCH($C266,'Entrada de Dados'!$A$6:$A$196,0))</f>
        <v/>
      </c>
      <c r="O266" s="243">
        <f>INDEX('Entrada de Dados'!L$6:L$196,MATCH($C266,'Entrada de Dados'!$A$6:$A$196,0))</f>
        <v/>
      </c>
      <c r="P266" s="243">
        <f>INDEX('Entrada de Dados'!M$6:M$196,MATCH($C266,'Entrada de Dados'!$A$6:$A$196,0))</f>
        <v/>
      </c>
      <c r="Q266" s="243">
        <f>INDEX('Entrada de Dados'!N$6:N$196,MATCH($C266,'Entrada de Dados'!$A$6:$A$196,0))</f>
        <v/>
      </c>
      <c r="R266" s="243">
        <f>INDEX('Entrada de Dados'!O$6:O$196,MATCH($C266,'Entrada de Dados'!$A$6:$A$196,0))</f>
        <v/>
      </c>
      <c r="S266" s="243">
        <f>INDEX('Entrada de Dados'!P$6:P$196,MATCH($C266,'Entrada de Dados'!$A$6:$A$196,0))</f>
        <v/>
      </c>
      <c r="T266" s="243">
        <f>INDEX('Entrada de Dados'!Q$6:Q$196,MATCH($C266,'Entrada de Dados'!$A$6:$A$196,0))</f>
        <v/>
      </c>
      <c r="U266" s="243">
        <f>INDEX('Entrada de Dados'!R$6:R$196,MATCH($C266,'Entrada de Dados'!$A$6:$A$196,0))</f>
        <v/>
      </c>
      <c r="V266" s="243">
        <f>INDEX('Entrada de Dados'!S$6:S$196,MATCH($C266,'Entrada de Dados'!$A$6:$A$196,0))</f>
        <v/>
      </c>
      <c r="W266" s="243">
        <f>INDEX('Entrada de Dados'!T$6:T$196,MATCH($C266,'Entrada de Dados'!$A$6:$A$196,0))</f>
        <v/>
      </c>
      <c r="X266" s="243">
        <f>INDEX('Entrada de Dados'!U$6:U$196,MATCH($C266,'Entrada de Dados'!$A$6:$A$196,0))</f>
        <v/>
      </c>
    </row>
    <row r="267" ht="22" customHeight="1" s="107">
      <c r="A267" s="248" t="inlineStr">
        <is>
          <t>Peso previsto:</t>
        </is>
      </c>
      <c r="C267" s="249">
        <f>SUM(F255:F266)+SUM(G255:G266)+SUM(H255:H266)+SUM(I255:I266)+SUM(J255:J266)+SUM(K255:K266)+SUM(L255:L266)+SUM(M255:M266)+SUM(N255:N266)+SUM(O255:O266)+SUM(P255:P266)+SUM(Q255:Q266)+SUM(R255:R266)+SUM(S255:S266)+SUM(T255:T266)+SUM(U255:U266)+SUM(W255:W266)+SUM(X255:X266)</f>
        <v/>
      </c>
      <c r="D267" s="248" t="inlineStr">
        <is>
          <t>Peso embarcado (kg):</t>
        </is>
      </c>
      <c r="F267" s="250" t="n"/>
      <c r="G267" s="248" t="inlineStr">
        <is>
          <t>Veículo:</t>
        </is>
      </c>
      <c r="I267" s="250" t="n"/>
      <c r="J267" s="251" t="n"/>
      <c r="K267" s="248" t="inlineStr">
        <is>
          <t>Motorista:</t>
        </is>
      </c>
      <c r="M267" s="250" t="n"/>
      <c r="N267" s="252" t="n"/>
      <c r="O267" s="252" t="n"/>
      <c r="P267" s="252" t="n"/>
      <c r="Q267" s="252" t="n"/>
      <c r="R267" s="252" t="n"/>
      <c r="S267" s="252" t="n"/>
      <c r="T267" s="252" t="n"/>
      <c r="U267" s="252" t="n"/>
      <c r="V267" s="252" t="n"/>
      <c r="W267" s="252" t="n"/>
      <c r="X267" s="251" t="n"/>
    </row>
    <row r="269" ht="20" customHeight="1" s="107">
      <c r="A269" s="236" t="inlineStr">
        <is>
          <t>ROTA T8 —  · KOMBI · 14 escolas · 13 paradas físicas</t>
        </is>
      </c>
    </row>
    <row r="270" ht="26" customHeight="1" s="107">
      <c r="A270" s="238" t="inlineStr">
        <is>
          <t>Sequência-base: Galpão Itaipava &gt; Morin &gt; Alto da Serra &gt; Meio da Serra &gt; Estrada da Saudade &gt; Floresta &gt; Galpão   Atenção: Meio da Serra está no eixo da RJ-107; moto não é automática. Confirmar parada e retorno do veículo.</t>
        </is>
      </c>
    </row>
    <row r="271" ht="30" customHeight="1" s="107">
      <c r="A271" s="240" t="inlineStr">
        <is>
          <t>PAR.</t>
        </is>
      </c>
      <c r="B271" s="240" t="inlineStr">
        <is>
          <t>SUB</t>
        </is>
      </c>
      <c r="C271" s="240" t="inlineStr">
        <is>
          <t>CÓDIGO</t>
        </is>
      </c>
      <c r="D271" s="240" t="inlineStr">
        <is>
          <t>ESCOLA</t>
        </is>
      </c>
      <c r="E271" s="240" t="inlineStr">
        <is>
          <t>BAIRRO/CORREDOR</t>
        </is>
      </c>
      <c r="F271" s="240" t="inlineStr">
        <is>
          <t>Abacate</t>
        </is>
      </c>
      <c r="G271" s="240" t="inlineStr">
        <is>
          <t>Abobrinha</t>
        </is>
      </c>
      <c r="H271" s="240" t="inlineStr">
        <is>
          <t>Agrião</t>
        </is>
      </c>
      <c r="I271" s="240" t="inlineStr">
        <is>
          <t>Alface lisa</t>
        </is>
      </c>
      <c r="J271" s="240" t="inlineStr">
        <is>
          <t>Banana prata</t>
        </is>
      </c>
      <c r="K271" s="240" t="inlineStr">
        <is>
          <t>Batata inglesa</t>
        </is>
      </c>
      <c r="L271" s="240" t="inlineStr">
        <is>
          <t>Beterraba</t>
        </is>
      </c>
      <c r="M271" s="240" t="inlineStr">
        <is>
          <t>Brócolis</t>
        </is>
      </c>
      <c r="N271" s="240" t="inlineStr">
        <is>
          <t>Cenoura</t>
        </is>
      </c>
      <c r="O271" s="240" t="inlineStr">
        <is>
          <t>Cheiro verde</t>
        </is>
      </c>
      <c r="P271" s="240" t="inlineStr">
        <is>
          <t>Chuchu</t>
        </is>
      </c>
      <c r="Q271" s="240" t="inlineStr">
        <is>
          <t>Couve manteiga</t>
        </is>
      </c>
      <c r="R271" s="240" t="inlineStr">
        <is>
          <t>Couve-flor</t>
        </is>
      </c>
      <c r="S271" s="240" t="inlineStr">
        <is>
          <t>Espinafre</t>
        </is>
      </c>
      <c r="T271" s="240" t="inlineStr">
        <is>
          <t>Maçã gala</t>
        </is>
      </c>
      <c r="U271" s="240" t="inlineStr">
        <is>
          <t>Mel</t>
        </is>
      </c>
      <c r="V271" s="240" t="inlineStr">
        <is>
          <t>Ovos (dz)</t>
        </is>
      </c>
      <c r="W271" s="240" t="inlineStr">
        <is>
          <t>Repolho</t>
        </is>
      </c>
      <c r="X271" s="240" t="inlineStr">
        <is>
          <t>Tangerina ponkan</t>
        </is>
      </c>
    </row>
    <row r="272">
      <c r="A272" s="241" t="n">
        <v>1</v>
      </c>
      <c r="B272" s="241" t="inlineStr"/>
      <c r="C272" s="241" t="inlineStr">
        <is>
          <t>3038</t>
        </is>
      </c>
      <c r="D272" s="242">
        <f>HYPERLINK("#'CEI JORGE ROLANDO DA SILVA'!A1","CEI JORGE ROLANDO DA SILVA")</f>
        <v/>
      </c>
      <c r="E272" s="242" t="inlineStr">
        <is>
          <t>MORIN</t>
        </is>
      </c>
      <c r="F272" s="243">
        <f>INDEX('Entrada de Dados'!C$6:C$196,MATCH($C272,'Entrada de Dados'!$A$6:$A$196,0))</f>
        <v/>
      </c>
      <c r="G272" s="243">
        <f>INDEX('Entrada de Dados'!D$6:D$196,MATCH($C272,'Entrada de Dados'!$A$6:$A$196,0))</f>
        <v/>
      </c>
      <c r="H272" s="243">
        <f>INDEX('Entrada de Dados'!E$6:E$196,MATCH($C272,'Entrada de Dados'!$A$6:$A$196,0))</f>
        <v/>
      </c>
      <c r="I272" s="243">
        <f>INDEX('Entrada de Dados'!F$6:F$196,MATCH($C272,'Entrada de Dados'!$A$6:$A$196,0))</f>
        <v/>
      </c>
      <c r="J272" s="243">
        <f>INDEX('Entrada de Dados'!G$6:G$196,MATCH($C272,'Entrada de Dados'!$A$6:$A$196,0))</f>
        <v/>
      </c>
      <c r="K272" s="243">
        <f>INDEX('Entrada de Dados'!H$6:H$196,MATCH($C272,'Entrada de Dados'!$A$6:$A$196,0))</f>
        <v/>
      </c>
      <c r="L272" s="243">
        <f>INDEX('Entrada de Dados'!I$6:I$196,MATCH($C272,'Entrada de Dados'!$A$6:$A$196,0))</f>
        <v/>
      </c>
      <c r="M272" s="243">
        <f>INDEX('Entrada de Dados'!J$6:J$196,MATCH($C272,'Entrada de Dados'!$A$6:$A$196,0))</f>
        <v/>
      </c>
      <c r="N272" s="243">
        <f>INDEX('Entrada de Dados'!K$6:K$196,MATCH($C272,'Entrada de Dados'!$A$6:$A$196,0))</f>
        <v/>
      </c>
      <c r="O272" s="243">
        <f>INDEX('Entrada de Dados'!L$6:L$196,MATCH($C272,'Entrada de Dados'!$A$6:$A$196,0))</f>
        <v/>
      </c>
      <c r="P272" s="243">
        <f>INDEX('Entrada de Dados'!M$6:M$196,MATCH($C272,'Entrada de Dados'!$A$6:$A$196,0))</f>
        <v/>
      </c>
      <c r="Q272" s="243">
        <f>INDEX('Entrada de Dados'!N$6:N$196,MATCH($C272,'Entrada de Dados'!$A$6:$A$196,0))</f>
        <v/>
      </c>
      <c r="R272" s="243">
        <f>INDEX('Entrada de Dados'!O$6:O$196,MATCH($C272,'Entrada de Dados'!$A$6:$A$196,0))</f>
        <v/>
      </c>
      <c r="S272" s="243">
        <f>INDEX('Entrada de Dados'!P$6:P$196,MATCH($C272,'Entrada de Dados'!$A$6:$A$196,0))</f>
        <v/>
      </c>
      <c r="T272" s="243">
        <f>INDEX('Entrada de Dados'!Q$6:Q$196,MATCH($C272,'Entrada de Dados'!$A$6:$A$196,0))</f>
        <v/>
      </c>
      <c r="U272" s="243">
        <f>INDEX('Entrada de Dados'!R$6:R$196,MATCH($C272,'Entrada de Dados'!$A$6:$A$196,0))</f>
        <v/>
      </c>
      <c r="V272" s="243">
        <f>INDEX('Entrada de Dados'!S$6:S$196,MATCH($C272,'Entrada de Dados'!$A$6:$A$196,0))</f>
        <v/>
      </c>
      <c r="W272" s="243">
        <f>INDEX('Entrada de Dados'!T$6:T$196,MATCH($C272,'Entrada de Dados'!$A$6:$A$196,0))</f>
        <v/>
      </c>
      <c r="X272" s="243">
        <f>INDEX('Entrada de Dados'!U$6:U$196,MATCH($C272,'Entrada de Dados'!$A$6:$A$196,0))</f>
        <v/>
      </c>
    </row>
    <row r="273">
      <c r="A273" s="241" t="n">
        <v>2</v>
      </c>
      <c r="B273" s="241" t="inlineStr"/>
      <c r="C273" s="241" t="inlineStr">
        <is>
          <t>2013</t>
        </is>
      </c>
      <c r="D273" s="242">
        <f>HYPERLINK("#'ESCOLA PAROQUIAL NOSSA SENHO 3'!A1","ESCOLA PAROQUIAL NOSSA SENHORA DA GLÓRIA")</f>
        <v/>
      </c>
      <c r="E273" s="242" t="inlineStr">
        <is>
          <t>MORIN</t>
        </is>
      </c>
      <c r="F273" s="243">
        <f>INDEX('Entrada de Dados'!C$6:C$196,MATCH($C273,'Entrada de Dados'!$A$6:$A$196,0))</f>
        <v/>
      </c>
      <c r="G273" s="243">
        <f>INDEX('Entrada de Dados'!D$6:D$196,MATCH($C273,'Entrada de Dados'!$A$6:$A$196,0))</f>
        <v/>
      </c>
      <c r="H273" s="243">
        <f>INDEX('Entrada de Dados'!E$6:E$196,MATCH($C273,'Entrada de Dados'!$A$6:$A$196,0))</f>
        <v/>
      </c>
      <c r="I273" s="243">
        <f>INDEX('Entrada de Dados'!F$6:F$196,MATCH($C273,'Entrada de Dados'!$A$6:$A$196,0))</f>
        <v/>
      </c>
      <c r="J273" s="243">
        <f>INDEX('Entrada de Dados'!G$6:G$196,MATCH($C273,'Entrada de Dados'!$A$6:$A$196,0))</f>
        <v/>
      </c>
      <c r="K273" s="243">
        <f>INDEX('Entrada de Dados'!H$6:H$196,MATCH($C273,'Entrada de Dados'!$A$6:$A$196,0))</f>
        <v/>
      </c>
      <c r="L273" s="243">
        <f>INDEX('Entrada de Dados'!I$6:I$196,MATCH($C273,'Entrada de Dados'!$A$6:$A$196,0))</f>
        <v/>
      </c>
      <c r="M273" s="243">
        <f>INDEX('Entrada de Dados'!J$6:J$196,MATCH($C273,'Entrada de Dados'!$A$6:$A$196,0))</f>
        <v/>
      </c>
      <c r="N273" s="243">
        <f>INDEX('Entrada de Dados'!K$6:K$196,MATCH($C273,'Entrada de Dados'!$A$6:$A$196,0))</f>
        <v/>
      </c>
      <c r="O273" s="243">
        <f>INDEX('Entrada de Dados'!L$6:L$196,MATCH($C273,'Entrada de Dados'!$A$6:$A$196,0))</f>
        <v/>
      </c>
      <c r="P273" s="243">
        <f>INDEX('Entrada de Dados'!M$6:M$196,MATCH($C273,'Entrada de Dados'!$A$6:$A$196,0))</f>
        <v/>
      </c>
      <c r="Q273" s="243">
        <f>INDEX('Entrada de Dados'!N$6:N$196,MATCH($C273,'Entrada de Dados'!$A$6:$A$196,0))</f>
        <v/>
      </c>
      <c r="R273" s="243">
        <f>INDEX('Entrada de Dados'!O$6:O$196,MATCH($C273,'Entrada de Dados'!$A$6:$A$196,0))</f>
        <v/>
      </c>
      <c r="S273" s="243">
        <f>INDEX('Entrada de Dados'!P$6:P$196,MATCH($C273,'Entrada de Dados'!$A$6:$A$196,0))</f>
        <v/>
      </c>
      <c r="T273" s="243">
        <f>INDEX('Entrada de Dados'!Q$6:Q$196,MATCH($C273,'Entrada de Dados'!$A$6:$A$196,0))</f>
        <v/>
      </c>
      <c r="U273" s="243">
        <f>INDEX('Entrada de Dados'!R$6:R$196,MATCH($C273,'Entrada de Dados'!$A$6:$A$196,0))</f>
        <v/>
      </c>
      <c r="V273" s="243">
        <f>INDEX('Entrada de Dados'!S$6:S$196,MATCH($C273,'Entrada de Dados'!$A$6:$A$196,0))</f>
        <v/>
      </c>
      <c r="W273" s="243">
        <f>INDEX('Entrada de Dados'!T$6:T$196,MATCH($C273,'Entrada de Dados'!$A$6:$A$196,0))</f>
        <v/>
      </c>
      <c r="X273" s="243">
        <f>INDEX('Entrada de Dados'!U$6:U$196,MATCH($C273,'Entrada de Dados'!$A$6:$A$196,0))</f>
        <v/>
      </c>
    </row>
    <row r="274">
      <c r="A274" s="241" t="n">
        <v>3</v>
      </c>
      <c r="B274" s="241" t="inlineStr"/>
      <c r="C274" s="241" t="inlineStr">
        <is>
          <t>2008</t>
        </is>
      </c>
      <c r="D274" s="242">
        <f>HYPERLINK("#'ESCOLA GERMANO VALENTE'!A1","ESCOLA GERMANO VALENTE")</f>
        <v/>
      </c>
      <c r="E274" s="242" t="inlineStr">
        <is>
          <t>MORIN</t>
        </is>
      </c>
      <c r="F274" s="243">
        <f>INDEX('Entrada de Dados'!C$6:C$196,MATCH($C274,'Entrada de Dados'!$A$6:$A$196,0))</f>
        <v/>
      </c>
      <c r="G274" s="243">
        <f>INDEX('Entrada de Dados'!D$6:D$196,MATCH($C274,'Entrada de Dados'!$A$6:$A$196,0))</f>
        <v/>
      </c>
      <c r="H274" s="243">
        <f>INDEX('Entrada de Dados'!E$6:E$196,MATCH($C274,'Entrada de Dados'!$A$6:$A$196,0))</f>
        <v/>
      </c>
      <c r="I274" s="243">
        <f>INDEX('Entrada de Dados'!F$6:F$196,MATCH($C274,'Entrada de Dados'!$A$6:$A$196,0))</f>
        <v/>
      </c>
      <c r="J274" s="243">
        <f>INDEX('Entrada de Dados'!G$6:G$196,MATCH($C274,'Entrada de Dados'!$A$6:$A$196,0))</f>
        <v/>
      </c>
      <c r="K274" s="243">
        <f>INDEX('Entrada de Dados'!H$6:H$196,MATCH($C274,'Entrada de Dados'!$A$6:$A$196,0))</f>
        <v/>
      </c>
      <c r="L274" s="243">
        <f>INDEX('Entrada de Dados'!I$6:I$196,MATCH($C274,'Entrada de Dados'!$A$6:$A$196,0))</f>
        <v/>
      </c>
      <c r="M274" s="243">
        <f>INDEX('Entrada de Dados'!J$6:J$196,MATCH($C274,'Entrada de Dados'!$A$6:$A$196,0))</f>
        <v/>
      </c>
      <c r="N274" s="243">
        <f>INDEX('Entrada de Dados'!K$6:K$196,MATCH($C274,'Entrada de Dados'!$A$6:$A$196,0))</f>
        <v/>
      </c>
      <c r="O274" s="243">
        <f>INDEX('Entrada de Dados'!L$6:L$196,MATCH($C274,'Entrada de Dados'!$A$6:$A$196,0))</f>
        <v/>
      </c>
      <c r="P274" s="243">
        <f>INDEX('Entrada de Dados'!M$6:M$196,MATCH($C274,'Entrada de Dados'!$A$6:$A$196,0))</f>
        <v/>
      </c>
      <c r="Q274" s="243">
        <f>INDEX('Entrada de Dados'!N$6:N$196,MATCH($C274,'Entrada de Dados'!$A$6:$A$196,0))</f>
        <v/>
      </c>
      <c r="R274" s="243">
        <f>INDEX('Entrada de Dados'!O$6:O$196,MATCH($C274,'Entrada de Dados'!$A$6:$A$196,0))</f>
        <v/>
      </c>
      <c r="S274" s="243">
        <f>INDEX('Entrada de Dados'!P$6:P$196,MATCH($C274,'Entrada de Dados'!$A$6:$A$196,0))</f>
        <v/>
      </c>
      <c r="T274" s="243">
        <f>INDEX('Entrada de Dados'!Q$6:Q$196,MATCH($C274,'Entrada de Dados'!$A$6:$A$196,0))</f>
        <v/>
      </c>
      <c r="U274" s="243">
        <f>INDEX('Entrada de Dados'!R$6:R$196,MATCH($C274,'Entrada de Dados'!$A$6:$A$196,0))</f>
        <v/>
      </c>
      <c r="V274" s="243">
        <f>INDEX('Entrada de Dados'!S$6:S$196,MATCH($C274,'Entrada de Dados'!$A$6:$A$196,0))</f>
        <v/>
      </c>
      <c r="W274" s="243">
        <f>INDEX('Entrada de Dados'!T$6:T$196,MATCH($C274,'Entrada de Dados'!$A$6:$A$196,0))</f>
        <v/>
      </c>
      <c r="X274" s="243">
        <f>INDEX('Entrada de Dados'!U$6:U$196,MATCH($C274,'Entrada de Dados'!$A$6:$A$196,0))</f>
        <v/>
      </c>
    </row>
    <row r="275">
      <c r="A275" s="241" t="n">
        <v>4</v>
      </c>
      <c r="B275" s="241" t="inlineStr"/>
      <c r="C275" s="241" t="inlineStr">
        <is>
          <t>1009</t>
        </is>
      </c>
      <c r="D275" s="242">
        <f>HYPERLINK("#'E M LUIZ CARLOS SOARES'!A1","E M LUIZ CARLOS SOARES")</f>
        <v/>
      </c>
      <c r="E275" s="242" t="inlineStr">
        <is>
          <t>MORIN</t>
        </is>
      </c>
      <c r="F275" s="243">
        <f>INDEX('Entrada de Dados'!C$6:C$196,MATCH($C275,'Entrada de Dados'!$A$6:$A$196,0))</f>
        <v/>
      </c>
      <c r="G275" s="243">
        <f>INDEX('Entrada de Dados'!D$6:D$196,MATCH($C275,'Entrada de Dados'!$A$6:$A$196,0))</f>
        <v/>
      </c>
      <c r="H275" s="243">
        <f>INDEX('Entrada de Dados'!E$6:E$196,MATCH($C275,'Entrada de Dados'!$A$6:$A$196,0))</f>
        <v/>
      </c>
      <c r="I275" s="243">
        <f>INDEX('Entrada de Dados'!F$6:F$196,MATCH($C275,'Entrada de Dados'!$A$6:$A$196,0))</f>
        <v/>
      </c>
      <c r="J275" s="243">
        <f>INDEX('Entrada de Dados'!G$6:G$196,MATCH($C275,'Entrada de Dados'!$A$6:$A$196,0))</f>
        <v/>
      </c>
      <c r="K275" s="243">
        <f>INDEX('Entrada de Dados'!H$6:H$196,MATCH($C275,'Entrada de Dados'!$A$6:$A$196,0))</f>
        <v/>
      </c>
      <c r="L275" s="243">
        <f>INDEX('Entrada de Dados'!I$6:I$196,MATCH($C275,'Entrada de Dados'!$A$6:$A$196,0))</f>
        <v/>
      </c>
      <c r="M275" s="243">
        <f>INDEX('Entrada de Dados'!J$6:J$196,MATCH($C275,'Entrada de Dados'!$A$6:$A$196,0))</f>
        <v/>
      </c>
      <c r="N275" s="243">
        <f>INDEX('Entrada de Dados'!K$6:K$196,MATCH($C275,'Entrada de Dados'!$A$6:$A$196,0))</f>
        <v/>
      </c>
      <c r="O275" s="243">
        <f>INDEX('Entrada de Dados'!L$6:L$196,MATCH($C275,'Entrada de Dados'!$A$6:$A$196,0))</f>
        <v/>
      </c>
      <c r="P275" s="243">
        <f>INDEX('Entrada de Dados'!M$6:M$196,MATCH($C275,'Entrada de Dados'!$A$6:$A$196,0))</f>
        <v/>
      </c>
      <c r="Q275" s="243">
        <f>INDEX('Entrada de Dados'!N$6:N$196,MATCH($C275,'Entrada de Dados'!$A$6:$A$196,0))</f>
        <v/>
      </c>
      <c r="R275" s="243">
        <f>INDEX('Entrada de Dados'!O$6:O$196,MATCH($C275,'Entrada de Dados'!$A$6:$A$196,0))</f>
        <v/>
      </c>
      <c r="S275" s="243">
        <f>INDEX('Entrada de Dados'!P$6:P$196,MATCH($C275,'Entrada de Dados'!$A$6:$A$196,0))</f>
        <v/>
      </c>
      <c r="T275" s="243">
        <f>INDEX('Entrada de Dados'!Q$6:Q$196,MATCH($C275,'Entrada de Dados'!$A$6:$A$196,0))</f>
        <v/>
      </c>
      <c r="U275" s="243">
        <f>INDEX('Entrada de Dados'!R$6:R$196,MATCH($C275,'Entrada de Dados'!$A$6:$A$196,0))</f>
        <v/>
      </c>
      <c r="V275" s="243">
        <f>INDEX('Entrada de Dados'!S$6:S$196,MATCH($C275,'Entrada de Dados'!$A$6:$A$196,0))</f>
        <v/>
      </c>
      <c r="W275" s="243">
        <f>INDEX('Entrada de Dados'!T$6:T$196,MATCH($C275,'Entrada de Dados'!$A$6:$A$196,0))</f>
        <v/>
      </c>
      <c r="X275" s="243">
        <f>INDEX('Entrada de Dados'!U$6:U$196,MATCH($C275,'Entrada de Dados'!$A$6:$A$196,0))</f>
        <v/>
      </c>
    </row>
    <row r="276">
      <c r="A276" s="241" t="n">
        <v>5</v>
      </c>
      <c r="B276" s="241" t="inlineStr"/>
      <c r="C276" s="241" t="inlineStr">
        <is>
          <t>1005</t>
        </is>
      </c>
      <c r="D276" s="242">
        <f>HYPERLINK("#'E M CLEMENTE FERNANDES'!A1","E M CLEMENTE FERNANDES")</f>
        <v/>
      </c>
      <c r="E276" s="242" t="inlineStr">
        <is>
          <t>ALTO DA SERRA</t>
        </is>
      </c>
      <c r="F276" s="243">
        <f>INDEX('Entrada de Dados'!C$6:C$196,MATCH($C276,'Entrada de Dados'!$A$6:$A$196,0))</f>
        <v/>
      </c>
      <c r="G276" s="243">
        <f>INDEX('Entrada de Dados'!D$6:D$196,MATCH($C276,'Entrada de Dados'!$A$6:$A$196,0))</f>
        <v/>
      </c>
      <c r="H276" s="243">
        <f>INDEX('Entrada de Dados'!E$6:E$196,MATCH($C276,'Entrada de Dados'!$A$6:$A$196,0))</f>
        <v/>
      </c>
      <c r="I276" s="243">
        <f>INDEX('Entrada de Dados'!F$6:F$196,MATCH($C276,'Entrada de Dados'!$A$6:$A$196,0))</f>
        <v/>
      </c>
      <c r="J276" s="243">
        <f>INDEX('Entrada de Dados'!G$6:G$196,MATCH($C276,'Entrada de Dados'!$A$6:$A$196,0))</f>
        <v/>
      </c>
      <c r="K276" s="243">
        <f>INDEX('Entrada de Dados'!H$6:H$196,MATCH($C276,'Entrada de Dados'!$A$6:$A$196,0))</f>
        <v/>
      </c>
      <c r="L276" s="243">
        <f>INDEX('Entrada de Dados'!I$6:I$196,MATCH($C276,'Entrada de Dados'!$A$6:$A$196,0))</f>
        <v/>
      </c>
      <c r="M276" s="243">
        <f>INDEX('Entrada de Dados'!J$6:J$196,MATCH($C276,'Entrada de Dados'!$A$6:$A$196,0))</f>
        <v/>
      </c>
      <c r="N276" s="243">
        <f>INDEX('Entrada de Dados'!K$6:K$196,MATCH($C276,'Entrada de Dados'!$A$6:$A$196,0))</f>
        <v/>
      </c>
      <c r="O276" s="243">
        <f>INDEX('Entrada de Dados'!L$6:L$196,MATCH($C276,'Entrada de Dados'!$A$6:$A$196,0))</f>
        <v/>
      </c>
      <c r="P276" s="243">
        <f>INDEX('Entrada de Dados'!M$6:M$196,MATCH($C276,'Entrada de Dados'!$A$6:$A$196,0))</f>
        <v/>
      </c>
      <c r="Q276" s="243">
        <f>INDEX('Entrada de Dados'!N$6:N$196,MATCH($C276,'Entrada de Dados'!$A$6:$A$196,0))</f>
        <v/>
      </c>
      <c r="R276" s="243">
        <f>INDEX('Entrada de Dados'!O$6:O$196,MATCH($C276,'Entrada de Dados'!$A$6:$A$196,0))</f>
        <v/>
      </c>
      <c r="S276" s="243">
        <f>INDEX('Entrada de Dados'!P$6:P$196,MATCH($C276,'Entrada de Dados'!$A$6:$A$196,0))</f>
        <v/>
      </c>
      <c r="T276" s="243">
        <f>INDEX('Entrada de Dados'!Q$6:Q$196,MATCH($C276,'Entrada de Dados'!$A$6:$A$196,0))</f>
        <v/>
      </c>
      <c r="U276" s="243">
        <f>INDEX('Entrada de Dados'!R$6:R$196,MATCH($C276,'Entrada de Dados'!$A$6:$A$196,0))</f>
        <v/>
      </c>
      <c r="V276" s="243">
        <f>INDEX('Entrada de Dados'!S$6:S$196,MATCH($C276,'Entrada de Dados'!$A$6:$A$196,0))</f>
        <v/>
      </c>
      <c r="W276" s="243">
        <f>INDEX('Entrada de Dados'!T$6:T$196,MATCH($C276,'Entrada de Dados'!$A$6:$A$196,0))</f>
        <v/>
      </c>
      <c r="X276" s="243">
        <f>INDEX('Entrada de Dados'!U$6:U$196,MATCH($C276,'Entrada de Dados'!$A$6:$A$196,0))</f>
        <v/>
      </c>
    </row>
    <row r="277">
      <c r="A277" s="241" t="n">
        <v>6</v>
      </c>
      <c r="B277" s="241" t="inlineStr"/>
      <c r="C277" s="241" t="inlineStr">
        <is>
          <t>3022</t>
        </is>
      </c>
      <c r="D277" s="242">
        <f>HYPERLINK("#'CEI DEISE ELOY GOMES'!A1","CEI DEISE ELOY GOMES")</f>
        <v/>
      </c>
      <c r="E277" s="242" t="inlineStr">
        <is>
          <t>ALTO DA SERRA</t>
        </is>
      </c>
      <c r="F277" s="243">
        <f>INDEX('Entrada de Dados'!C$6:C$196,MATCH($C277,'Entrada de Dados'!$A$6:$A$196,0))</f>
        <v/>
      </c>
      <c r="G277" s="243">
        <f>INDEX('Entrada de Dados'!D$6:D$196,MATCH($C277,'Entrada de Dados'!$A$6:$A$196,0))</f>
        <v/>
      </c>
      <c r="H277" s="243">
        <f>INDEX('Entrada de Dados'!E$6:E$196,MATCH($C277,'Entrada de Dados'!$A$6:$A$196,0))</f>
        <v/>
      </c>
      <c r="I277" s="243">
        <f>INDEX('Entrada de Dados'!F$6:F$196,MATCH($C277,'Entrada de Dados'!$A$6:$A$196,0))</f>
        <v/>
      </c>
      <c r="J277" s="243">
        <f>INDEX('Entrada de Dados'!G$6:G$196,MATCH($C277,'Entrada de Dados'!$A$6:$A$196,0))</f>
        <v/>
      </c>
      <c r="K277" s="243">
        <f>INDEX('Entrada de Dados'!H$6:H$196,MATCH($C277,'Entrada de Dados'!$A$6:$A$196,0))</f>
        <v/>
      </c>
      <c r="L277" s="243">
        <f>INDEX('Entrada de Dados'!I$6:I$196,MATCH($C277,'Entrada de Dados'!$A$6:$A$196,0))</f>
        <v/>
      </c>
      <c r="M277" s="243">
        <f>INDEX('Entrada de Dados'!J$6:J$196,MATCH($C277,'Entrada de Dados'!$A$6:$A$196,0))</f>
        <v/>
      </c>
      <c r="N277" s="243">
        <f>INDEX('Entrada de Dados'!K$6:K$196,MATCH($C277,'Entrada de Dados'!$A$6:$A$196,0))</f>
        <v/>
      </c>
      <c r="O277" s="243">
        <f>INDEX('Entrada de Dados'!L$6:L$196,MATCH($C277,'Entrada de Dados'!$A$6:$A$196,0))</f>
        <v/>
      </c>
      <c r="P277" s="243">
        <f>INDEX('Entrada de Dados'!M$6:M$196,MATCH($C277,'Entrada de Dados'!$A$6:$A$196,0))</f>
        <v/>
      </c>
      <c r="Q277" s="243">
        <f>INDEX('Entrada de Dados'!N$6:N$196,MATCH($C277,'Entrada de Dados'!$A$6:$A$196,0))</f>
        <v/>
      </c>
      <c r="R277" s="243">
        <f>INDEX('Entrada de Dados'!O$6:O$196,MATCH($C277,'Entrada de Dados'!$A$6:$A$196,0))</f>
        <v/>
      </c>
      <c r="S277" s="243">
        <f>INDEX('Entrada de Dados'!P$6:P$196,MATCH($C277,'Entrada de Dados'!$A$6:$A$196,0))</f>
        <v/>
      </c>
      <c r="T277" s="243">
        <f>INDEX('Entrada de Dados'!Q$6:Q$196,MATCH($C277,'Entrada de Dados'!$A$6:$A$196,0))</f>
        <v/>
      </c>
      <c r="U277" s="243">
        <f>INDEX('Entrada de Dados'!R$6:R$196,MATCH($C277,'Entrada de Dados'!$A$6:$A$196,0))</f>
        <v/>
      </c>
      <c r="V277" s="243">
        <f>INDEX('Entrada de Dados'!S$6:S$196,MATCH($C277,'Entrada de Dados'!$A$6:$A$196,0))</f>
        <v/>
      </c>
      <c r="W277" s="243">
        <f>INDEX('Entrada de Dados'!T$6:T$196,MATCH($C277,'Entrada de Dados'!$A$6:$A$196,0))</f>
        <v/>
      </c>
      <c r="X277" s="243">
        <f>INDEX('Entrada de Dados'!U$6:U$196,MATCH($C277,'Entrada de Dados'!$A$6:$A$196,0))</f>
        <v/>
      </c>
    </row>
    <row r="278">
      <c r="A278" s="253" t="n">
        <v>7</v>
      </c>
      <c r="B278" s="253" t="inlineStr">
        <is>
          <t>A</t>
        </is>
      </c>
      <c r="C278" s="254" t="inlineStr">
        <is>
          <t>1078</t>
        </is>
      </c>
      <c r="D278" s="255">
        <f>HYPERLINK("#'E M GERALDO VENTURA DIAS'!A1","E M GERALDO VENTURA DIAS")</f>
        <v/>
      </c>
      <c r="E278" s="255" t="inlineStr">
        <is>
          <t>ALTO DA SERRA</t>
        </is>
      </c>
      <c r="F278" s="256">
        <f>INDEX('Entrada de Dados'!C$6:C$196,MATCH($C278,'Entrada de Dados'!$A$6:$A$196,0))</f>
        <v/>
      </c>
      <c r="G278" s="256">
        <f>INDEX('Entrada de Dados'!D$6:D$196,MATCH($C278,'Entrada de Dados'!$A$6:$A$196,0))</f>
        <v/>
      </c>
      <c r="H278" s="256">
        <f>INDEX('Entrada de Dados'!E$6:E$196,MATCH($C278,'Entrada de Dados'!$A$6:$A$196,0))</f>
        <v/>
      </c>
      <c r="I278" s="256">
        <f>INDEX('Entrada de Dados'!F$6:F$196,MATCH($C278,'Entrada de Dados'!$A$6:$A$196,0))</f>
        <v/>
      </c>
      <c r="J278" s="256">
        <f>INDEX('Entrada de Dados'!G$6:G$196,MATCH($C278,'Entrada de Dados'!$A$6:$A$196,0))</f>
        <v/>
      </c>
      <c r="K278" s="256">
        <f>INDEX('Entrada de Dados'!H$6:H$196,MATCH($C278,'Entrada de Dados'!$A$6:$A$196,0))</f>
        <v/>
      </c>
      <c r="L278" s="256">
        <f>INDEX('Entrada de Dados'!I$6:I$196,MATCH($C278,'Entrada de Dados'!$A$6:$A$196,0))</f>
        <v/>
      </c>
      <c r="M278" s="256">
        <f>INDEX('Entrada de Dados'!J$6:J$196,MATCH($C278,'Entrada de Dados'!$A$6:$A$196,0))</f>
        <v/>
      </c>
      <c r="N278" s="256">
        <f>INDEX('Entrada de Dados'!K$6:K$196,MATCH($C278,'Entrada de Dados'!$A$6:$A$196,0))</f>
        <v/>
      </c>
      <c r="O278" s="256">
        <f>INDEX('Entrada de Dados'!L$6:L$196,MATCH($C278,'Entrada de Dados'!$A$6:$A$196,0))</f>
        <v/>
      </c>
      <c r="P278" s="256">
        <f>INDEX('Entrada de Dados'!M$6:M$196,MATCH($C278,'Entrada de Dados'!$A$6:$A$196,0))</f>
        <v/>
      </c>
      <c r="Q278" s="256">
        <f>INDEX('Entrada de Dados'!N$6:N$196,MATCH($C278,'Entrada de Dados'!$A$6:$A$196,0))</f>
        <v/>
      </c>
      <c r="R278" s="256">
        <f>INDEX('Entrada de Dados'!O$6:O$196,MATCH($C278,'Entrada de Dados'!$A$6:$A$196,0))</f>
        <v/>
      </c>
      <c r="S278" s="256">
        <f>INDEX('Entrada de Dados'!P$6:P$196,MATCH($C278,'Entrada de Dados'!$A$6:$A$196,0))</f>
        <v/>
      </c>
      <c r="T278" s="256">
        <f>INDEX('Entrada de Dados'!Q$6:Q$196,MATCH($C278,'Entrada de Dados'!$A$6:$A$196,0))</f>
        <v/>
      </c>
      <c r="U278" s="256">
        <f>INDEX('Entrada de Dados'!R$6:R$196,MATCH($C278,'Entrada de Dados'!$A$6:$A$196,0))</f>
        <v/>
      </c>
      <c r="V278" s="256">
        <f>INDEX('Entrada de Dados'!S$6:S$196,MATCH($C278,'Entrada de Dados'!$A$6:$A$196,0))</f>
        <v/>
      </c>
      <c r="W278" s="256">
        <f>INDEX('Entrada de Dados'!T$6:T$196,MATCH($C278,'Entrada de Dados'!$A$6:$A$196,0))</f>
        <v/>
      </c>
      <c r="X278" s="256">
        <f>INDEX('Entrada de Dados'!U$6:U$196,MATCH($C278,'Entrada de Dados'!$A$6:$A$196,0))</f>
        <v/>
      </c>
    </row>
    <row r="279">
      <c r="A279" s="253" t="n">
        <v>7</v>
      </c>
      <c r="B279" s="253" t="inlineStr">
        <is>
          <t>B</t>
        </is>
      </c>
      <c r="C279" s="254" t="inlineStr">
        <is>
          <t>3019</t>
        </is>
      </c>
      <c r="D279" s="255">
        <f>HYPERLINK("#'CEI PROFª ROSANGELA DA SILVA LE'!A1","CEI PROFª ROSANGELA DA SILVA LEONARDO")</f>
        <v/>
      </c>
      <c r="E279" s="255" t="inlineStr">
        <is>
          <t>ALTO DA SERRA</t>
        </is>
      </c>
      <c r="F279" s="256">
        <f>INDEX('Entrada de Dados'!C$6:C$196,MATCH($C279,'Entrada de Dados'!$A$6:$A$196,0))</f>
        <v/>
      </c>
      <c r="G279" s="256">
        <f>INDEX('Entrada de Dados'!D$6:D$196,MATCH($C279,'Entrada de Dados'!$A$6:$A$196,0))</f>
        <v/>
      </c>
      <c r="H279" s="256">
        <f>INDEX('Entrada de Dados'!E$6:E$196,MATCH($C279,'Entrada de Dados'!$A$6:$A$196,0))</f>
        <v/>
      </c>
      <c r="I279" s="256">
        <f>INDEX('Entrada de Dados'!F$6:F$196,MATCH($C279,'Entrada de Dados'!$A$6:$A$196,0))</f>
        <v/>
      </c>
      <c r="J279" s="256">
        <f>INDEX('Entrada de Dados'!G$6:G$196,MATCH($C279,'Entrada de Dados'!$A$6:$A$196,0))</f>
        <v/>
      </c>
      <c r="K279" s="256">
        <f>INDEX('Entrada de Dados'!H$6:H$196,MATCH($C279,'Entrada de Dados'!$A$6:$A$196,0))</f>
        <v/>
      </c>
      <c r="L279" s="256">
        <f>INDEX('Entrada de Dados'!I$6:I$196,MATCH($C279,'Entrada de Dados'!$A$6:$A$196,0))</f>
        <v/>
      </c>
      <c r="M279" s="256">
        <f>INDEX('Entrada de Dados'!J$6:J$196,MATCH($C279,'Entrada de Dados'!$A$6:$A$196,0))</f>
        <v/>
      </c>
      <c r="N279" s="256">
        <f>INDEX('Entrada de Dados'!K$6:K$196,MATCH($C279,'Entrada de Dados'!$A$6:$A$196,0))</f>
        <v/>
      </c>
      <c r="O279" s="256">
        <f>INDEX('Entrada de Dados'!L$6:L$196,MATCH($C279,'Entrada de Dados'!$A$6:$A$196,0))</f>
        <v/>
      </c>
      <c r="P279" s="256">
        <f>INDEX('Entrada de Dados'!M$6:M$196,MATCH($C279,'Entrada de Dados'!$A$6:$A$196,0))</f>
        <v/>
      </c>
      <c r="Q279" s="256">
        <f>INDEX('Entrada de Dados'!N$6:N$196,MATCH($C279,'Entrada de Dados'!$A$6:$A$196,0))</f>
        <v/>
      </c>
      <c r="R279" s="256">
        <f>INDEX('Entrada de Dados'!O$6:O$196,MATCH($C279,'Entrada de Dados'!$A$6:$A$196,0))</f>
        <v/>
      </c>
      <c r="S279" s="256">
        <f>INDEX('Entrada de Dados'!P$6:P$196,MATCH($C279,'Entrada de Dados'!$A$6:$A$196,0))</f>
        <v/>
      </c>
      <c r="T279" s="256">
        <f>INDEX('Entrada de Dados'!Q$6:Q$196,MATCH($C279,'Entrada de Dados'!$A$6:$A$196,0))</f>
        <v/>
      </c>
      <c r="U279" s="256">
        <f>INDEX('Entrada de Dados'!R$6:R$196,MATCH($C279,'Entrada de Dados'!$A$6:$A$196,0))</f>
        <v/>
      </c>
      <c r="V279" s="256">
        <f>INDEX('Entrada de Dados'!S$6:S$196,MATCH($C279,'Entrada de Dados'!$A$6:$A$196,0))</f>
        <v/>
      </c>
      <c r="W279" s="256">
        <f>INDEX('Entrada de Dados'!T$6:T$196,MATCH($C279,'Entrada de Dados'!$A$6:$A$196,0))</f>
        <v/>
      </c>
      <c r="X279" s="256">
        <f>INDEX('Entrada de Dados'!U$6:U$196,MATCH($C279,'Entrada de Dados'!$A$6:$A$196,0))</f>
        <v/>
      </c>
    </row>
    <row r="280">
      <c r="A280" s="241" t="n">
        <v>8</v>
      </c>
      <c r="B280" s="241" t="inlineStr"/>
      <c r="C280" s="241" t="inlineStr">
        <is>
          <t>3031</t>
        </is>
      </c>
      <c r="D280" s="242">
        <f>HYPERLINK("#'CEI PROFª SONIA REGINA SCUDESE '!A1","CEI PROFª SONIA REGINA SCUDESE DESSIMONI PINTO")</f>
        <v/>
      </c>
      <c r="E280" s="242" t="inlineStr">
        <is>
          <t>ALTO DA SERRA</t>
        </is>
      </c>
      <c r="F280" s="243">
        <f>INDEX('Entrada de Dados'!C$6:C$196,MATCH($C280,'Entrada de Dados'!$A$6:$A$196,0))</f>
        <v/>
      </c>
      <c r="G280" s="243">
        <f>INDEX('Entrada de Dados'!D$6:D$196,MATCH($C280,'Entrada de Dados'!$A$6:$A$196,0))</f>
        <v/>
      </c>
      <c r="H280" s="243">
        <f>INDEX('Entrada de Dados'!E$6:E$196,MATCH($C280,'Entrada de Dados'!$A$6:$A$196,0))</f>
        <v/>
      </c>
      <c r="I280" s="243">
        <f>INDEX('Entrada de Dados'!F$6:F$196,MATCH($C280,'Entrada de Dados'!$A$6:$A$196,0))</f>
        <v/>
      </c>
      <c r="J280" s="243">
        <f>INDEX('Entrada de Dados'!G$6:G$196,MATCH($C280,'Entrada de Dados'!$A$6:$A$196,0))</f>
        <v/>
      </c>
      <c r="K280" s="243">
        <f>INDEX('Entrada de Dados'!H$6:H$196,MATCH($C280,'Entrada de Dados'!$A$6:$A$196,0))</f>
        <v/>
      </c>
      <c r="L280" s="243">
        <f>INDEX('Entrada de Dados'!I$6:I$196,MATCH($C280,'Entrada de Dados'!$A$6:$A$196,0))</f>
        <v/>
      </c>
      <c r="M280" s="243">
        <f>INDEX('Entrada de Dados'!J$6:J$196,MATCH($C280,'Entrada de Dados'!$A$6:$A$196,0))</f>
        <v/>
      </c>
      <c r="N280" s="243">
        <f>INDEX('Entrada de Dados'!K$6:K$196,MATCH($C280,'Entrada de Dados'!$A$6:$A$196,0))</f>
        <v/>
      </c>
      <c r="O280" s="243">
        <f>INDEX('Entrada de Dados'!L$6:L$196,MATCH($C280,'Entrada de Dados'!$A$6:$A$196,0))</f>
        <v/>
      </c>
      <c r="P280" s="243">
        <f>INDEX('Entrada de Dados'!M$6:M$196,MATCH($C280,'Entrada de Dados'!$A$6:$A$196,0))</f>
        <v/>
      </c>
      <c r="Q280" s="243">
        <f>INDEX('Entrada de Dados'!N$6:N$196,MATCH($C280,'Entrada de Dados'!$A$6:$A$196,0))</f>
        <v/>
      </c>
      <c r="R280" s="243">
        <f>INDEX('Entrada de Dados'!O$6:O$196,MATCH($C280,'Entrada de Dados'!$A$6:$A$196,0))</f>
        <v/>
      </c>
      <c r="S280" s="243">
        <f>INDEX('Entrada de Dados'!P$6:P$196,MATCH($C280,'Entrada de Dados'!$A$6:$A$196,0))</f>
        <v/>
      </c>
      <c r="T280" s="243">
        <f>INDEX('Entrada de Dados'!Q$6:Q$196,MATCH($C280,'Entrada de Dados'!$A$6:$A$196,0))</f>
        <v/>
      </c>
      <c r="U280" s="243">
        <f>INDEX('Entrada de Dados'!R$6:R$196,MATCH($C280,'Entrada de Dados'!$A$6:$A$196,0))</f>
        <v/>
      </c>
      <c r="V280" s="243">
        <f>INDEX('Entrada de Dados'!S$6:S$196,MATCH($C280,'Entrada de Dados'!$A$6:$A$196,0))</f>
        <v/>
      </c>
      <c r="W280" s="243">
        <f>INDEX('Entrada de Dados'!T$6:T$196,MATCH($C280,'Entrada de Dados'!$A$6:$A$196,0))</f>
        <v/>
      </c>
      <c r="X280" s="243">
        <f>INDEX('Entrada de Dados'!U$6:U$196,MATCH($C280,'Entrada de Dados'!$A$6:$A$196,0))</f>
        <v/>
      </c>
    </row>
    <row r="281">
      <c r="A281" s="241" t="n">
        <v>9</v>
      </c>
      <c r="B281" s="241" t="inlineStr"/>
      <c r="C281" s="241" t="inlineStr">
        <is>
          <t>3036</t>
        </is>
      </c>
      <c r="D281" s="242">
        <f>HYPERLINK("#'CEI TIA ALICE'!A1","CEI TIA ALICE")</f>
        <v/>
      </c>
      <c r="E281" s="242" t="inlineStr">
        <is>
          <t>ALTO DA SERRA</t>
        </is>
      </c>
      <c r="F281" s="243">
        <f>INDEX('Entrada de Dados'!C$6:C$196,MATCH($C281,'Entrada de Dados'!$A$6:$A$196,0))</f>
        <v/>
      </c>
      <c r="G281" s="243">
        <f>INDEX('Entrada de Dados'!D$6:D$196,MATCH($C281,'Entrada de Dados'!$A$6:$A$196,0))</f>
        <v/>
      </c>
      <c r="H281" s="243">
        <f>INDEX('Entrada de Dados'!E$6:E$196,MATCH($C281,'Entrada de Dados'!$A$6:$A$196,0))</f>
        <v/>
      </c>
      <c r="I281" s="243">
        <f>INDEX('Entrada de Dados'!F$6:F$196,MATCH($C281,'Entrada de Dados'!$A$6:$A$196,0))</f>
        <v/>
      </c>
      <c r="J281" s="243">
        <f>INDEX('Entrada de Dados'!G$6:G$196,MATCH($C281,'Entrada de Dados'!$A$6:$A$196,0))</f>
        <v/>
      </c>
      <c r="K281" s="243">
        <f>INDEX('Entrada de Dados'!H$6:H$196,MATCH($C281,'Entrada de Dados'!$A$6:$A$196,0))</f>
        <v/>
      </c>
      <c r="L281" s="243">
        <f>INDEX('Entrada de Dados'!I$6:I$196,MATCH($C281,'Entrada de Dados'!$A$6:$A$196,0))</f>
        <v/>
      </c>
      <c r="M281" s="243">
        <f>INDEX('Entrada de Dados'!J$6:J$196,MATCH($C281,'Entrada de Dados'!$A$6:$A$196,0))</f>
        <v/>
      </c>
      <c r="N281" s="243">
        <f>INDEX('Entrada de Dados'!K$6:K$196,MATCH($C281,'Entrada de Dados'!$A$6:$A$196,0))</f>
        <v/>
      </c>
      <c r="O281" s="243">
        <f>INDEX('Entrada de Dados'!L$6:L$196,MATCH($C281,'Entrada de Dados'!$A$6:$A$196,0))</f>
        <v/>
      </c>
      <c r="P281" s="243">
        <f>INDEX('Entrada de Dados'!M$6:M$196,MATCH($C281,'Entrada de Dados'!$A$6:$A$196,0))</f>
        <v/>
      </c>
      <c r="Q281" s="243">
        <f>INDEX('Entrada de Dados'!N$6:N$196,MATCH($C281,'Entrada de Dados'!$A$6:$A$196,0))</f>
        <v/>
      </c>
      <c r="R281" s="243">
        <f>INDEX('Entrada de Dados'!O$6:O$196,MATCH($C281,'Entrada de Dados'!$A$6:$A$196,0))</f>
        <v/>
      </c>
      <c r="S281" s="243">
        <f>INDEX('Entrada de Dados'!P$6:P$196,MATCH($C281,'Entrada de Dados'!$A$6:$A$196,0))</f>
        <v/>
      </c>
      <c r="T281" s="243">
        <f>INDEX('Entrada de Dados'!Q$6:Q$196,MATCH($C281,'Entrada de Dados'!$A$6:$A$196,0))</f>
        <v/>
      </c>
      <c r="U281" s="243">
        <f>INDEX('Entrada de Dados'!R$6:R$196,MATCH($C281,'Entrada de Dados'!$A$6:$A$196,0))</f>
        <v/>
      </c>
      <c r="V281" s="243">
        <f>INDEX('Entrada de Dados'!S$6:S$196,MATCH($C281,'Entrada de Dados'!$A$6:$A$196,0))</f>
        <v/>
      </c>
      <c r="W281" s="243">
        <f>INDEX('Entrada de Dados'!T$6:T$196,MATCH($C281,'Entrada de Dados'!$A$6:$A$196,0))</f>
        <v/>
      </c>
      <c r="X281" s="243">
        <f>INDEX('Entrada de Dados'!U$6:U$196,MATCH($C281,'Entrada de Dados'!$A$6:$A$196,0))</f>
        <v/>
      </c>
    </row>
    <row r="282">
      <c r="A282" s="241" t="n">
        <v>10</v>
      </c>
      <c r="B282" s="241" t="inlineStr"/>
      <c r="C282" s="241" t="inlineStr">
        <is>
          <t>2009</t>
        </is>
      </c>
      <c r="D282" s="242">
        <f>HYPERLINK("#'ESCOLA DAS COMUNIDADES SANTO AN'!A1","ESCOLA DAS COMUNIDADES SANTO ANTÔNIO")</f>
        <v/>
      </c>
      <c r="E282" s="242" t="inlineStr">
        <is>
          <t>ALTO DA SERRA</t>
        </is>
      </c>
      <c r="F282" s="243">
        <f>INDEX('Entrada de Dados'!C$6:C$196,MATCH($C282,'Entrada de Dados'!$A$6:$A$196,0))</f>
        <v/>
      </c>
      <c r="G282" s="243">
        <f>INDEX('Entrada de Dados'!D$6:D$196,MATCH($C282,'Entrada de Dados'!$A$6:$A$196,0))</f>
        <v/>
      </c>
      <c r="H282" s="243">
        <f>INDEX('Entrada de Dados'!E$6:E$196,MATCH($C282,'Entrada de Dados'!$A$6:$A$196,0))</f>
        <v/>
      </c>
      <c r="I282" s="243">
        <f>INDEX('Entrada de Dados'!F$6:F$196,MATCH($C282,'Entrada de Dados'!$A$6:$A$196,0))</f>
        <v/>
      </c>
      <c r="J282" s="243">
        <f>INDEX('Entrada de Dados'!G$6:G$196,MATCH($C282,'Entrada de Dados'!$A$6:$A$196,0))</f>
        <v/>
      </c>
      <c r="K282" s="243">
        <f>INDEX('Entrada de Dados'!H$6:H$196,MATCH($C282,'Entrada de Dados'!$A$6:$A$196,0))</f>
        <v/>
      </c>
      <c r="L282" s="243">
        <f>INDEX('Entrada de Dados'!I$6:I$196,MATCH($C282,'Entrada de Dados'!$A$6:$A$196,0))</f>
        <v/>
      </c>
      <c r="M282" s="243">
        <f>INDEX('Entrada de Dados'!J$6:J$196,MATCH($C282,'Entrada de Dados'!$A$6:$A$196,0))</f>
        <v/>
      </c>
      <c r="N282" s="243">
        <f>INDEX('Entrada de Dados'!K$6:K$196,MATCH($C282,'Entrada de Dados'!$A$6:$A$196,0))</f>
        <v/>
      </c>
      <c r="O282" s="243">
        <f>INDEX('Entrada de Dados'!L$6:L$196,MATCH($C282,'Entrada de Dados'!$A$6:$A$196,0))</f>
        <v/>
      </c>
      <c r="P282" s="243">
        <f>INDEX('Entrada de Dados'!M$6:M$196,MATCH($C282,'Entrada de Dados'!$A$6:$A$196,0))</f>
        <v/>
      </c>
      <c r="Q282" s="243">
        <f>INDEX('Entrada de Dados'!N$6:N$196,MATCH($C282,'Entrada de Dados'!$A$6:$A$196,0))</f>
        <v/>
      </c>
      <c r="R282" s="243">
        <f>INDEX('Entrada de Dados'!O$6:O$196,MATCH($C282,'Entrada de Dados'!$A$6:$A$196,0))</f>
        <v/>
      </c>
      <c r="S282" s="243">
        <f>INDEX('Entrada de Dados'!P$6:P$196,MATCH($C282,'Entrada de Dados'!$A$6:$A$196,0))</f>
        <v/>
      </c>
      <c r="T282" s="243">
        <f>INDEX('Entrada de Dados'!Q$6:Q$196,MATCH($C282,'Entrada de Dados'!$A$6:$A$196,0))</f>
        <v/>
      </c>
      <c r="U282" s="243">
        <f>INDEX('Entrada de Dados'!R$6:R$196,MATCH($C282,'Entrada de Dados'!$A$6:$A$196,0))</f>
        <v/>
      </c>
      <c r="V282" s="243">
        <f>INDEX('Entrada de Dados'!S$6:S$196,MATCH($C282,'Entrada de Dados'!$A$6:$A$196,0))</f>
        <v/>
      </c>
      <c r="W282" s="243">
        <f>INDEX('Entrada de Dados'!T$6:T$196,MATCH($C282,'Entrada de Dados'!$A$6:$A$196,0))</f>
        <v/>
      </c>
      <c r="X282" s="243">
        <f>INDEX('Entrada de Dados'!U$6:U$196,MATCH($C282,'Entrada de Dados'!$A$6:$A$196,0))</f>
        <v/>
      </c>
    </row>
    <row r="283">
      <c r="A283" s="241" t="n">
        <v>11</v>
      </c>
      <c r="B283" s="241" t="inlineStr"/>
      <c r="C283" s="241" t="inlineStr">
        <is>
          <t>1088</t>
        </is>
      </c>
      <c r="D283" s="242">
        <f>HYPERLINK("#'E M PEDRO AMADO'!A1","E M PEDRO AMADO")</f>
        <v/>
      </c>
      <c r="E283" s="242" t="inlineStr">
        <is>
          <t>MEIO DA SERRA</t>
        </is>
      </c>
      <c r="F283" s="243">
        <f>INDEX('Entrada de Dados'!C$6:C$196,MATCH($C283,'Entrada de Dados'!$A$6:$A$196,0))</f>
        <v/>
      </c>
      <c r="G283" s="243">
        <f>INDEX('Entrada de Dados'!D$6:D$196,MATCH($C283,'Entrada de Dados'!$A$6:$A$196,0))</f>
        <v/>
      </c>
      <c r="H283" s="243">
        <f>INDEX('Entrada de Dados'!E$6:E$196,MATCH($C283,'Entrada de Dados'!$A$6:$A$196,0))</f>
        <v/>
      </c>
      <c r="I283" s="243">
        <f>INDEX('Entrada de Dados'!F$6:F$196,MATCH($C283,'Entrada de Dados'!$A$6:$A$196,0))</f>
        <v/>
      </c>
      <c r="J283" s="243">
        <f>INDEX('Entrada de Dados'!G$6:G$196,MATCH($C283,'Entrada de Dados'!$A$6:$A$196,0))</f>
        <v/>
      </c>
      <c r="K283" s="243">
        <f>INDEX('Entrada de Dados'!H$6:H$196,MATCH($C283,'Entrada de Dados'!$A$6:$A$196,0))</f>
        <v/>
      </c>
      <c r="L283" s="243">
        <f>INDEX('Entrada de Dados'!I$6:I$196,MATCH($C283,'Entrada de Dados'!$A$6:$A$196,0))</f>
        <v/>
      </c>
      <c r="M283" s="243">
        <f>INDEX('Entrada de Dados'!J$6:J$196,MATCH($C283,'Entrada de Dados'!$A$6:$A$196,0))</f>
        <v/>
      </c>
      <c r="N283" s="243">
        <f>INDEX('Entrada de Dados'!K$6:K$196,MATCH($C283,'Entrada de Dados'!$A$6:$A$196,0))</f>
        <v/>
      </c>
      <c r="O283" s="243">
        <f>INDEX('Entrada de Dados'!L$6:L$196,MATCH($C283,'Entrada de Dados'!$A$6:$A$196,0))</f>
        <v/>
      </c>
      <c r="P283" s="243">
        <f>INDEX('Entrada de Dados'!M$6:M$196,MATCH($C283,'Entrada de Dados'!$A$6:$A$196,0))</f>
        <v/>
      </c>
      <c r="Q283" s="243">
        <f>INDEX('Entrada de Dados'!N$6:N$196,MATCH($C283,'Entrada de Dados'!$A$6:$A$196,0))</f>
        <v/>
      </c>
      <c r="R283" s="243">
        <f>INDEX('Entrada de Dados'!O$6:O$196,MATCH($C283,'Entrada de Dados'!$A$6:$A$196,0))</f>
        <v/>
      </c>
      <c r="S283" s="243">
        <f>INDEX('Entrada de Dados'!P$6:P$196,MATCH($C283,'Entrada de Dados'!$A$6:$A$196,0))</f>
        <v/>
      </c>
      <c r="T283" s="243">
        <f>INDEX('Entrada de Dados'!Q$6:Q$196,MATCH($C283,'Entrada de Dados'!$A$6:$A$196,0))</f>
        <v/>
      </c>
      <c r="U283" s="243">
        <f>INDEX('Entrada de Dados'!R$6:R$196,MATCH($C283,'Entrada de Dados'!$A$6:$A$196,0))</f>
        <v/>
      </c>
      <c r="V283" s="243">
        <f>INDEX('Entrada de Dados'!S$6:S$196,MATCH($C283,'Entrada de Dados'!$A$6:$A$196,0))</f>
        <v/>
      </c>
      <c r="W283" s="243">
        <f>INDEX('Entrada de Dados'!T$6:T$196,MATCH($C283,'Entrada de Dados'!$A$6:$A$196,0))</f>
        <v/>
      </c>
      <c r="X283" s="243">
        <f>INDEX('Entrada de Dados'!U$6:U$196,MATCH($C283,'Entrada de Dados'!$A$6:$A$196,0))</f>
        <v/>
      </c>
    </row>
    <row r="284">
      <c r="A284" s="241" t="n">
        <v>12</v>
      </c>
      <c r="B284" s="241" t="inlineStr"/>
      <c r="C284" s="241" t="inlineStr">
        <is>
          <t>1094</t>
        </is>
      </c>
      <c r="D284" s="242">
        <f>HYPERLINK("#'ESCOLA MUNICIPAL PAULO SALDANHA'!A1","ESCOLA MUNICIPAL PAULO SALDANHA")</f>
        <v/>
      </c>
      <c r="E284" s="242" t="inlineStr">
        <is>
          <t>ESTRADA DA SAUDADE</t>
        </is>
      </c>
      <c r="F284" s="243">
        <f>INDEX('Entrada de Dados'!C$6:C$196,MATCH($C284,'Entrada de Dados'!$A$6:$A$196,0))</f>
        <v/>
      </c>
      <c r="G284" s="243">
        <f>INDEX('Entrada de Dados'!D$6:D$196,MATCH($C284,'Entrada de Dados'!$A$6:$A$196,0))</f>
        <v/>
      </c>
      <c r="H284" s="243">
        <f>INDEX('Entrada de Dados'!E$6:E$196,MATCH($C284,'Entrada de Dados'!$A$6:$A$196,0))</f>
        <v/>
      </c>
      <c r="I284" s="243">
        <f>INDEX('Entrada de Dados'!F$6:F$196,MATCH($C284,'Entrada de Dados'!$A$6:$A$196,0))</f>
        <v/>
      </c>
      <c r="J284" s="243">
        <f>INDEX('Entrada de Dados'!G$6:G$196,MATCH($C284,'Entrada de Dados'!$A$6:$A$196,0))</f>
        <v/>
      </c>
      <c r="K284" s="243">
        <f>INDEX('Entrada de Dados'!H$6:H$196,MATCH($C284,'Entrada de Dados'!$A$6:$A$196,0))</f>
        <v/>
      </c>
      <c r="L284" s="243">
        <f>INDEX('Entrada de Dados'!I$6:I$196,MATCH($C284,'Entrada de Dados'!$A$6:$A$196,0))</f>
        <v/>
      </c>
      <c r="M284" s="243">
        <f>INDEX('Entrada de Dados'!J$6:J$196,MATCH($C284,'Entrada de Dados'!$A$6:$A$196,0))</f>
        <v/>
      </c>
      <c r="N284" s="243">
        <f>INDEX('Entrada de Dados'!K$6:K$196,MATCH($C284,'Entrada de Dados'!$A$6:$A$196,0))</f>
        <v/>
      </c>
      <c r="O284" s="243">
        <f>INDEX('Entrada de Dados'!L$6:L$196,MATCH($C284,'Entrada de Dados'!$A$6:$A$196,0))</f>
        <v/>
      </c>
      <c r="P284" s="243">
        <f>INDEX('Entrada de Dados'!M$6:M$196,MATCH($C284,'Entrada de Dados'!$A$6:$A$196,0))</f>
        <v/>
      </c>
      <c r="Q284" s="243">
        <f>INDEX('Entrada de Dados'!N$6:N$196,MATCH($C284,'Entrada de Dados'!$A$6:$A$196,0))</f>
        <v/>
      </c>
      <c r="R284" s="243">
        <f>INDEX('Entrada de Dados'!O$6:O$196,MATCH($C284,'Entrada de Dados'!$A$6:$A$196,0))</f>
        <v/>
      </c>
      <c r="S284" s="243">
        <f>INDEX('Entrada de Dados'!P$6:P$196,MATCH($C284,'Entrada de Dados'!$A$6:$A$196,0))</f>
        <v/>
      </c>
      <c r="T284" s="243">
        <f>INDEX('Entrada de Dados'!Q$6:Q$196,MATCH($C284,'Entrada de Dados'!$A$6:$A$196,0))</f>
        <v/>
      </c>
      <c r="U284" s="243">
        <f>INDEX('Entrada de Dados'!R$6:R$196,MATCH($C284,'Entrada de Dados'!$A$6:$A$196,0))</f>
        <v/>
      </c>
      <c r="V284" s="243">
        <f>INDEX('Entrada de Dados'!S$6:S$196,MATCH($C284,'Entrada de Dados'!$A$6:$A$196,0))</f>
        <v/>
      </c>
      <c r="W284" s="243">
        <f>INDEX('Entrada de Dados'!T$6:T$196,MATCH($C284,'Entrada de Dados'!$A$6:$A$196,0))</f>
        <v/>
      </c>
      <c r="X284" s="243">
        <f>INDEX('Entrada de Dados'!U$6:U$196,MATCH($C284,'Entrada de Dados'!$A$6:$A$196,0))</f>
        <v/>
      </c>
    </row>
    <row r="285">
      <c r="A285" s="241" t="n">
        <v>13</v>
      </c>
      <c r="B285" s="241" t="inlineStr"/>
      <c r="C285" s="241" t="inlineStr">
        <is>
          <t>1018</t>
        </is>
      </c>
      <c r="D285" s="242">
        <f>HYPERLINK("#'E M PROF JOAQUIM DEISTER'!A1","E M PROF JOAQUIM DEISTER")</f>
        <v/>
      </c>
      <c r="E285" s="242" t="inlineStr">
        <is>
          <t>FLORESTA</t>
        </is>
      </c>
      <c r="F285" s="243">
        <f>INDEX('Entrada de Dados'!C$6:C$196,MATCH($C285,'Entrada de Dados'!$A$6:$A$196,0))</f>
        <v/>
      </c>
      <c r="G285" s="243">
        <f>INDEX('Entrada de Dados'!D$6:D$196,MATCH($C285,'Entrada de Dados'!$A$6:$A$196,0))</f>
        <v/>
      </c>
      <c r="H285" s="243">
        <f>INDEX('Entrada de Dados'!E$6:E$196,MATCH($C285,'Entrada de Dados'!$A$6:$A$196,0))</f>
        <v/>
      </c>
      <c r="I285" s="243">
        <f>INDEX('Entrada de Dados'!F$6:F$196,MATCH($C285,'Entrada de Dados'!$A$6:$A$196,0))</f>
        <v/>
      </c>
      <c r="J285" s="243">
        <f>INDEX('Entrada de Dados'!G$6:G$196,MATCH($C285,'Entrada de Dados'!$A$6:$A$196,0))</f>
        <v/>
      </c>
      <c r="K285" s="243">
        <f>INDEX('Entrada de Dados'!H$6:H$196,MATCH($C285,'Entrada de Dados'!$A$6:$A$196,0))</f>
        <v/>
      </c>
      <c r="L285" s="243">
        <f>INDEX('Entrada de Dados'!I$6:I$196,MATCH($C285,'Entrada de Dados'!$A$6:$A$196,0))</f>
        <v/>
      </c>
      <c r="M285" s="243">
        <f>INDEX('Entrada de Dados'!J$6:J$196,MATCH($C285,'Entrada de Dados'!$A$6:$A$196,0))</f>
        <v/>
      </c>
      <c r="N285" s="243">
        <f>INDEX('Entrada de Dados'!K$6:K$196,MATCH($C285,'Entrada de Dados'!$A$6:$A$196,0))</f>
        <v/>
      </c>
      <c r="O285" s="243">
        <f>INDEX('Entrada de Dados'!L$6:L$196,MATCH($C285,'Entrada de Dados'!$A$6:$A$196,0))</f>
        <v/>
      </c>
      <c r="P285" s="243">
        <f>INDEX('Entrada de Dados'!M$6:M$196,MATCH($C285,'Entrada de Dados'!$A$6:$A$196,0))</f>
        <v/>
      </c>
      <c r="Q285" s="243">
        <f>INDEX('Entrada de Dados'!N$6:N$196,MATCH($C285,'Entrada de Dados'!$A$6:$A$196,0))</f>
        <v/>
      </c>
      <c r="R285" s="243">
        <f>INDEX('Entrada de Dados'!O$6:O$196,MATCH($C285,'Entrada de Dados'!$A$6:$A$196,0))</f>
        <v/>
      </c>
      <c r="S285" s="243">
        <f>INDEX('Entrada de Dados'!P$6:P$196,MATCH($C285,'Entrada de Dados'!$A$6:$A$196,0))</f>
        <v/>
      </c>
      <c r="T285" s="243">
        <f>INDEX('Entrada de Dados'!Q$6:Q$196,MATCH($C285,'Entrada de Dados'!$A$6:$A$196,0))</f>
        <v/>
      </c>
      <c r="U285" s="243">
        <f>INDEX('Entrada de Dados'!R$6:R$196,MATCH($C285,'Entrada de Dados'!$A$6:$A$196,0))</f>
        <v/>
      </c>
      <c r="V285" s="243">
        <f>INDEX('Entrada de Dados'!S$6:S$196,MATCH($C285,'Entrada de Dados'!$A$6:$A$196,0))</f>
        <v/>
      </c>
      <c r="W285" s="243">
        <f>INDEX('Entrada de Dados'!T$6:T$196,MATCH($C285,'Entrada de Dados'!$A$6:$A$196,0))</f>
        <v/>
      </c>
      <c r="X285" s="243">
        <f>INDEX('Entrada de Dados'!U$6:U$196,MATCH($C285,'Entrada de Dados'!$A$6:$A$196,0))</f>
        <v/>
      </c>
    </row>
    <row r="286" ht="22" customHeight="1" s="107">
      <c r="A286" s="248" t="inlineStr">
        <is>
          <t>Peso previsto:</t>
        </is>
      </c>
      <c r="C286" s="249">
        <f>SUM(F272:F285)+SUM(G272:G285)+SUM(H272:H285)+SUM(I272:I285)+SUM(J272:J285)+SUM(K272:K285)+SUM(L272:L285)+SUM(M272:M285)+SUM(N272:N285)+SUM(O272:O285)+SUM(P272:P285)+SUM(Q272:Q285)+SUM(R272:R285)+SUM(S272:S285)+SUM(T272:T285)+SUM(U272:U285)+SUM(W272:W285)+SUM(X272:X285)</f>
        <v/>
      </c>
      <c r="D286" s="248" t="inlineStr">
        <is>
          <t>Peso embarcado (kg):</t>
        </is>
      </c>
      <c r="F286" s="250" t="n"/>
      <c r="G286" s="248" t="inlineStr">
        <is>
          <t>Veículo:</t>
        </is>
      </c>
      <c r="I286" s="250" t="n"/>
      <c r="J286" s="251" t="n"/>
      <c r="K286" s="248" t="inlineStr">
        <is>
          <t>Motorista:</t>
        </is>
      </c>
      <c r="M286" s="250" t="n"/>
      <c r="N286" s="252" t="n"/>
      <c r="O286" s="252" t="n"/>
      <c r="P286" s="252" t="n"/>
      <c r="Q286" s="252" t="n"/>
      <c r="R286" s="252" t="n"/>
      <c r="S286" s="252" t="n"/>
      <c r="T286" s="252" t="n"/>
      <c r="U286" s="252" t="n"/>
      <c r="V286" s="252" t="n"/>
      <c r="W286" s="252" t="n"/>
      <c r="X286" s="251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47">
    <mergeCell ref="G21:H21"/>
    <mergeCell ref="I89:J89"/>
    <mergeCell ref="K177:L177"/>
    <mergeCell ref="K33:L33"/>
    <mergeCell ref="K89:L89"/>
    <mergeCell ref="G71:H71"/>
    <mergeCell ref="A205:X205"/>
    <mergeCell ref="A120:X120"/>
    <mergeCell ref="M21:X21"/>
    <mergeCell ref="A54:B54"/>
    <mergeCell ref="M235:X235"/>
    <mergeCell ref="G267:H267"/>
    <mergeCell ref="I203:J203"/>
    <mergeCell ref="K203:L203"/>
    <mergeCell ref="A286:B286"/>
    <mergeCell ref="M154:X154"/>
    <mergeCell ref="A5:X5"/>
    <mergeCell ref="I71:J71"/>
    <mergeCell ref="G220:H220"/>
    <mergeCell ref="A154:B154"/>
    <mergeCell ref="A267:B267"/>
    <mergeCell ref="A106:X106"/>
    <mergeCell ref="K267:L267"/>
    <mergeCell ref="A33:B33"/>
    <mergeCell ref="M165:X165"/>
    <mergeCell ref="D235:E235"/>
    <mergeCell ref="D71:E71"/>
    <mergeCell ref="M220:X220"/>
    <mergeCell ref="I250:J250"/>
    <mergeCell ref="K250:L250"/>
    <mergeCell ref="D177:E177"/>
    <mergeCell ref="A24:X24"/>
    <mergeCell ref="D33:E33"/>
    <mergeCell ref="A73:X73"/>
    <mergeCell ref="G165:H165"/>
    <mergeCell ref="K118:L118"/>
    <mergeCell ref="A237:X237"/>
    <mergeCell ref="K235:L235"/>
    <mergeCell ref="A7:X7"/>
    <mergeCell ref="I133:J133"/>
    <mergeCell ref="A142:B142"/>
    <mergeCell ref="K133:L133"/>
    <mergeCell ref="D203:E203"/>
    <mergeCell ref="A252:X252"/>
    <mergeCell ref="A103:B103"/>
    <mergeCell ref="K142:L142"/>
    <mergeCell ref="D267:E267"/>
    <mergeCell ref="K21:L21"/>
    <mergeCell ref="A158:X158"/>
    <mergeCell ref="A223:X223"/>
    <mergeCell ref="A238:X238"/>
    <mergeCell ref="M286:X286"/>
    <mergeCell ref="I54:J54"/>
    <mergeCell ref="A2:X2"/>
    <mergeCell ref="M89:X89"/>
    <mergeCell ref="A177:B177"/>
    <mergeCell ref="A89:B89"/>
    <mergeCell ref="A135:X135"/>
    <mergeCell ref="A206:X206"/>
    <mergeCell ref="A144:X144"/>
    <mergeCell ref="G177:H177"/>
    <mergeCell ref="A71:B71"/>
    <mergeCell ref="G33:H33"/>
    <mergeCell ref="I177:J177"/>
    <mergeCell ref="D103:E103"/>
    <mergeCell ref="I33:J33"/>
    <mergeCell ref="A121:X121"/>
    <mergeCell ref="A203:B203"/>
    <mergeCell ref="M71:X71"/>
    <mergeCell ref="K220:L220"/>
    <mergeCell ref="D165:E165"/>
    <mergeCell ref="G250:H250"/>
    <mergeCell ref="D118:E118"/>
    <mergeCell ref="G154:H154"/>
    <mergeCell ref="A167:X167"/>
    <mergeCell ref="A165:B165"/>
    <mergeCell ref="M177:X177"/>
    <mergeCell ref="D142:E142"/>
    <mergeCell ref="G203:H203"/>
    <mergeCell ref="D89:E89"/>
    <mergeCell ref="M250:X250"/>
    <mergeCell ref="I267:J267"/>
    <mergeCell ref="K54:L54"/>
    <mergeCell ref="A74:X74"/>
    <mergeCell ref="A56:X56"/>
    <mergeCell ref="A145:X145"/>
    <mergeCell ref="M133:X133"/>
    <mergeCell ref="G103:H103"/>
    <mergeCell ref="A133:B133"/>
    <mergeCell ref="I103:J103"/>
    <mergeCell ref="A269:X269"/>
    <mergeCell ref="G118:H118"/>
    <mergeCell ref="I165:J165"/>
    <mergeCell ref="I21:J21"/>
    <mergeCell ref="A21:B21"/>
    <mergeCell ref="A253:X253"/>
    <mergeCell ref="A35:X35"/>
    <mergeCell ref="A180:X180"/>
    <mergeCell ref="G133:H133"/>
    <mergeCell ref="A235:B235"/>
    <mergeCell ref="M103:X103"/>
    <mergeCell ref="G142:H142"/>
    <mergeCell ref="I142:J142"/>
    <mergeCell ref="K71:L71"/>
    <mergeCell ref="G89:H89"/>
    <mergeCell ref="D220:E220"/>
    <mergeCell ref="M118:X118"/>
    <mergeCell ref="A92:X92"/>
    <mergeCell ref="G54:H54"/>
    <mergeCell ref="D133:E133"/>
    <mergeCell ref="D54:E54"/>
    <mergeCell ref="G286:H286"/>
    <mergeCell ref="A168:X168"/>
    <mergeCell ref="A220:B220"/>
    <mergeCell ref="M54:X54"/>
    <mergeCell ref="M203:X203"/>
    <mergeCell ref="I154:J154"/>
    <mergeCell ref="A250:B250"/>
    <mergeCell ref="K154:L154"/>
    <mergeCell ref="I286:J286"/>
    <mergeCell ref="D21:E21"/>
    <mergeCell ref="K286:L286"/>
    <mergeCell ref="A136:X136"/>
    <mergeCell ref="M267:X267"/>
    <mergeCell ref="A105:X105"/>
    <mergeCell ref="A57:X57"/>
    <mergeCell ref="A179:X179"/>
    <mergeCell ref="K165:L165"/>
    <mergeCell ref="M33:X33"/>
    <mergeCell ref="A118:B118"/>
    <mergeCell ref="A23:X23"/>
    <mergeCell ref="D154:E154"/>
    <mergeCell ref="I220:J220"/>
    <mergeCell ref="A91:X91"/>
    <mergeCell ref="A156:X156"/>
    <mergeCell ref="G235:H235"/>
    <mergeCell ref="I235:J235"/>
    <mergeCell ref="I118:J118"/>
    <mergeCell ref="A157:X157"/>
    <mergeCell ref="K103:L103"/>
    <mergeCell ref="A270:X270"/>
    <mergeCell ref="A222:X222"/>
    <mergeCell ref="M142:X142"/>
    <mergeCell ref="D250:E250"/>
    <mergeCell ref="A36:X36"/>
    <mergeCell ref="A6:X6"/>
    <mergeCell ref="D286:E286"/>
  </mergeCells>
  <printOptions horizontalCentered="0" verticalCentered="0" headings="0" gridLines="0" gridLinesSet="1"/>
  <pageMargins left="0.3" right="0.3" top="0.4" bottom="0.4" header="0.2" footer="0.2"/>
  <pageSetup orientation="landscape" paperSize="9" scale="100" fitToHeight="0" fitToWidth="1" pageOrder="downThenOver" blackAndWhite="0" draft="0" horizontalDpi="300" verticalDpi="300" copies="1"/>
  <rowBreaks count="17" manualBreakCount="17">
    <brk id="22" min="0" max="16383" man="1"/>
    <brk id="34" min="0" max="16383" man="1"/>
    <brk id="55" min="0" max="16383" man="1"/>
    <brk id="72" min="0" max="16383" man="1"/>
    <brk id="90" min="0" max="16383" man="1"/>
    <brk id="104" min="0" max="16383" man="1"/>
    <brk id="119" min="0" max="16383" man="1"/>
    <brk id="134" min="0" max="16383" man="1"/>
    <brk id="143" min="0" max="16383" man="1"/>
    <brk id="156" min="0" max="16383" man="1"/>
    <brk id="166" min="0" max="16383" man="1"/>
    <brk id="178" min="0" max="16383" man="1"/>
    <brk id="204" min="0" max="16383" man="1"/>
    <brk id="221" min="0" max="16383" man="1"/>
    <brk id="236" min="0" max="16383" man="1"/>
    <brk id="251" min="0" max="16383" man="1"/>
    <brk id="268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N1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06" min="1" max="1"/>
    <col width="8.5" customWidth="1" style="106" min="2" max="13"/>
    <col width="13" customWidth="1" style="106" min="14" max="14"/>
  </cols>
  <sheetData>
    <row r="1" ht="25.5" customHeight="1" s="107">
      <c r="A1" s="108" t="inlineStr">
        <is>
          <t>MAPA DE PRODUÇÃO — QUEM PRODUZ O QUÊ, POR MÊS</t>
        </is>
      </c>
    </row>
    <row r="2" ht="15" customHeight="1" s="107">
      <c r="A2" s="153" t="inlineStr">
        <is>
          <t>Referência do plano anual de cada produtor (Projeto de Venda PNAE). Use isto para decidir como dividir o pedido da prefeitura entre os produtores de cada item.</t>
        </is>
      </c>
    </row>
    <row r="3" ht="15" customHeight="1" s="107">
      <c r="D3" s="141">
        <f>HYPERLINK("#'ÍNDICE'!A1","◄ Voltar ao Índice")</f>
        <v/>
      </c>
    </row>
    <row r="5" ht="19.5" customHeight="1" s="107">
      <c r="A5" s="123" t="inlineStr">
        <is>
          <t>ABACATE</t>
        </is>
      </c>
    </row>
    <row r="6" ht="19.5" customHeight="1" s="107">
      <c r="A6" s="164" t="inlineStr">
        <is>
          <t>Produtor</t>
        </is>
      </c>
      <c r="B6" s="164" t="inlineStr">
        <is>
          <t>Out/26</t>
        </is>
      </c>
      <c r="C6" s="164" t="inlineStr">
        <is>
          <t>Nov/26</t>
        </is>
      </c>
      <c r="D6" s="164" t="inlineStr">
        <is>
          <t>Dez/26</t>
        </is>
      </c>
      <c r="E6" s="164" t="inlineStr">
        <is>
          <t>Jan/27</t>
        </is>
      </c>
      <c r="F6" s="164" t="inlineStr">
        <is>
          <t>Fev/27</t>
        </is>
      </c>
      <c r="G6" s="164" t="inlineStr">
        <is>
          <t>Mar/27</t>
        </is>
      </c>
      <c r="H6" s="164" t="inlineStr">
        <is>
          <t>Abr/27</t>
        </is>
      </c>
      <c r="I6" s="164" t="inlineStr">
        <is>
          <t>Mai/27</t>
        </is>
      </c>
      <c r="J6" s="164" t="inlineStr">
        <is>
          <t>Jun/27</t>
        </is>
      </c>
      <c r="K6" s="164" t="inlineStr">
        <is>
          <t>Jul/27</t>
        </is>
      </c>
      <c r="L6" s="164" t="inlineStr">
        <is>
          <t>Ago/27</t>
        </is>
      </c>
      <c r="M6" s="164" t="inlineStr">
        <is>
          <t>Set/27</t>
        </is>
      </c>
      <c r="N6" s="164" t="inlineStr">
        <is>
          <t>Total Ano (kg)</t>
        </is>
      </c>
    </row>
    <row r="7" ht="15" customHeight="1" s="107">
      <c r="A7" s="165" t="inlineStr">
        <is>
          <t>Joaquim Sergio Lage</t>
        </is>
      </c>
      <c r="B7" s="166" t="n">
        <v>0</v>
      </c>
      <c r="C7" s="166" t="n">
        <v>0</v>
      </c>
      <c r="D7" s="166" t="n">
        <v>0</v>
      </c>
      <c r="E7" s="166" t="n">
        <v>0</v>
      </c>
      <c r="F7" s="166" t="n">
        <v>0</v>
      </c>
      <c r="G7" s="166" t="n">
        <v>0</v>
      </c>
      <c r="H7" s="166" t="n">
        <v>0</v>
      </c>
      <c r="I7" s="166" t="n">
        <v>856</v>
      </c>
      <c r="J7" s="166" t="n">
        <v>856</v>
      </c>
      <c r="K7" s="166" t="n">
        <v>856</v>
      </c>
      <c r="L7" s="166" t="n">
        <v>0</v>
      </c>
      <c r="M7" s="166" t="n">
        <v>0</v>
      </c>
      <c r="N7" s="167" t="n">
        <v>2568</v>
      </c>
    </row>
    <row r="8" ht="15" customHeight="1" s="107">
      <c r="A8" s="165" t="inlineStr">
        <is>
          <t>Renato José da Silva</t>
        </is>
      </c>
      <c r="B8" s="166" t="n">
        <v>0</v>
      </c>
      <c r="C8" s="166" t="n">
        <v>0</v>
      </c>
      <c r="D8" s="166" t="n">
        <v>0</v>
      </c>
      <c r="E8" s="166" t="n">
        <v>0</v>
      </c>
      <c r="F8" s="166" t="n">
        <v>0</v>
      </c>
      <c r="G8" s="166" t="n">
        <v>0</v>
      </c>
      <c r="H8" s="166" t="n">
        <v>0</v>
      </c>
      <c r="I8" s="166" t="n">
        <v>0</v>
      </c>
      <c r="J8" s="166" t="n">
        <v>250</v>
      </c>
      <c r="K8" s="166" t="n">
        <v>250</v>
      </c>
      <c r="L8" s="166" t="n">
        <v>0</v>
      </c>
      <c r="M8" s="166" t="n">
        <v>0</v>
      </c>
      <c r="N8" s="167" t="n">
        <v>500</v>
      </c>
    </row>
    <row r="9" ht="15" customHeight="1" s="107">
      <c r="A9" s="165" t="inlineStr">
        <is>
          <t>Arnaldo da Silva</t>
        </is>
      </c>
      <c r="B9" s="166" t="n">
        <v>300</v>
      </c>
      <c r="C9" s="166" t="n">
        <v>0</v>
      </c>
      <c r="D9" s="166" t="n">
        <v>0</v>
      </c>
      <c r="E9" s="166" t="n">
        <v>0</v>
      </c>
      <c r="F9" s="166" t="n">
        <v>0</v>
      </c>
      <c r="G9" s="166" t="n">
        <v>0</v>
      </c>
      <c r="H9" s="166" t="n">
        <v>0</v>
      </c>
      <c r="I9" s="166" t="n">
        <v>300</v>
      </c>
      <c r="J9" s="166" t="n">
        <v>340</v>
      </c>
      <c r="K9" s="166" t="n">
        <v>350</v>
      </c>
      <c r="L9" s="166" t="n">
        <v>0</v>
      </c>
      <c r="M9" s="166" t="n">
        <v>0</v>
      </c>
      <c r="N9" s="167" t="n">
        <v>1290</v>
      </c>
    </row>
    <row r="11" ht="19.5" customHeight="1" s="107">
      <c r="A11" s="123" t="inlineStr">
        <is>
          <t>ABOBRINHA</t>
        </is>
      </c>
    </row>
    <row r="12" ht="19.5" customHeight="1" s="107">
      <c r="A12" s="164" t="inlineStr">
        <is>
          <t>Produtor</t>
        </is>
      </c>
      <c r="B12" s="164" t="inlineStr">
        <is>
          <t>Out/26</t>
        </is>
      </c>
      <c r="C12" s="164" t="inlineStr">
        <is>
          <t>Nov/26</t>
        </is>
      </c>
      <c r="D12" s="164" t="inlineStr">
        <is>
          <t>Dez/26</t>
        </is>
      </c>
      <c r="E12" s="164" t="inlineStr">
        <is>
          <t>Jan/27</t>
        </is>
      </c>
      <c r="F12" s="164" t="inlineStr">
        <is>
          <t>Fev/27</t>
        </is>
      </c>
      <c r="G12" s="164" t="inlineStr">
        <is>
          <t>Mar/27</t>
        </is>
      </c>
      <c r="H12" s="164" t="inlineStr">
        <is>
          <t>Abr/27</t>
        </is>
      </c>
      <c r="I12" s="164" t="inlineStr">
        <is>
          <t>Mai/27</t>
        </is>
      </c>
      <c r="J12" s="164" t="inlineStr">
        <is>
          <t>Jun/27</t>
        </is>
      </c>
      <c r="K12" s="164" t="inlineStr">
        <is>
          <t>Jul/27</t>
        </is>
      </c>
      <c r="L12" s="164" t="inlineStr">
        <is>
          <t>Ago/27</t>
        </is>
      </c>
      <c r="M12" s="164" t="inlineStr">
        <is>
          <t>Set/27</t>
        </is>
      </c>
      <c r="N12" s="164" t="inlineStr">
        <is>
          <t>Total Ano (kg)</t>
        </is>
      </c>
    </row>
    <row r="13" ht="15" customHeight="1" s="107">
      <c r="A13" s="165" t="inlineStr">
        <is>
          <t>Lucio Mauro Felix da Silva</t>
        </is>
      </c>
      <c r="B13" s="166" t="n">
        <v>200</v>
      </c>
      <c r="C13" s="166" t="n">
        <v>200</v>
      </c>
      <c r="D13" s="166" t="n">
        <v>130</v>
      </c>
      <c r="E13" s="166" t="n">
        <v>0</v>
      </c>
      <c r="F13" s="166" t="n">
        <v>0</v>
      </c>
      <c r="G13" s="166" t="n">
        <v>200</v>
      </c>
      <c r="H13" s="166" t="n">
        <v>200</v>
      </c>
      <c r="I13" s="166" t="n">
        <v>200</v>
      </c>
      <c r="J13" s="166" t="n">
        <v>200</v>
      </c>
      <c r="K13" s="166" t="n">
        <v>200</v>
      </c>
      <c r="L13" s="166" t="n">
        <v>200</v>
      </c>
      <c r="M13" s="166" t="n">
        <v>200</v>
      </c>
      <c r="N13" s="167" t="n">
        <v>1930</v>
      </c>
    </row>
    <row r="15" ht="19.5" customHeight="1" s="107">
      <c r="A15" s="123" t="inlineStr">
        <is>
          <t>AGRIÃO</t>
        </is>
      </c>
    </row>
    <row r="16" ht="19.5" customHeight="1" s="107">
      <c r="A16" s="164" t="inlineStr">
        <is>
          <t>Produtor</t>
        </is>
      </c>
      <c r="B16" s="164" t="inlineStr">
        <is>
          <t>Out/26</t>
        </is>
      </c>
      <c r="C16" s="164" t="inlineStr">
        <is>
          <t>Nov/26</t>
        </is>
      </c>
      <c r="D16" s="164" t="inlineStr">
        <is>
          <t>Dez/26</t>
        </is>
      </c>
      <c r="E16" s="164" t="inlineStr">
        <is>
          <t>Jan/27</t>
        </is>
      </c>
      <c r="F16" s="164" t="inlineStr">
        <is>
          <t>Fev/27</t>
        </is>
      </c>
      <c r="G16" s="164" t="inlineStr">
        <is>
          <t>Mar/27</t>
        </is>
      </c>
      <c r="H16" s="164" t="inlineStr">
        <is>
          <t>Abr/27</t>
        </is>
      </c>
      <c r="I16" s="164" t="inlineStr">
        <is>
          <t>Mai/27</t>
        </is>
      </c>
      <c r="J16" s="164" t="inlineStr">
        <is>
          <t>Jun/27</t>
        </is>
      </c>
      <c r="K16" s="164" t="inlineStr">
        <is>
          <t>Jul/27</t>
        </is>
      </c>
      <c r="L16" s="164" t="inlineStr">
        <is>
          <t>Ago/27</t>
        </is>
      </c>
      <c r="M16" s="164" t="inlineStr">
        <is>
          <t>Set/27</t>
        </is>
      </c>
      <c r="N16" s="164" t="inlineStr">
        <is>
          <t>Total Ano (kg)</t>
        </is>
      </c>
    </row>
    <row r="17" ht="15" customHeight="1" s="107">
      <c r="A17" s="165" t="inlineStr">
        <is>
          <t>Gabriel Adriano de Souza</t>
        </is>
      </c>
      <c r="B17" s="166" t="n">
        <v>40</v>
      </c>
      <c r="C17" s="166" t="n">
        <v>40</v>
      </c>
      <c r="D17" s="166" t="n">
        <v>0</v>
      </c>
      <c r="E17" s="166" t="n">
        <v>0</v>
      </c>
      <c r="F17" s="166" t="n">
        <v>0</v>
      </c>
      <c r="G17" s="166" t="n">
        <v>0</v>
      </c>
      <c r="H17" s="166" t="n">
        <v>0</v>
      </c>
      <c r="I17" s="166" t="n">
        <v>0</v>
      </c>
      <c r="J17" s="166" t="n">
        <v>0</v>
      </c>
      <c r="K17" s="166" t="n">
        <v>0</v>
      </c>
      <c r="L17" s="166" t="n">
        <v>0</v>
      </c>
      <c r="M17" s="166" t="n">
        <v>0</v>
      </c>
      <c r="N17" s="167" t="n">
        <v>80</v>
      </c>
    </row>
    <row r="19" ht="19.5" customHeight="1" s="107">
      <c r="A19" s="123" t="inlineStr">
        <is>
          <t>ALFACE LISA</t>
        </is>
      </c>
    </row>
    <row r="20" ht="19.5" customHeight="1" s="107">
      <c r="A20" s="164" t="inlineStr">
        <is>
          <t>Produtor</t>
        </is>
      </c>
      <c r="B20" s="164" t="inlineStr">
        <is>
          <t>Out/26</t>
        </is>
      </c>
      <c r="C20" s="164" t="inlineStr">
        <is>
          <t>Nov/26</t>
        </is>
      </c>
      <c r="D20" s="164" t="inlineStr">
        <is>
          <t>Dez/26</t>
        </is>
      </c>
      <c r="E20" s="164" t="inlineStr">
        <is>
          <t>Jan/27</t>
        </is>
      </c>
      <c r="F20" s="164" t="inlineStr">
        <is>
          <t>Fev/27</t>
        </is>
      </c>
      <c r="G20" s="164" t="inlineStr">
        <is>
          <t>Mar/27</t>
        </is>
      </c>
      <c r="H20" s="164" t="inlineStr">
        <is>
          <t>Abr/27</t>
        </is>
      </c>
      <c r="I20" s="164" t="inlineStr">
        <is>
          <t>Mai/27</t>
        </is>
      </c>
      <c r="J20" s="164" t="inlineStr">
        <is>
          <t>Jun/27</t>
        </is>
      </c>
      <c r="K20" s="164" t="inlineStr">
        <is>
          <t>Jul/27</t>
        </is>
      </c>
      <c r="L20" s="164" t="inlineStr">
        <is>
          <t>Ago/27</t>
        </is>
      </c>
      <c r="M20" s="164" t="inlineStr">
        <is>
          <t>Set/27</t>
        </is>
      </c>
      <c r="N20" s="164" t="inlineStr">
        <is>
          <t>Total Ano (kg)</t>
        </is>
      </c>
    </row>
    <row r="21" ht="15" customHeight="1" s="107">
      <c r="A21" s="165" t="inlineStr">
        <is>
          <t>Ana Claudia Correas Ruas</t>
        </is>
      </c>
      <c r="B21" s="166" t="n">
        <v>150</v>
      </c>
      <c r="C21" s="166" t="n">
        <v>150</v>
      </c>
      <c r="D21" s="166" t="n">
        <v>100</v>
      </c>
      <c r="E21" s="166" t="n">
        <v>0</v>
      </c>
      <c r="F21" s="166" t="n">
        <v>0</v>
      </c>
      <c r="G21" s="166" t="n">
        <v>96</v>
      </c>
      <c r="H21" s="166" t="n">
        <v>96</v>
      </c>
      <c r="I21" s="166" t="n">
        <v>96</v>
      </c>
      <c r="J21" s="166" t="n">
        <v>96</v>
      </c>
      <c r="K21" s="166" t="n">
        <v>96</v>
      </c>
      <c r="L21" s="166" t="n">
        <v>96</v>
      </c>
      <c r="M21" s="166" t="n">
        <v>93</v>
      </c>
      <c r="N21" s="167" t="n">
        <v>1069</v>
      </c>
    </row>
    <row r="22" ht="15" customHeight="1" s="107">
      <c r="A22" s="165" t="inlineStr">
        <is>
          <t>Marcio Azevedo de Souza</t>
        </is>
      </c>
      <c r="B22" s="166" t="n">
        <v>350</v>
      </c>
      <c r="C22" s="166" t="n">
        <v>350</v>
      </c>
      <c r="D22" s="166" t="n">
        <v>200</v>
      </c>
      <c r="E22" s="166" t="n">
        <v>0</v>
      </c>
      <c r="F22" s="166" t="n">
        <v>0</v>
      </c>
      <c r="G22" s="166" t="n">
        <v>0</v>
      </c>
      <c r="H22" s="166" t="n">
        <v>0</v>
      </c>
      <c r="I22" s="166" t="n">
        <v>150</v>
      </c>
      <c r="J22" s="166" t="n">
        <v>100</v>
      </c>
      <c r="K22" s="166" t="n">
        <v>150</v>
      </c>
      <c r="L22" s="166" t="n">
        <v>350</v>
      </c>
      <c r="M22" s="166" t="n">
        <v>350</v>
      </c>
      <c r="N22" s="167" t="n">
        <v>2000</v>
      </c>
    </row>
    <row r="23" ht="15" customHeight="1" s="107">
      <c r="A23" s="165" t="inlineStr">
        <is>
          <t>Rodolfo Azevedo de Andrade</t>
        </is>
      </c>
      <c r="B23" s="166" t="n">
        <v>0</v>
      </c>
      <c r="C23" s="166" t="n">
        <v>0</v>
      </c>
      <c r="D23" s="166" t="n">
        <v>0</v>
      </c>
      <c r="E23" s="166" t="n">
        <v>0</v>
      </c>
      <c r="F23" s="166" t="n">
        <v>0</v>
      </c>
      <c r="G23" s="166" t="n">
        <v>75</v>
      </c>
      <c r="H23" s="166" t="n">
        <v>75</v>
      </c>
      <c r="I23" s="166" t="n">
        <v>75</v>
      </c>
      <c r="J23" s="166" t="n">
        <v>75</v>
      </c>
      <c r="K23" s="166" t="n">
        <v>75</v>
      </c>
      <c r="L23" s="166" t="n">
        <v>75</v>
      </c>
      <c r="M23" s="166" t="n">
        <v>75</v>
      </c>
      <c r="N23" s="167" t="n">
        <v>525</v>
      </c>
    </row>
    <row r="24" ht="15" customHeight="1" s="107">
      <c r="A24" s="165" t="inlineStr">
        <is>
          <t>Jorge Gabriel Pereira Diniz</t>
        </is>
      </c>
      <c r="B24" s="166" t="n">
        <v>150</v>
      </c>
      <c r="C24" s="166" t="n">
        <v>100</v>
      </c>
      <c r="D24" s="166" t="n">
        <v>100</v>
      </c>
      <c r="E24" s="166" t="n">
        <v>0</v>
      </c>
      <c r="F24" s="166" t="n">
        <v>0</v>
      </c>
      <c r="G24" s="166" t="n">
        <v>50</v>
      </c>
      <c r="H24" s="166" t="n">
        <v>50</v>
      </c>
      <c r="I24" s="166" t="n">
        <v>50</v>
      </c>
      <c r="J24" s="166" t="n">
        <v>50</v>
      </c>
      <c r="K24" s="166" t="n">
        <v>0</v>
      </c>
      <c r="L24" s="166" t="n">
        <v>150</v>
      </c>
      <c r="M24" s="166" t="n">
        <v>150</v>
      </c>
      <c r="N24" s="167" t="n">
        <v>850</v>
      </c>
    </row>
    <row r="25" ht="15" customHeight="1" s="107">
      <c r="A25" s="165" t="inlineStr">
        <is>
          <t>Gabriel Adriano de Souza</t>
        </is>
      </c>
      <c r="B25" s="166" t="n">
        <v>200</v>
      </c>
      <c r="C25" s="166" t="n">
        <v>200</v>
      </c>
      <c r="D25" s="166" t="n">
        <v>0</v>
      </c>
      <c r="E25" s="166" t="n">
        <v>0</v>
      </c>
      <c r="F25" s="166" t="n">
        <v>0</v>
      </c>
      <c r="G25" s="166" t="n">
        <v>0</v>
      </c>
      <c r="H25" s="166" t="n">
        <v>0</v>
      </c>
      <c r="I25" s="166" t="n">
        <v>0</v>
      </c>
      <c r="J25" s="166" t="n">
        <v>0</v>
      </c>
      <c r="K25" s="166" t="n">
        <v>0</v>
      </c>
      <c r="L25" s="166" t="n">
        <v>0</v>
      </c>
      <c r="M25" s="166" t="n">
        <v>0</v>
      </c>
      <c r="N25" s="167" t="n">
        <v>400</v>
      </c>
    </row>
    <row r="26" ht="15" customHeight="1" s="107">
      <c r="A26" s="165" t="inlineStr">
        <is>
          <t>Marcelo Marcos Delgado</t>
        </is>
      </c>
      <c r="B26" s="166" t="n">
        <v>75</v>
      </c>
      <c r="C26" s="166" t="n">
        <v>75</v>
      </c>
      <c r="D26" s="166" t="n">
        <v>0</v>
      </c>
      <c r="E26" s="166" t="n">
        <v>0</v>
      </c>
      <c r="F26" s="166" t="n">
        <v>0</v>
      </c>
      <c r="G26" s="166" t="n">
        <v>75</v>
      </c>
      <c r="H26" s="166" t="n">
        <v>75</v>
      </c>
      <c r="I26" s="166" t="n">
        <v>75</v>
      </c>
      <c r="J26" s="166" t="n">
        <v>75</v>
      </c>
      <c r="K26" s="166" t="n">
        <v>75</v>
      </c>
      <c r="L26" s="166" t="n">
        <v>75</v>
      </c>
      <c r="M26" s="166" t="n">
        <v>75</v>
      </c>
      <c r="N26" s="167" t="n">
        <v>675</v>
      </c>
    </row>
    <row r="27" ht="15" customHeight="1" s="107">
      <c r="A27" s="165" t="inlineStr">
        <is>
          <t>Marcos Marcelo Delgado</t>
        </is>
      </c>
      <c r="B27" s="166" t="n">
        <v>75</v>
      </c>
      <c r="C27" s="166" t="n">
        <v>75</v>
      </c>
      <c r="D27" s="166" t="n">
        <v>0</v>
      </c>
      <c r="E27" s="166" t="n">
        <v>0</v>
      </c>
      <c r="F27" s="166" t="n">
        <v>0</v>
      </c>
      <c r="G27" s="166" t="n">
        <v>75</v>
      </c>
      <c r="H27" s="166" t="n">
        <v>75</v>
      </c>
      <c r="I27" s="166" t="n">
        <v>75</v>
      </c>
      <c r="J27" s="166" t="n">
        <v>75</v>
      </c>
      <c r="K27" s="166" t="n">
        <v>75</v>
      </c>
      <c r="L27" s="166" t="n">
        <v>75</v>
      </c>
      <c r="M27" s="166" t="n">
        <v>75</v>
      </c>
      <c r="N27" s="167" t="n">
        <v>675</v>
      </c>
    </row>
    <row r="28" ht="15" customHeight="1" s="107">
      <c r="A28" s="165" t="inlineStr">
        <is>
          <t>Luiz Ailton de Oliveira Pinto</t>
        </is>
      </c>
      <c r="B28" s="166" t="n">
        <v>150</v>
      </c>
      <c r="C28" s="166" t="n">
        <v>200</v>
      </c>
      <c r="D28" s="166" t="n">
        <v>0</v>
      </c>
      <c r="E28" s="166" t="n">
        <v>0</v>
      </c>
      <c r="F28" s="166" t="n">
        <v>0</v>
      </c>
      <c r="G28" s="166" t="n">
        <v>0</v>
      </c>
      <c r="H28" s="166" t="n">
        <v>100</v>
      </c>
      <c r="I28" s="166" t="n">
        <v>200</v>
      </c>
      <c r="J28" s="166" t="n">
        <v>200</v>
      </c>
      <c r="K28" s="166" t="n">
        <v>0</v>
      </c>
      <c r="L28" s="166" t="n">
        <v>0</v>
      </c>
      <c r="M28" s="166" t="n">
        <v>0</v>
      </c>
      <c r="N28" s="167" t="n">
        <v>850</v>
      </c>
    </row>
    <row r="29" ht="15" customHeight="1" s="107">
      <c r="A29" s="165" t="inlineStr">
        <is>
          <t>Renato José da Silva</t>
        </is>
      </c>
      <c r="B29" s="166" t="n">
        <v>0</v>
      </c>
      <c r="C29" s="166" t="n">
        <v>0</v>
      </c>
      <c r="D29" s="166" t="n">
        <v>0</v>
      </c>
      <c r="E29" s="166" t="n">
        <v>0</v>
      </c>
      <c r="F29" s="166" t="n">
        <v>0</v>
      </c>
      <c r="G29" s="166" t="n">
        <v>0</v>
      </c>
      <c r="H29" s="166" t="n">
        <v>0</v>
      </c>
      <c r="I29" s="166" t="n">
        <v>150</v>
      </c>
      <c r="J29" s="166" t="n">
        <v>150</v>
      </c>
      <c r="K29" s="166" t="n">
        <v>150</v>
      </c>
      <c r="L29" s="166" t="n">
        <v>0</v>
      </c>
      <c r="M29" s="166" t="n">
        <v>0</v>
      </c>
      <c r="N29" s="167" t="n">
        <v>450</v>
      </c>
    </row>
    <row r="30" ht="15" customHeight="1" s="107">
      <c r="A30" s="165" t="inlineStr">
        <is>
          <t>Nilson Ferreira da Silva</t>
        </is>
      </c>
      <c r="B30" s="166" t="n">
        <v>0</v>
      </c>
      <c r="C30" s="166" t="n">
        <v>0</v>
      </c>
      <c r="D30" s="166" t="n">
        <v>0</v>
      </c>
      <c r="E30" s="166" t="n">
        <v>0</v>
      </c>
      <c r="F30" s="166" t="n">
        <v>0</v>
      </c>
      <c r="G30" s="166" t="n">
        <v>200</v>
      </c>
      <c r="H30" s="166" t="n">
        <v>200</v>
      </c>
      <c r="I30" s="166" t="n">
        <v>200</v>
      </c>
      <c r="J30" s="166" t="n">
        <v>200</v>
      </c>
      <c r="K30" s="166" t="n">
        <v>0</v>
      </c>
      <c r="L30" s="166" t="n">
        <v>0</v>
      </c>
      <c r="M30" s="166" t="n">
        <v>0</v>
      </c>
      <c r="N30" s="167" t="n">
        <v>800</v>
      </c>
    </row>
    <row r="32" ht="19.5" customHeight="1" s="107">
      <c r="A32" s="123" t="inlineStr">
        <is>
          <t>BANANA PRATA</t>
        </is>
      </c>
    </row>
    <row r="33" ht="15" customHeight="1" s="107">
      <c r="A33" s="168" t="inlineStr">
        <is>
          <t>⚠ Nenhum produtor cadastrado para este produto no plano anual.</t>
        </is>
      </c>
    </row>
    <row r="35" ht="19.5" customHeight="1" s="107">
      <c r="A35" s="123" t="inlineStr">
        <is>
          <t>BATATA INGLESA</t>
        </is>
      </c>
    </row>
    <row r="36" ht="19.5" customHeight="1" s="107">
      <c r="A36" s="164" t="inlineStr">
        <is>
          <t>Produtor</t>
        </is>
      </c>
      <c r="B36" s="164" t="inlineStr">
        <is>
          <t>Out/26</t>
        </is>
      </c>
      <c r="C36" s="164" t="inlineStr">
        <is>
          <t>Nov/26</t>
        </is>
      </c>
      <c r="D36" s="164" t="inlineStr">
        <is>
          <t>Dez/26</t>
        </is>
      </c>
      <c r="E36" s="164" t="inlineStr">
        <is>
          <t>Jan/27</t>
        </is>
      </c>
      <c r="F36" s="164" t="inlineStr">
        <is>
          <t>Fev/27</t>
        </is>
      </c>
      <c r="G36" s="164" t="inlineStr">
        <is>
          <t>Mar/27</t>
        </is>
      </c>
      <c r="H36" s="164" t="inlineStr">
        <is>
          <t>Abr/27</t>
        </is>
      </c>
      <c r="I36" s="164" t="inlineStr">
        <is>
          <t>Mai/27</t>
        </is>
      </c>
      <c r="J36" s="164" t="inlineStr">
        <is>
          <t>Jun/27</t>
        </is>
      </c>
      <c r="K36" s="164" t="inlineStr">
        <is>
          <t>Jul/27</t>
        </is>
      </c>
      <c r="L36" s="164" t="inlineStr">
        <is>
          <t>Ago/27</t>
        </is>
      </c>
      <c r="M36" s="164" t="inlineStr">
        <is>
          <t>Set/27</t>
        </is>
      </c>
      <c r="N36" s="164" t="inlineStr">
        <is>
          <t>Total Ano (kg)</t>
        </is>
      </c>
    </row>
    <row r="37" ht="15" customHeight="1" s="107">
      <c r="A37" s="165" t="inlineStr">
        <is>
          <t>Claudeni Rodrigues Xavier</t>
        </is>
      </c>
      <c r="B37" s="166" t="n">
        <v>0</v>
      </c>
      <c r="C37" s="166" t="n">
        <v>0</v>
      </c>
      <c r="D37" s="166" t="n">
        <v>0</v>
      </c>
      <c r="E37" s="166" t="n">
        <v>0</v>
      </c>
      <c r="F37" s="166" t="n">
        <v>0</v>
      </c>
      <c r="G37" s="166" t="n">
        <v>0</v>
      </c>
      <c r="H37" s="166" t="n">
        <v>0</v>
      </c>
      <c r="I37" s="166" t="n">
        <v>0</v>
      </c>
      <c r="J37" s="166" t="n">
        <v>0</v>
      </c>
      <c r="K37" s="166" t="n">
        <v>500</v>
      </c>
      <c r="L37" s="166" t="n">
        <v>500</v>
      </c>
      <c r="M37" s="166" t="n">
        <v>0</v>
      </c>
      <c r="N37" s="167" t="n">
        <v>1000</v>
      </c>
    </row>
    <row r="39" ht="19.5" customHeight="1" s="107">
      <c r="A39" s="123" t="inlineStr">
        <is>
          <t>BETERRABA</t>
        </is>
      </c>
    </row>
    <row r="40" ht="19.5" customHeight="1" s="107">
      <c r="A40" s="164" t="inlineStr">
        <is>
          <t>Produtor</t>
        </is>
      </c>
      <c r="B40" s="164" t="inlineStr">
        <is>
          <t>Out/26</t>
        </is>
      </c>
      <c r="C40" s="164" t="inlineStr">
        <is>
          <t>Nov/26</t>
        </is>
      </c>
      <c r="D40" s="164" t="inlineStr">
        <is>
          <t>Dez/26</t>
        </is>
      </c>
      <c r="E40" s="164" t="inlineStr">
        <is>
          <t>Jan/27</t>
        </is>
      </c>
      <c r="F40" s="164" t="inlineStr">
        <is>
          <t>Fev/27</t>
        </is>
      </c>
      <c r="G40" s="164" t="inlineStr">
        <is>
          <t>Mar/27</t>
        </is>
      </c>
      <c r="H40" s="164" t="inlineStr">
        <is>
          <t>Abr/27</t>
        </is>
      </c>
      <c r="I40" s="164" t="inlineStr">
        <is>
          <t>Mai/27</t>
        </is>
      </c>
      <c r="J40" s="164" t="inlineStr">
        <is>
          <t>Jun/27</t>
        </is>
      </c>
      <c r="K40" s="164" t="inlineStr">
        <is>
          <t>Jul/27</t>
        </is>
      </c>
      <c r="L40" s="164" t="inlineStr">
        <is>
          <t>Ago/27</t>
        </is>
      </c>
      <c r="M40" s="164" t="inlineStr">
        <is>
          <t>Set/27</t>
        </is>
      </c>
      <c r="N40" s="164" t="inlineStr">
        <is>
          <t>Total Ano (kg)</t>
        </is>
      </c>
    </row>
    <row r="41" ht="15" customHeight="1" s="107">
      <c r="A41" s="165" t="inlineStr">
        <is>
          <t>Luiz Ailton de Oliveira Pinto</t>
        </is>
      </c>
      <c r="B41" s="166" t="n">
        <v>400</v>
      </c>
      <c r="C41" s="166" t="n">
        <v>340</v>
      </c>
      <c r="D41" s="166" t="n">
        <v>0</v>
      </c>
      <c r="E41" s="166" t="n">
        <v>0</v>
      </c>
      <c r="F41" s="166" t="n">
        <v>0</v>
      </c>
      <c r="G41" s="166" t="n">
        <v>0</v>
      </c>
      <c r="H41" s="166" t="n">
        <v>50</v>
      </c>
      <c r="I41" s="166" t="n">
        <v>50</v>
      </c>
      <c r="J41" s="166" t="n">
        <v>50</v>
      </c>
      <c r="K41" s="166" t="n">
        <v>50</v>
      </c>
      <c r="L41" s="166" t="n">
        <v>0</v>
      </c>
      <c r="M41" s="166" t="n">
        <v>0</v>
      </c>
      <c r="N41" s="167" t="n">
        <v>940</v>
      </c>
    </row>
    <row r="42" ht="15" customHeight="1" s="107">
      <c r="A42" s="165" t="inlineStr">
        <is>
          <t>Claudeni Rodrigues Xavier</t>
        </is>
      </c>
      <c r="B42" s="166" t="n">
        <v>0</v>
      </c>
      <c r="C42" s="166" t="n">
        <v>0</v>
      </c>
      <c r="D42" s="166" t="n">
        <v>0</v>
      </c>
      <c r="E42" s="166" t="n">
        <v>0</v>
      </c>
      <c r="F42" s="166" t="n">
        <v>0</v>
      </c>
      <c r="G42" s="166" t="n">
        <v>0</v>
      </c>
      <c r="H42" s="166" t="n">
        <v>0</v>
      </c>
      <c r="I42" s="166" t="n">
        <v>0</v>
      </c>
      <c r="J42" s="166" t="n">
        <v>0</v>
      </c>
      <c r="K42" s="166" t="n">
        <v>200</v>
      </c>
      <c r="L42" s="166" t="n">
        <v>200</v>
      </c>
      <c r="M42" s="166" t="n">
        <v>0</v>
      </c>
      <c r="N42" s="167" t="n">
        <v>400</v>
      </c>
    </row>
    <row r="43" ht="15" customHeight="1" s="107">
      <c r="A43" s="165" t="inlineStr">
        <is>
          <t>Nilson Ferreira da Silva</t>
        </is>
      </c>
      <c r="B43" s="166" t="n">
        <v>0</v>
      </c>
      <c r="C43" s="166" t="n">
        <v>0</v>
      </c>
      <c r="D43" s="166" t="n">
        <v>0</v>
      </c>
      <c r="E43" s="166" t="n">
        <v>0</v>
      </c>
      <c r="F43" s="166" t="n">
        <v>0</v>
      </c>
      <c r="G43" s="166" t="n">
        <v>0</v>
      </c>
      <c r="H43" s="166" t="n">
        <v>200</v>
      </c>
      <c r="I43" s="166" t="n">
        <v>200</v>
      </c>
      <c r="J43" s="166" t="n">
        <v>200</v>
      </c>
      <c r="K43" s="166" t="n">
        <v>200</v>
      </c>
      <c r="L43" s="166" t="n">
        <v>200</v>
      </c>
      <c r="M43" s="166" t="n">
        <v>0</v>
      </c>
      <c r="N43" s="167" t="n">
        <v>1000</v>
      </c>
    </row>
    <row r="45" ht="19.5" customHeight="1" s="107">
      <c r="A45" s="123" t="inlineStr">
        <is>
          <t>BRÓCOLIS</t>
        </is>
      </c>
    </row>
    <row r="46" ht="19.5" customHeight="1" s="107">
      <c r="A46" s="164" t="inlineStr">
        <is>
          <t>Produtor</t>
        </is>
      </c>
      <c r="B46" s="164" t="inlineStr">
        <is>
          <t>Out/26</t>
        </is>
      </c>
      <c r="C46" s="164" t="inlineStr">
        <is>
          <t>Nov/26</t>
        </is>
      </c>
      <c r="D46" s="164" t="inlineStr">
        <is>
          <t>Dez/26</t>
        </is>
      </c>
      <c r="E46" s="164" t="inlineStr">
        <is>
          <t>Jan/27</t>
        </is>
      </c>
      <c r="F46" s="164" t="inlineStr">
        <is>
          <t>Fev/27</t>
        </is>
      </c>
      <c r="G46" s="164" t="inlineStr">
        <is>
          <t>Mar/27</t>
        </is>
      </c>
      <c r="H46" s="164" t="inlineStr">
        <is>
          <t>Abr/27</t>
        </is>
      </c>
      <c r="I46" s="164" t="inlineStr">
        <is>
          <t>Mai/27</t>
        </is>
      </c>
      <c r="J46" s="164" t="inlineStr">
        <is>
          <t>Jun/27</t>
        </is>
      </c>
      <c r="K46" s="164" t="inlineStr">
        <is>
          <t>Jul/27</t>
        </is>
      </c>
      <c r="L46" s="164" t="inlineStr">
        <is>
          <t>Ago/27</t>
        </is>
      </c>
      <c r="M46" s="164" t="inlineStr">
        <is>
          <t>Set/27</t>
        </is>
      </c>
      <c r="N46" s="164" t="inlineStr">
        <is>
          <t>Total Ano (kg)</t>
        </is>
      </c>
    </row>
    <row r="47" ht="15" customHeight="1" s="107">
      <c r="A47" s="165" t="inlineStr">
        <is>
          <t>Rodolfo Azevedo de Andrade</t>
        </is>
      </c>
      <c r="B47" s="166" t="n">
        <v>0</v>
      </c>
      <c r="C47" s="166" t="n">
        <v>0</v>
      </c>
      <c r="D47" s="166" t="n">
        <v>0</v>
      </c>
      <c r="E47" s="166" t="n">
        <v>0</v>
      </c>
      <c r="F47" s="166" t="n">
        <v>0</v>
      </c>
      <c r="G47" s="166" t="n">
        <v>0</v>
      </c>
      <c r="H47" s="166" t="n">
        <v>85</v>
      </c>
      <c r="I47" s="166" t="n">
        <v>85</v>
      </c>
      <c r="J47" s="166" t="n">
        <v>85</v>
      </c>
      <c r="K47" s="166" t="n">
        <v>85</v>
      </c>
      <c r="L47" s="166" t="n">
        <v>85</v>
      </c>
      <c r="M47" s="166" t="n">
        <v>85</v>
      </c>
      <c r="N47" s="167" t="n">
        <v>510</v>
      </c>
    </row>
    <row r="48" ht="15" customHeight="1" s="107">
      <c r="A48" s="165" t="inlineStr">
        <is>
          <t>Gabriel Adriano de Souza</t>
        </is>
      </c>
      <c r="B48" s="166" t="n">
        <v>50</v>
      </c>
      <c r="C48" s="166" t="n">
        <v>50</v>
      </c>
      <c r="D48" s="166" t="n">
        <v>0</v>
      </c>
      <c r="E48" s="166" t="n">
        <v>0</v>
      </c>
      <c r="F48" s="166" t="n">
        <v>0</v>
      </c>
      <c r="G48" s="166" t="n">
        <v>0</v>
      </c>
      <c r="H48" s="166" t="n">
        <v>0</v>
      </c>
      <c r="I48" s="166" t="n">
        <v>0</v>
      </c>
      <c r="J48" s="166" t="n">
        <v>0</v>
      </c>
      <c r="K48" s="166" t="n">
        <v>0</v>
      </c>
      <c r="L48" s="166" t="n">
        <v>0</v>
      </c>
      <c r="M48" s="166" t="n">
        <v>0</v>
      </c>
      <c r="N48" s="167" t="n">
        <v>100</v>
      </c>
    </row>
    <row r="49" ht="15" customHeight="1" s="107">
      <c r="A49" s="165" t="inlineStr">
        <is>
          <t>Renato José da Silva</t>
        </is>
      </c>
      <c r="B49" s="166" t="n">
        <v>0</v>
      </c>
      <c r="C49" s="166" t="n">
        <v>0</v>
      </c>
      <c r="D49" s="166" t="n">
        <v>0</v>
      </c>
      <c r="E49" s="166" t="n">
        <v>0</v>
      </c>
      <c r="F49" s="166" t="n">
        <v>0</v>
      </c>
      <c r="G49" s="166" t="n">
        <v>0</v>
      </c>
      <c r="H49" s="166" t="n">
        <v>180</v>
      </c>
      <c r="I49" s="166" t="n">
        <v>180</v>
      </c>
      <c r="J49" s="166" t="n">
        <v>0</v>
      </c>
      <c r="K49" s="166" t="n">
        <v>0</v>
      </c>
      <c r="L49" s="166" t="n">
        <v>0</v>
      </c>
      <c r="M49" s="166" t="n">
        <v>0</v>
      </c>
      <c r="N49" s="167" t="n">
        <v>360</v>
      </c>
    </row>
    <row r="50" ht="15" customHeight="1" s="107">
      <c r="A50" s="165" t="inlineStr">
        <is>
          <t>Nilson Ferreira da Silva</t>
        </is>
      </c>
      <c r="B50" s="166" t="n">
        <v>0</v>
      </c>
      <c r="C50" s="166" t="n">
        <v>0</v>
      </c>
      <c r="D50" s="166" t="n">
        <v>0</v>
      </c>
      <c r="E50" s="166" t="n">
        <v>0</v>
      </c>
      <c r="F50" s="166" t="n">
        <v>0</v>
      </c>
      <c r="G50" s="166" t="n">
        <v>0</v>
      </c>
      <c r="H50" s="166" t="n">
        <v>150</v>
      </c>
      <c r="I50" s="166" t="n">
        <v>150</v>
      </c>
      <c r="J50" s="166" t="n">
        <v>150</v>
      </c>
      <c r="K50" s="166" t="n">
        <v>140</v>
      </c>
      <c r="L50" s="166" t="n">
        <v>100</v>
      </c>
      <c r="M50" s="166" t="n">
        <v>0</v>
      </c>
      <c r="N50" s="167" t="n">
        <v>690</v>
      </c>
    </row>
    <row r="52" ht="19.5" customHeight="1" s="107">
      <c r="A52" s="123" t="inlineStr">
        <is>
          <t>CENOURA</t>
        </is>
      </c>
    </row>
    <row r="53" ht="19.5" customHeight="1" s="107">
      <c r="A53" s="164" t="inlineStr">
        <is>
          <t>Produtor</t>
        </is>
      </c>
      <c r="B53" s="164" t="inlineStr">
        <is>
          <t>Out/26</t>
        </is>
      </c>
      <c r="C53" s="164" t="inlineStr">
        <is>
          <t>Nov/26</t>
        </is>
      </c>
      <c r="D53" s="164" t="inlineStr">
        <is>
          <t>Dez/26</t>
        </is>
      </c>
      <c r="E53" s="164" t="inlineStr">
        <is>
          <t>Jan/27</t>
        </is>
      </c>
      <c r="F53" s="164" t="inlineStr">
        <is>
          <t>Fev/27</t>
        </is>
      </c>
      <c r="G53" s="164" t="inlineStr">
        <is>
          <t>Mar/27</t>
        </is>
      </c>
      <c r="H53" s="164" t="inlineStr">
        <is>
          <t>Abr/27</t>
        </is>
      </c>
      <c r="I53" s="164" t="inlineStr">
        <is>
          <t>Mai/27</t>
        </is>
      </c>
      <c r="J53" s="164" t="inlineStr">
        <is>
          <t>Jun/27</t>
        </is>
      </c>
      <c r="K53" s="164" t="inlineStr">
        <is>
          <t>Jul/27</t>
        </is>
      </c>
      <c r="L53" s="164" t="inlineStr">
        <is>
          <t>Ago/27</t>
        </is>
      </c>
      <c r="M53" s="164" t="inlineStr">
        <is>
          <t>Set/27</t>
        </is>
      </c>
      <c r="N53" s="164" t="inlineStr">
        <is>
          <t>Total Ano (kg)</t>
        </is>
      </c>
    </row>
    <row r="54" ht="15" customHeight="1" s="107">
      <c r="A54" s="165" t="inlineStr">
        <is>
          <t>Claudeni Rodrigues Xavier</t>
        </is>
      </c>
      <c r="B54" s="166" t="n">
        <v>470</v>
      </c>
      <c r="C54" s="166" t="n">
        <v>0</v>
      </c>
      <c r="D54" s="166" t="n">
        <v>0</v>
      </c>
      <c r="E54" s="166" t="n">
        <v>0</v>
      </c>
      <c r="F54" s="166" t="n">
        <v>0</v>
      </c>
      <c r="G54" s="166" t="n">
        <v>0</v>
      </c>
      <c r="H54" s="166" t="n">
        <v>0</v>
      </c>
      <c r="I54" s="166" t="n">
        <v>0</v>
      </c>
      <c r="J54" s="166" t="n">
        <v>400</v>
      </c>
      <c r="K54" s="166" t="n">
        <v>400</v>
      </c>
      <c r="L54" s="166" t="n">
        <v>0</v>
      </c>
      <c r="M54" s="166" t="n">
        <v>0</v>
      </c>
      <c r="N54" s="167" t="n">
        <v>1270</v>
      </c>
    </row>
    <row r="56" ht="19.5" customHeight="1" s="107">
      <c r="A56" s="123" t="inlineStr">
        <is>
          <t>CHEIRO VERDE</t>
        </is>
      </c>
    </row>
    <row r="57" ht="19.5" customHeight="1" s="107">
      <c r="A57" s="164" t="inlineStr">
        <is>
          <t>Produtor</t>
        </is>
      </c>
      <c r="B57" s="164" t="inlineStr">
        <is>
          <t>Out/26</t>
        </is>
      </c>
      <c r="C57" s="164" t="inlineStr">
        <is>
          <t>Nov/26</t>
        </is>
      </c>
      <c r="D57" s="164" t="inlineStr">
        <is>
          <t>Dez/26</t>
        </is>
      </c>
      <c r="E57" s="164" t="inlineStr">
        <is>
          <t>Jan/27</t>
        </is>
      </c>
      <c r="F57" s="164" t="inlineStr">
        <is>
          <t>Fev/27</t>
        </is>
      </c>
      <c r="G57" s="164" t="inlineStr">
        <is>
          <t>Mar/27</t>
        </is>
      </c>
      <c r="H57" s="164" t="inlineStr">
        <is>
          <t>Abr/27</t>
        </is>
      </c>
      <c r="I57" s="164" t="inlineStr">
        <is>
          <t>Mai/27</t>
        </is>
      </c>
      <c r="J57" s="164" t="inlineStr">
        <is>
          <t>Jun/27</t>
        </is>
      </c>
      <c r="K57" s="164" t="inlineStr">
        <is>
          <t>Jul/27</t>
        </is>
      </c>
      <c r="L57" s="164" t="inlineStr">
        <is>
          <t>Ago/27</t>
        </is>
      </c>
      <c r="M57" s="164" t="inlineStr">
        <is>
          <t>Set/27</t>
        </is>
      </c>
      <c r="N57" s="164" t="inlineStr">
        <is>
          <t>Total Ano (kg)</t>
        </is>
      </c>
    </row>
    <row r="58" ht="15" customHeight="1" s="107">
      <c r="A58" s="165" t="inlineStr">
        <is>
          <t>Ana Claudia Correas Ruas</t>
        </is>
      </c>
      <c r="B58" s="166" t="n">
        <v>20</v>
      </c>
      <c r="C58" s="166" t="n">
        <v>20</v>
      </c>
      <c r="D58" s="166" t="n">
        <v>20</v>
      </c>
      <c r="E58" s="166" t="n">
        <v>0</v>
      </c>
      <c r="F58" s="166" t="n">
        <v>0</v>
      </c>
      <c r="G58" s="166" t="n">
        <v>20</v>
      </c>
      <c r="H58" s="166" t="n">
        <v>20</v>
      </c>
      <c r="I58" s="166" t="n">
        <v>20</v>
      </c>
      <c r="J58" s="166" t="n">
        <v>20</v>
      </c>
      <c r="K58" s="166" t="n">
        <v>20</v>
      </c>
      <c r="L58" s="166" t="n">
        <v>20</v>
      </c>
      <c r="M58" s="166" t="n">
        <v>20</v>
      </c>
      <c r="N58" s="167" t="n">
        <v>200</v>
      </c>
    </row>
    <row r="59" ht="15" customHeight="1" s="107">
      <c r="A59" s="165" t="inlineStr">
        <is>
          <t>Marcio Azevedo de Souza</t>
        </is>
      </c>
      <c r="B59" s="166" t="n">
        <v>100</v>
      </c>
      <c r="C59" s="166" t="n">
        <v>100</v>
      </c>
      <c r="D59" s="166" t="n">
        <v>0</v>
      </c>
      <c r="E59" s="166" t="n">
        <v>0</v>
      </c>
      <c r="F59" s="166" t="n">
        <v>0</v>
      </c>
      <c r="G59" s="166" t="n">
        <v>0</v>
      </c>
      <c r="H59" s="166" t="n">
        <v>0</v>
      </c>
      <c r="I59" s="166" t="n">
        <v>0</v>
      </c>
      <c r="J59" s="166" t="n">
        <v>0</v>
      </c>
      <c r="K59" s="166" t="n">
        <v>0</v>
      </c>
      <c r="L59" s="166" t="n">
        <v>0</v>
      </c>
      <c r="M59" s="166" t="n">
        <v>0</v>
      </c>
      <c r="N59" s="167" t="n">
        <v>200</v>
      </c>
    </row>
    <row r="60" ht="15" customHeight="1" s="107">
      <c r="A60" s="165" t="inlineStr">
        <is>
          <t>Rodolfo Azevedo de Andrade</t>
        </is>
      </c>
      <c r="B60" s="166" t="n">
        <v>0</v>
      </c>
      <c r="C60" s="166" t="n">
        <v>0</v>
      </c>
      <c r="D60" s="166" t="n">
        <v>0</v>
      </c>
      <c r="E60" s="166" t="n">
        <v>0</v>
      </c>
      <c r="F60" s="166" t="n">
        <v>0</v>
      </c>
      <c r="G60" s="166" t="n">
        <v>0</v>
      </c>
      <c r="H60" s="166" t="n">
        <v>0</v>
      </c>
      <c r="I60" s="166" t="n">
        <v>0</v>
      </c>
      <c r="J60" s="166" t="n">
        <v>19</v>
      </c>
      <c r="K60" s="166" t="n">
        <v>19</v>
      </c>
      <c r="L60" s="166" t="n">
        <v>19</v>
      </c>
      <c r="M60" s="166" t="n">
        <v>19</v>
      </c>
      <c r="N60" s="167" t="n">
        <v>76</v>
      </c>
    </row>
    <row r="61" ht="15" customHeight="1" s="107">
      <c r="A61" s="165" t="inlineStr">
        <is>
          <t>Gabriel Adriano de Souza</t>
        </is>
      </c>
      <c r="B61" s="166" t="n">
        <v>60</v>
      </c>
      <c r="C61" s="166" t="n">
        <v>60</v>
      </c>
      <c r="D61" s="166" t="n">
        <v>0</v>
      </c>
      <c r="E61" s="166" t="n">
        <v>0</v>
      </c>
      <c r="F61" s="166" t="n">
        <v>0</v>
      </c>
      <c r="G61" s="166" t="n">
        <v>0</v>
      </c>
      <c r="H61" s="166" t="n">
        <v>0</v>
      </c>
      <c r="I61" s="166" t="n">
        <v>0</v>
      </c>
      <c r="J61" s="166" t="n">
        <v>0</v>
      </c>
      <c r="K61" s="166" t="n">
        <v>0</v>
      </c>
      <c r="L61" s="166" t="n">
        <v>0</v>
      </c>
      <c r="M61" s="166" t="n">
        <v>0</v>
      </c>
      <c r="N61" s="167" t="n">
        <v>120</v>
      </c>
    </row>
    <row r="62" ht="15" customHeight="1" s="107">
      <c r="A62" s="165" t="inlineStr">
        <is>
          <t>Marcelo Marcos Delgado</t>
        </is>
      </c>
      <c r="B62" s="166" t="n">
        <v>22</v>
      </c>
      <c r="C62" s="166" t="n">
        <v>22</v>
      </c>
      <c r="D62" s="166" t="n">
        <v>0</v>
      </c>
      <c r="E62" s="166" t="n">
        <v>0</v>
      </c>
      <c r="F62" s="166" t="n">
        <v>0</v>
      </c>
      <c r="G62" s="166" t="n">
        <v>22</v>
      </c>
      <c r="H62" s="166" t="n">
        <v>22</v>
      </c>
      <c r="I62" s="166" t="n">
        <v>22</v>
      </c>
      <c r="J62" s="166" t="n">
        <v>22</v>
      </c>
      <c r="K62" s="166" t="n">
        <v>22</v>
      </c>
      <c r="L62" s="166" t="n">
        <v>22</v>
      </c>
      <c r="M62" s="166" t="n">
        <v>22</v>
      </c>
      <c r="N62" s="167" t="n">
        <v>198</v>
      </c>
    </row>
    <row r="63" ht="15" customHeight="1" s="107">
      <c r="A63" s="165" t="inlineStr">
        <is>
          <t>Marcos Marcelo Delgado</t>
        </is>
      </c>
      <c r="B63" s="166" t="n">
        <v>22</v>
      </c>
      <c r="C63" s="166" t="n">
        <v>22</v>
      </c>
      <c r="D63" s="166" t="n">
        <v>0</v>
      </c>
      <c r="E63" s="166" t="n">
        <v>0</v>
      </c>
      <c r="F63" s="166" t="n">
        <v>0</v>
      </c>
      <c r="G63" s="166" t="n">
        <v>22</v>
      </c>
      <c r="H63" s="166" t="n">
        <v>22</v>
      </c>
      <c r="I63" s="166" t="n">
        <v>22</v>
      </c>
      <c r="J63" s="166" t="n">
        <v>22</v>
      </c>
      <c r="K63" s="166" t="n">
        <v>22</v>
      </c>
      <c r="L63" s="166" t="n">
        <v>22</v>
      </c>
      <c r="M63" s="166" t="n">
        <v>22</v>
      </c>
      <c r="N63" s="167" t="n">
        <v>198</v>
      </c>
    </row>
    <row r="65" ht="19.5" customHeight="1" s="107">
      <c r="A65" s="123" t="inlineStr">
        <is>
          <t>CHUCHU</t>
        </is>
      </c>
    </row>
    <row r="66" ht="19.5" customHeight="1" s="107">
      <c r="A66" s="164" t="inlineStr">
        <is>
          <t>Produtor</t>
        </is>
      </c>
      <c r="B66" s="164" t="inlineStr">
        <is>
          <t>Out/26</t>
        </is>
      </c>
      <c r="C66" s="164" t="inlineStr">
        <is>
          <t>Nov/26</t>
        </is>
      </c>
      <c r="D66" s="164" t="inlineStr">
        <is>
          <t>Dez/26</t>
        </is>
      </c>
      <c r="E66" s="164" t="inlineStr">
        <is>
          <t>Jan/27</t>
        </is>
      </c>
      <c r="F66" s="164" t="inlineStr">
        <is>
          <t>Fev/27</t>
        </is>
      </c>
      <c r="G66" s="164" t="inlineStr">
        <is>
          <t>Mar/27</t>
        </is>
      </c>
      <c r="H66" s="164" t="inlineStr">
        <is>
          <t>Abr/27</t>
        </is>
      </c>
      <c r="I66" s="164" t="inlineStr">
        <is>
          <t>Mai/27</t>
        </is>
      </c>
      <c r="J66" s="164" t="inlineStr">
        <is>
          <t>Jun/27</t>
        </is>
      </c>
      <c r="K66" s="164" t="inlineStr">
        <is>
          <t>Jul/27</t>
        </is>
      </c>
      <c r="L66" s="164" t="inlineStr">
        <is>
          <t>Ago/27</t>
        </is>
      </c>
      <c r="M66" s="164" t="inlineStr">
        <is>
          <t>Set/27</t>
        </is>
      </c>
      <c r="N66" s="164" t="inlineStr">
        <is>
          <t>Total Ano (kg)</t>
        </is>
      </c>
    </row>
    <row r="67" ht="15" customHeight="1" s="107">
      <c r="A67" s="165" t="inlineStr">
        <is>
          <t>Gustavo de Mello Rodrigues</t>
        </is>
      </c>
      <c r="B67" s="166" t="n">
        <v>0</v>
      </c>
      <c r="C67" s="166" t="n">
        <v>0</v>
      </c>
      <c r="D67" s="166" t="n">
        <v>0</v>
      </c>
      <c r="E67" s="166" t="n">
        <v>0</v>
      </c>
      <c r="F67" s="166" t="n">
        <v>0</v>
      </c>
      <c r="G67" s="166" t="n">
        <v>1168</v>
      </c>
      <c r="H67" s="166" t="n">
        <v>1168</v>
      </c>
      <c r="I67" s="166" t="n">
        <v>1168</v>
      </c>
      <c r="J67" s="166" t="n">
        <v>1168</v>
      </c>
      <c r="K67" s="166" t="n">
        <v>0</v>
      </c>
      <c r="L67" s="166" t="n">
        <v>0</v>
      </c>
      <c r="M67" s="166" t="n">
        <v>0</v>
      </c>
      <c r="N67" s="167" t="n">
        <v>4672</v>
      </c>
    </row>
    <row r="68" ht="15" customHeight="1" s="107">
      <c r="A68" s="165" t="inlineStr">
        <is>
          <t>Anderson de Mello Quimas</t>
        </is>
      </c>
      <c r="B68" s="166" t="n">
        <v>0</v>
      </c>
      <c r="C68" s="166" t="n">
        <v>0</v>
      </c>
      <c r="D68" s="166" t="n">
        <v>0</v>
      </c>
      <c r="E68" s="166" t="n">
        <v>0</v>
      </c>
      <c r="F68" s="166" t="n">
        <v>0</v>
      </c>
      <c r="G68" s="166" t="n">
        <v>1168</v>
      </c>
      <c r="H68" s="166" t="n">
        <v>1168</v>
      </c>
      <c r="I68" s="166" t="n">
        <v>1168</v>
      </c>
      <c r="J68" s="166" t="n">
        <v>1168</v>
      </c>
      <c r="K68" s="166" t="n">
        <v>0</v>
      </c>
      <c r="L68" s="166" t="n">
        <v>0</v>
      </c>
      <c r="M68" s="166" t="n">
        <v>0</v>
      </c>
      <c r="N68" s="167" t="n">
        <v>4672</v>
      </c>
    </row>
    <row r="69" ht="15" customHeight="1" s="107">
      <c r="A69" s="165" t="inlineStr">
        <is>
          <t>José Gilmar Santana de Mello</t>
        </is>
      </c>
      <c r="B69" s="166" t="n">
        <v>0</v>
      </c>
      <c r="C69" s="166" t="n">
        <v>0</v>
      </c>
      <c r="D69" s="166" t="n">
        <v>0</v>
      </c>
      <c r="E69" s="166" t="n">
        <v>0</v>
      </c>
      <c r="F69" s="166" t="n">
        <v>0</v>
      </c>
      <c r="G69" s="166" t="n">
        <v>200</v>
      </c>
      <c r="H69" s="166" t="n">
        <v>205</v>
      </c>
      <c r="I69" s="166" t="n">
        <v>205</v>
      </c>
      <c r="J69" s="166" t="n">
        <v>205</v>
      </c>
      <c r="K69" s="166" t="n">
        <v>205</v>
      </c>
      <c r="L69" s="166" t="n">
        <v>0</v>
      </c>
      <c r="M69" s="166" t="n">
        <v>0</v>
      </c>
      <c r="N69" s="167" t="n">
        <v>1020</v>
      </c>
    </row>
    <row r="70" ht="15" customHeight="1" s="107">
      <c r="A70" s="165" t="inlineStr">
        <is>
          <t>José Rodrigues de Melo</t>
        </is>
      </c>
      <c r="B70" s="166" t="n">
        <v>0</v>
      </c>
      <c r="C70" s="166" t="n">
        <v>0</v>
      </c>
      <c r="D70" s="166" t="n">
        <v>0</v>
      </c>
      <c r="E70" s="166" t="n">
        <v>0</v>
      </c>
      <c r="F70" s="166" t="n">
        <v>0</v>
      </c>
      <c r="G70" s="166" t="n">
        <v>200</v>
      </c>
      <c r="H70" s="166" t="n">
        <v>205</v>
      </c>
      <c r="I70" s="166" t="n">
        <v>205</v>
      </c>
      <c r="J70" s="166" t="n">
        <v>205</v>
      </c>
      <c r="K70" s="166" t="n">
        <v>205</v>
      </c>
      <c r="L70" s="166" t="n">
        <v>0</v>
      </c>
      <c r="M70" s="166" t="n">
        <v>0</v>
      </c>
      <c r="N70" s="167" t="n">
        <v>1020</v>
      </c>
    </row>
    <row r="71" ht="15" customHeight="1" s="107">
      <c r="A71" s="165" t="inlineStr">
        <is>
          <t>Lucio Mauro Felix da Silva</t>
        </is>
      </c>
      <c r="B71" s="166" t="n">
        <v>0</v>
      </c>
      <c r="C71" s="166" t="n">
        <v>0</v>
      </c>
      <c r="D71" s="166" t="n">
        <v>0</v>
      </c>
      <c r="E71" s="166" t="n">
        <v>0</v>
      </c>
      <c r="F71" s="166" t="n">
        <v>0</v>
      </c>
      <c r="G71" s="166" t="n">
        <v>300</v>
      </c>
      <c r="H71" s="166" t="n">
        <v>300</v>
      </c>
      <c r="I71" s="166" t="n">
        <v>300</v>
      </c>
      <c r="J71" s="166" t="n">
        <v>300</v>
      </c>
      <c r="K71" s="166" t="n">
        <v>300</v>
      </c>
      <c r="L71" s="166" t="n">
        <v>0</v>
      </c>
      <c r="M71" s="166" t="n">
        <v>0</v>
      </c>
      <c r="N71" s="167" t="n">
        <v>1500</v>
      </c>
    </row>
    <row r="73" ht="19.5" customHeight="1" s="107">
      <c r="A73" s="123" t="inlineStr">
        <is>
          <t>COUVE MANTEIGA</t>
        </is>
      </c>
    </row>
    <row r="74" ht="19.5" customHeight="1" s="107">
      <c r="A74" s="164" t="inlineStr">
        <is>
          <t>Produtor</t>
        </is>
      </c>
      <c r="B74" s="164" t="inlineStr">
        <is>
          <t>Out/26</t>
        </is>
      </c>
      <c r="C74" s="164" t="inlineStr">
        <is>
          <t>Nov/26</t>
        </is>
      </c>
      <c r="D74" s="164" t="inlineStr">
        <is>
          <t>Dez/26</t>
        </is>
      </c>
      <c r="E74" s="164" t="inlineStr">
        <is>
          <t>Jan/27</t>
        </is>
      </c>
      <c r="F74" s="164" t="inlineStr">
        <is>
          <t>Fev/27</t>
        </is>
      </c>
      <c r="G74" s="164" t="inlineStr">
        <is>
          <t>Mar/27</t>
        </is>
      </c>
      <c r="H74" s="164" t="inlineStr">
        <is>
          <t>Abr/27</t>
        </is>
      </c>
      <c r="I74" s="164" t="inlineStr">
        <is>
          <t>Mai/27</t>
        </is>
      </c>
      <c r="J74" s="164" t="inlineStr">
        <is>
          <t>Jun/27</t>
        </is>
      </c>
      <c r="K74" s="164" t="inlineStr">
        <is>
          <t>Jul/27</t>
        </is>
      </c>
      <c r="L74" s="164" t="inlineStr">
        <is>
          <t>Ago/27</t>
        </is>
      </c>
      <c r="M74" s="164" t="inlineStr">
        <is>
          <t>Set/27</t>
        </is>
      </c>
      <c r="N74" s="164" t="inlineStr">
        <is>
          <t>Total Ano (kg)</t>
        </is>
      </c>
    </row>
    <row r="75" ht="15" customHeight="1" s="107">
      <c r="A75" s="165" t="inlineStr">
        <is>
          <t>Ana Claudia Correas Ruas</t>
        </is>
      </c>
      <c r="B75" s="166" t="n">
        <v>170</v>
      </c>
      <c r="C75" s="166" t="n">
        <v>170</v>
      </c>
      <c r="D75" s="166" t="n">
        <v>100</v>
      </c>
      <c r="E75" s="166" t="n">
        <v>0</v>
      </c>
      <c r="F75" s="166" t="n">
        <v>0</v>
      </c>
      <c r="G75" s="166" t="n">
        <v>96</v>
      </c>
      <c r="H75" s="166" t="n">
        <v>96</v>
      </c>
      <c r="I75" s="166" t="n">
        <v>96</v>
      </c>
      <c r="J75" s="166" t="n">
        <v>96</v>
      </c>
      <c r="K75" s="166" t="n">
        <v>96</v>
      </c>
      <c r="L75" s="166" t="n">
        <v>96</v>
      </c>
      <c r="M75" s="166" t="n">
        <v>93</v>
      </c>
      <c r="N75" s="167" t="n">
        <v>1109</v>
      </c>
    </row>
    <row r="76" ht="15" customHeight="1" s="107">
      <c r="A76" s="165" t="inlineStr">
        <is>
          <t>Marcio Azevedo de Souza</t>
        </is>
      </c>
      <c r="B76" s="166" t="n">
        <v>100</v>
      </c>
      <c r="C76" s="166" t="n">
        <v>100</v>
      </c>
      <c r="D76" s="166" t="n">
        <v>0</v>
      </c>
      <c r="E76" s="166" t="n">
        <v>0</v>
      </c>
      <c r="F76" s="166" t="n">
        <v>0</v>
      </c>
      <c r="G76" s="166" t="n">
        <v>0</v>
      </c>
      <c r="H76" s="166" t="n">
        <v>0</v>
      </c>
      <c r="I76" s="166" t="n">
        <v>0</v>
      </c>
      <c r="J76" s="166" t="n">
        <v>0</v>
      </c>
      <c r="K76" s="166" t="n">
        <v>0</v>
      </c>
      <c r="L76" s="166" t="n">
        <v>0</v>
      </c>
      <c r="M76" s="166" t="n">
        <v>0</v>
      </c>
      <c r="N76" s="167" t="n">
        <v>200</v>
      </c>
    </row>
    <row r="77" ht="15" customHeight="1" s="107">
      <c r="A77" s="165" t="inlineStr">
        <is>
          <t>Rodolfo Azevedo de Andrade</t>
        </is>
      </c>
      <c r="B77" s="166" t="n">
        <v>0</v>
      </c>
      <c r="C77" s="166" t="n">
        <v>0</v>
      </c>
      <c r="D77" s="166" t="n">
        <v>0</v>
      </c>
      <c r="E77" s="166" t="n">
        <v>0</v>
      </c>
      <c r="F77" s="166" t="n">
        <v>0</v>
      </c>
      <c r="G77" s="166" t="n">
        <v>0</v>
      </c>
      <c r="H77" s="166" t="n">
        <v>100</v>
      </c>
      <c r="I77" s="166" t="n">
        <v>100</v>
      </c>
      <c r="J77" s="166" t="n">
        <v>100</v>
      </c>
      <c r="K77" s="166" t="n">
        <v>100</v>
      </c>
      <c r="L77" s="166" t="n">
        <v>91</v>
      </c>
      <c r="M77" s="166" t="n">
        <v>91</v>
      </c>
      <c r="N77" s="167" t="n">
        <v>582</v>
      </c>
    </row>
    <row r="78" ht="15" customHeight="1" s="107">
      <c r="A78" s="165" t="inlineStr">
        <is>
          <t>Jorge Gabriel Pereira Diniz</t>
        </is>
      </c>
      <c r="B78" s="166" t="n">
        <v>200</v>
      </c>
      <c r="C78" s="166" t="n">
        <v>200</v>
      </c>
      <c r="D78" s="166" t="n">
        <v>200</v>
      </c>
      <c r="E78" s="166" t="n">
        <v>0</v>
      </c>
      <c r="F78" s="166" t="n">
        <v>0</v>
      </c>
      <c r="G78" s="166" t="n">
        <v>150</v>
      </c>
      <c r="H78" s="166" t="n">
        <v>150</v>
      </c>
      <c r="I78" s="166" t="n">
        <v>100</v>
      </c>
      <c r="J78" s="166" t="n">
        <v>100</v>
      </c>
      <c r="K78" s="166" t="n">
        <v>0</v>
      </c>
      <c r="L78" s="166" t="n">
        <v>200</v>
      </c>
      <c r="M78" s="166" t="n">
        <v>200</v>
      </c>
      <c r="N78" s="167" t="n">
        <v>1500</v>
      </c>
    </row>
    <row r="79" ht="15" customHeight="1" s="107">
      <c r="A79" s="165" t="inlineStr">
        <is>
          <t>Gabriel Adriano de Souza</t>
        </is>
      </c>
      <c r="B79" s="166" t="n">
        <v>130</v>
      </c>
      <c r="C79" s="166" t="n">
        <v>130</v>
      </c>
      <c r="D79" s="166" t="n">
        <v>0</v>
      </c>
      <c r="E79" s="166" t="n">
        <v>0</v>
      </c>
      <c r="F79" s="166" t="n">
        <v>0</v>
      </c>
      <c r="G79" s="166" t="n">
        <v>0</v>
      </c>
      <c r="H79" s="166" t="n">
        <v>0</v>
      </c>
      <c r="I79" s="166" t="n">
        <v>0</v>
      </c>
      <c r="J79" s="166" t="n">
        <v>0</v>
      </c>
      <c r="K79" s="166" t="n">
        <v>0</v>
      </c>
      <c r="L79" s="166" t="n">
        <v>0</v>
      </c>
      <c r="M79" s="166" t="n">
        <v>0</v>
      </c>
      <c r="N79" s="167" t="n">
        <v>260</v>
      </c>
    </row>
    <row r="80" ht="15" customHeight="1" s="107">
      <c r="A80" s="165" t="inlineStr">
        <is>
          <t>Marcelo Marcos Delgado</t>
        </is>
      </c>
      <c r="B80" s="166" t="n">
        <v>76</v>
      </c>
      <c r="C80" s="166" t="n">
        <v>76</v>
      </c>
      <c r="D80" s="166" t="n">
        <v>0</v>
      </c>
      <c r="E80" s="166" t="n">
        <v>0</v>
      </c>
      <c r="F80" s="166" t="n">
        <v>0</v>
      </c>
      <c r="G80" s="166" t="n">
        <v>76</v>
      </c>
      <c r="H80" s="166" t="n">
        <v>76</v>
      </c>
      <c r="I80" s="166" t="n">
        <v>76</v>
      </c>
      <c r="J80" s="166" t="n">
        <v>76</v>
      </c>
      <c r="K80" s="166" t="n">
        <v>76</v>
      </c>
      <c r="L80" s="166" t="n">
        <v>76</v>
      </c>
      <c r="M80" s="166" t="n">
        <v>76</v>
      </c>
      <c r="N80" s="167" t="n">
        <v>684</v>
      </c>
    </row>
    <row r="81" ht="15" customHeight="1" s="107">
      <c r="A81" s="165" t="inlineStr">
        <is>
          <t>Marcos Marcelo Delgado</t>
        </is>
      </c>
      <c r="B81" s="166" t="n">
        <v>76</v>
      </c>
      <c r="C81" s="166" t="n">
        <v>76</v>
      </c>
      <c r="D81" s="166" t="n">
        <v>0</v>
      </c>
      <c r="E81" s="166" t="n">
        <v>0</v>
      </c>
      <c r="F81" s="166" t="n">
        <v>0</v>
      </c>
      <c r="G81" s="166" t="n">
        <v>76</v>
      </c>
      <c r="H81" s="166" t="n">
        <v>76</v>
      </c>
      <c r="I81" s="166" t="n">
        <v>76</v>
      </c>
      <c r="J81" s="166" t="n">
        <v>76</v>
      </c>
      <c r="K81" s="166" t="n">
        <v>76</v>
      </c>
      <c r="L81" s="166" t="n">
        <v>76</v>
      </c>
      <c r="M81" s="166" t="n">
        <v>76</v>
      </c>
      <c r="N81" s="167" t="n">
        <v>684</v>
      </c>
    </row>
    <row r="82" ht="15" customHeight="1" s="107">
      <c r="A82" s="165" t="inlineStr">
        <is>
          <t>Luiz Ailton de Oliveira Pinto</t>
        </is>
      </c>
      <c r="B82" s="166" t="n">
        <v>200</v>
      </c>
      <c r="C82" s="166" t="n">
        <v>200</v>
      </c>
      <c r="D82" s="166" t="n">
        <v>0</v>
      </c>
      <c r="E82" s="166" t="n">
        <v>0</v>
      </c>
      <c r="F82" s="166" t="n">
        <v>0</v>
      </c>
      <c r="G82" s="166" t="n">
        <v>150</v>
      </c>
      <c r="H82" s="166" t="n">
        <v>150</v>
      </c>
      <c r="I82" s="166" t="n">
        <v>200</v>
      </c>
      <c r="J82" s="166" t="n">
        <v>200</v>
      </c>
      <c r="K82" s="166" t="n">
        <v>0</v>
      </c>
      <c r="L82" s="166" t="n">
        <v>0</v>
      </c>
      <c r="M82" s="166" t="n">
        <v>150</v>
      </c>
      <c r="N82" s="167" t="n">
        <v>1250</v>
      </c>
    </row>
    <row r="83" ht="15" customHeight="1" s="107">
      <c r="A83" s="165" t="inlineStr">
        <is>
          <t>Renato José da Silva</t>
        </is>
      </c>
      <c r="B83" s="166" t="n">
        <v>0</v>
      </c>
      <c r="C83" s="166" t="n">
        <v>0</v>
      </c>
      <c r="D83" s="166" t="n">
        <v>0</v>
      </c>
      <c r="E83" s="166" t="n">
        <v>0</v>
      </c>
      <c r="F83" s="166" t="n">
        <v>0</v>
      </c>
      <c r="G83" s="166" t="n">
        <v>250</v>
      </c>
      <c r="H83" s="166" t="n">
        <v>250</v>
      </c>
      <c r="I83" s="166" t="n">
        <v>250</v>
      </c>
      <c r="J83" s="166" t="n">
        <v>200</v>
      </c>
      <c r="K83" s="166" t="n">
        <v>150</v>
      </c>
      <c r="L83" s="166" t="n">
        <v>150</v>
      </c>
      <c r="M83" s="166" t="n">
        <v>150</v>
      </c>
      <c r="N83" s="167" t="n">
        <v>1400</v>
      </c>
    </row>
    <row r="84" ht="15" customHeight="1" s="107">
      <c r="A84" s="165" t="inlineStr">
        <is>
          <t>Arnaldo da Silva</t>
        </is>
      </c>
      <c r="B84" s="166" t="n">
        <v>350</v>
      </c>
      <c r="C84" s="166" t="n">
        <v>350</v>
      </c>
      <c r="D84" s="166" t="n">
        <v>350</v>
      </c>
      <c r="E84" s="166" t="n">
        <v>0</v>
      </c>
      <c r="F84" s="166" t="n">
        <v>0</v>
      </c>
      <c r="G84" s="166" t="n">
        <v>310</v>
      </c>
      <c r="H84" s="166" t="n">
        <v>0</v>
      </c>
      <c r="I84" s="166" t="n">
        <v>0</v>
      </c>
      <c r="J84" s="166" t="n">
        <v>0</v>
      </c>
      <c r="K84" s="166" t="n">
        <v>0</v>
      </c>
      <c r="L84" s="166" t="n">
        <v>0</v>
      </c>
      <c r="M84" s="166" t="n">
        <v>0</v>
      </c>
      <c r="N84" s="167" t="n">
        <v>1360</v>
      </c>
    </row>
    <row r="86" ht="19.5" customHeight="1" s="107">
      <c r="A86" s="123" t="inlineStr">
        <is>
          <t>COUVE-FLOR</t>
        </is>
      </c>
    </row>
    <row r="87" ht="19.5" customHeight="1" s="107">
      <c r="A87" s="164" t="inlineStr">
        <is>
          <t>Produtor</t>
        </is>
      </c>
      <c r="B87" s="164" t="inlineStr">
        <is>
          <t>Out/26</t>
        </is>
      </c>
      <c r="C87" s="164" t="inlineStr">
        <is>
          <t>Nov/26</t>
        </is>
      </c>
      <c r="D87" s="164" t="inlineStr">
        <is>
          <t>Dez/26</t>
        </is>
      </c>
      <c r="E87" s="164" t="inlineStr">
        <is>
          <t>Jan/27</t>
        </is>
      </c>
      <c r="F87" s="164" t="inlineStr">
        <is>
          <t>Fev/27</t>
        </is>
      </c>
      <c r="G87" s="164" t="inlineStr">
        <is>
          <t>Mar/27</t>
        </is>
      </c>
      <c r="H87" s="164" t="inlineStr">
        <is>
          <t>Abr/27</t>
        </is>
      </c>
      <c r="I87" s="164" t="inlineStr">
        <is>
          <t>Mai/27</t>
        </is>
      </c>
      <c r="J87" s="164" t="inlineStr">
        <is>
          <t>Jun/27</t>
        </is>
      </c>
      <c r="K87" s="164" t="inlineStr">
        <is>
          <t>Jul/27</t>
        </is>
      </c>
      <c r="L87" s="164" t="inlineStr">
        <is>
          <t>Ago/27</t>
        </is>
      </c>
      <c r="M87" s="164" t="inlineStr">
        <is>
          <t>Set/27</t>
        </is>
      </c>
      <c r="N87" s="164" t="inlineStr">
        <is>
          <t>Total Ano (kg)</t>
        </is>
      </c>
    </row>
    <row r="88" ht="15" customHeight="1" s="107">
      <c r="A88" s="165" t="inlineStr">
        <is>
          <t>Rodolfo Azevedo de Andrade</t>
        </is>
      </c>
      <c r="B88" s="166" t="n">
        <v>0</v>
      </c>
      <c r="C88" s="166" t="n">
        <v>0</v>
      </c>
      <c r="D88" s="166" t="n">
        <v>0</v>
      </c>
      <c r="E88" s="166" t="n">
        <v>0</v>
      </c>
      <c r="F88" s="166" t="n">
        <v>0</v>
      </c>
      <c r="G88" s="166" t="n">
        <v>0</v>
      </c>
      <c r="H88" s="166" t="n">
        <v>0</v>
      </c>
      <c r="I88" s="166" t="n">
        <v>0</v>
      </c>
      <c r="J88" s="166" t="n">
        <v>91</v>
      </c>
      <c r="K88" s="166" t="n">
        <v>91</v>
      </c>
      <c r="L88" s="166" t="n">
        <v>91</v>
      </c>
      <c r="M88" s="166" t="n">
        <v>91</v>
      </c>
      <c r="N88" s="167" t="n">
        <v>364</v>
      </c>
    </row>
    <row r="89" ht="15" customHeight="1" s="107">
      <c r="A89" s="165" t="inlineStr">
        <is>
          <t>Claudeni Rodrigues Xavier</t>
        </is>
      </c>
      <c r="B89" s="166" t="n">
        <v>0</v>
      </c>
      <c r="C89" s="166" t="n">
        <v>0</v>
      </c>
      <c r="D89" s="166" t="n">
        <v>0</v>
      </c>
      <c r="E89" s="166" t="n">
        <v>0</v>
      </c>
      <c r="F89" s="166" t="n">
        <v>0</v>
      </c>
      <c r="G89" s="166" t="n">
        <v>0</v>
      </c>
      <c r="H89" s="166" t="n">
        <v>0</v>
      </c>
      <c r="I89" s="166" t="n">
        <v>200</v>
      </c>
      <c r="J89" s="166" t="n">
        <v>200</v>
      </c>
      <c r="K89" s="166" t="n">
        <v>200</v>
      </c>
      <c r="L89" s="166" t="n">
        <v>0</v>
      </c>
      <c r="M89" s="166" t="n">
        <v>0</v>
      </c>
      <c r="N89" s="167" t="n">
        <v>600</v>
      </c>
    </row>
    <row r="91" ht="19.5" customHeight="1" s="107">
      <c r="A91" s="123" t="inlineStr">
        <is>
          <t>ESPINAFRE</t>
        </is>
      </c>
    </row>
    <row r="92" ht="19.5" customHeight="1" s="107">
      <c r="A92" s="164" t="inlineStr">
        <is>
          <t>Produtor</t>
        </is>
      </c>
      <c r="B92" s="164" t="inlineStr">
        <is>
          <t>Out/26</t>
        </is>
      </c>
      <c r="C92" s="164" t="inlineStr">
        <is>
          <t>Nov/26</t>
        </is>
      </c>
      <c r="D92" s="164" t="inlineStr">
        <is>
          <t>Dez/26</t>
        </is>
      </c>
      <c r="E92" s="164" t="inlineStr">
        <is>
          <t>Jan/27</t>
        </is>
      </c>
      <c r="F92" s="164" t="inlineStr">
        <is>
          <t>Fev/27</t>
        </is>
      </c>
      <c r="G92" s="164" t="inlineStr">
        <is>
          <t>Mar/27</t>
        </is>
      </c>
      <c r="H92" s="164" t="inlineStr">
        <is>
          <t>Abr/27</t>
        </is>
      </c>
      <c r="I92" s="164" t="inlineStr">
        <is>
          <t>Mai/27</t>
        </is>
      </c>
      <c r="J92" s="164" t="inlineStr">
        <is>
          <t>Jun/27</t>
        </is>
      </c>
      <c r="K92" s="164" t="inlineStr">
        <is>
          <t>Jul/27</t>
        </is>
      </c>
      <c r="L92" s="164" t="inlineStr">
        <is>
          <t>Ago/27</t>
        </is>
      </c>
      <c r="M92" s="164" t="inlineStr">
        <is>
          <t>Set/27</t>
        </is>
      </c>
      <c r="N92" s="164" t="inlineStr">
        <is>
          <t>Total Ano (kg)</t>
        </is>
      </c>
    </row>
    <row r="93" ht="15" customHeight="1" s="107">
      <c r="A93" s="165" t="inlineStr">
        <is>
          <t>Ana Claudia Correas Ruas</t>
        </is>
      </c>
      <c r="B93" s="166" t="n">
        <v>28</v>
      </c>
      <c r="C93" s="166" t="n">
        <v>28</v>
      </c>
      <c r="D93" s="166" t="n">
        <v>28</v>
      </c>
      <c r="E93" s="166" t="n">
        <v>0</v>
      </c>
      <c r="F93" s="166" t="n">
        <v>0</v>
      </c>
      <c r="G93" s="166" t="n">
        <v>28</v>
      </c>
      <c r="H93" s="166" t="n">
        <v>28</v>
      </c>
      <c r="I93" s="166" t="n">
        <v>28</v>
      </c>
      <c r="J93" s="166" t="n">
        <v>28</v>
      </c>
      <c r="K93" s="166" t="n">
        <v>28</v>
      </c>
      <c r="L93" s="166" t="n">
        <v>28</v>
      </c>
      <c r="M93" s="166" t="n">
        <v>28</v>
      </c>
      <c r="N93" s="167" t="n">
        <v>280</v>
      </c>
    </row>
    <row r="94" ht="15" customHeight="1" s="107">
      <c r="A94" s="165" t="inlineStr">
        <is>
          <t>Marcio Azevedo de Souza</t>
        </is>
      </c>
      <c r="B94" s="166" t="n">
        <v>50</v>
      </c>
      <c r="C94" s="166" t="n">
        <v>50</v>
      </c>
      <c r="D94" s="166" t="n">
        <v>0</v>
      </c>
      <c r="E94" s="166" t="n">
        <v>0</v>
      </c>
      <c r="F94" s="166" t="n">
        <v>0</v>
      </c>
      <c r="G94" s="166" t="n">
        <v>0</v>
      </c>
      <c r="H94" s="166" t="n">
        <v>0</v>
      </c>
      <c r="I94" s="166" t="n">
        <v>0</v>
      </c>
      <c r="J94" s="166" t="n">
        <v>50</v>
      </c>
      <c r="K94" s="166" t="n">
        <v>50</v>
      </c>
      <c r="L94" s="166" t="n">
        <v>50</v>
      </c>
      <c r="M94" s="166" t="n">
        <v>0</v>
      </c>
      <c r="N94" s="167" t="n">
        <v>250</v>
      </c>
    </row>
    <row r="95" ht="15" customHeight="1" s="107">
      <c r="A95" s="165" t="inlineStr">
        <is>
          <t>Rodolfo Azevedo de Andrade</t>
        </is>
      </c>
      <c r="B95" s="166" t="n">
        <v>0</v>
      </c>
      <c r="C95" s="166" t="n">
        <v>0</v>
      </c>
      <c r="D95" s="166" t="n">
        <v>0</v>
      </c>
      <c r="E95" s="166" t="n">
        <v>0</v>
      </c>
      <c r="F95" s="166" t="n">
        <v>0</v>
      </c>
      <c r="G95" s="166" t="n">
        <v>0</v>
      </c>
      <c r="H95" s="166" t="n">
        <v>0</v>
      </c>
      <c r="I95" s="166" t="n">
        <v>0</v>
      </c>
      <c r="J95" s="166" t="n">
        <v>178</v>
      </c>
      <c r="K95" s="166" t="n">
        <v>178</v>
      </c>
      <c r="L95" s="166" t="n">
        <v>178</v>
      </c>
      <c r="M95" s="166" t="n">
        <v>178</v>
      </c>
      <c r="N95" s="167" t="n">
        <v>712</v>
      </c>
    </row>
    <row r="96" ht="15" customHeight="1" s="107">
      <c r="A96" s="165" t="inlineStr">
        <is>
          <t>Jorge Gabriel Pereira Diniz</t>
        </is>
      </c>
      <c r="B96" s="166" t="n">
        <v>100</v>
      </c>
      <c r="C96" s="166" t="n">
        <v>100</v>
      </c>
      <c r="D96" s="166" t="n">
        <v>100</v>
      </c>
      <c r="E96" s="166" t="n">
        <v>0</v>
      </c>
      <c r="F96" s="166" t="n">
        <v>0</v>
      </c>
      <c r="G96" s="166" t="n">
        <v>0</v>
      </c>
      <c r="H96" s="166" t="n">
        <v>0</v>
      </c>
      <c r="I96" s="166" t="n">
        <v>0</v>
      </c>
      <c r="J96" s="166" t="n">
        <v>0</v>
      </c>
      <c r="K96" s="166" t="n">
        <v>0</v>
      </c>
      <c r="L96" s="166" t="n">
        <v>100</v>
      </c>
      <c r="M96" s="166" t="n">
        <v>100</v>
      </c>
      <c r="N96" s="167" t="n">
        <v>500</v>
      </c>
    </row>
    <row r="97" ht="15" customHeight="1" s="107">
      <c r="A97" s="165" t="inlineStr">
        <is>
          <t>Gabriel Adriano de Souza</t>
        </is>
      </c>
      <c r="B97" s="166" t="n">
        <v>50</v>
      </c>
      <c r="C97" s="166" t="n">
        <v>50</v>
      </c>
      <c r="D97" s="166" t="n">
        <v>0</v>
      </c>
      <c r="E97" s="166" t="n">
        <v>0</v>
      </c>
      <c r="F97" s="166" t="n">
        <v>0</v>
      </c>
      <c r="G97" s="166" t="n">
        <v>0</v>
      </c>
      <c r="H97" s="166" t="n">
        <v>0</v>
      </c>
      <c r="I97" s="166" t="n">
        <v>0</v>
      </c>
      <c r="J97" s="166" t="n">
        <v>0</v>
      </c>
      <c r="K97" s="166" t="n">
        <v>0</v>
      </c>
      <c r="L97" s="166" t="n">
        <v>0</v>
      </c>
      <c r="M97" s="166" t="n">
        <v>0</v>
      </c>
      <c r="N97" s="167" t="n">
        <v>100</v>
      </c>
    </row>
    <row r="98" ht="15" customHeight="1" s="107">
      <c r="A98" s="165" t="inlineStr">
        <is>
          <t>Marcelo Marcos Delgado</t>
        </is>
      </c>
      <c r="B98" s="166" t="n">
        <v>49</v>
      </c>
      <c r="C98" s="166" t="n">
        <v>49</v>
      </c>
      <c r="D98" s="166" t="n">
        <v>0</v>
      </c>
      <c r="E98" s="166" t="n">
        <v>0</v>
      </c>
      <c r="F98" s="166" t="n">
        <v>0</v>
      </c>
      <c r="G98" s="166" t="n">
        <v>49</v>
      </c>
      <c r="H98" s="166" t="n">
        <v>49</v>
      </c>
      <c r="I98" s="166" t="n">
        <v>49</v>
      </c>
      <c r="J98" s="166" t="n">
        <v>49</v>
      </c>
      <c r="K98" s="166" t="n">
        <v>49</v>
      </c>
      <c r="L98" s="166" t="n">
        <v>49</v>
      </c>
      <c r="M98" s="166" t="n">
        <v>49</v>
      </c>
      <c r="N98" s="167" t="n">
        <v>441</v>
      </c>
    </row>
    <row r="99" ht="15" customHeight="1" s="107">
      <c r="A99" s="165" t="inlineStr">
        <is>
          <t>Marcos Marcelo Delgado</t>
        </is>
      </c>
      <c r="B99" s="166" t="n">
        <v>49</v>
      </c>
      <c r="C99" s="166" t="n">
        <v>49</v>
      </c>
      <c r="D99" s="166" t="n">
        <v>0</v>
      </c>
      <c r="E99" s="166" t="n">
        <v>0</v>
      </c>
      <c r="F99" s="166" t="n">
        <v>0</v>
      </c>
      <c r="G99" s="166" t="n">
        <v>49</v>
      </c>
      <c r="H99" s="166" t="n">
        <v>49</v>
      </c>
      <c r="I99" s="166" t="n">
        <v>49</v>
      </c>
      <c r="J99" s="166" t="n">
        <v>49</v>
      </c>
      <c r="K99" s="166" t="n">
        <v>49</v>
      </c>
      <c r="L99" s="166" t="n">
        <v>49</v>
      </c>
      <c r="M99" s="166" t="n">
        <v>49</v>
      </c>
      <c r="N99" s="167" t="n">
        <v>441</v>
      </c>
    </row>
    <row r="100" ht="15" customHeight="1" s="107">
      <c r="A100" s="165" t="inlineStr">
        <is>
          <t>Nilson Ferreira da Silva</t>
        </is>
      </c>
      <c r="B100" s="166" t="n">
        <v>0</v>
      </c>
      <c r="C100" s="166" t="n">
        <v>0</v>
      </c>
      <c r="D100" s="166" t="n">
        <v>0</v>
      </c>
      <c r="E100" s="166" t="n">
        <v>0</v>
      </c>
      <c r="F100" s="166" t="n">
        <v>0</v>
      </c>
      <c r="G100" s="166" t="n">
        <v>200</v>
      </c>
      <c r="H100" s="166" t="n">
        <v>200</v>
      </c>
      <c r="I100" s="166" t="n">
        <v>200</v>
      </c>
      <c r="J100" s="166" t="n">
        <v>200</v>
      </c>
      <c r="K100" s="166" t="n">
        <v>0</v>
      </c>
      <c r="L100" s="166" t="n">
        <v>0</v>
      </c>
      <c r="M100" s="166" t="n">
        <v>0</v>
      </c>
      <c r="N100" s="167" t="n">
        <v>800</v>
      </c>
    </row>
    <row r="102" ht="19.5" customHeight="1" s="107">
      <c r="A102" s="123" t="inlineStr">
        <is>
          <t>MAÇÃ GALA</t>
        </is>
      </c>
    </row>
    <row r="103" ht="15" customHeight="1" s="107">
      <c r="A103" s="168" t="inlineStr">
        <is>
          <t>⚠ Nenhum produtor cadastrado para este produto no plano anual.</t>
        </is>
      </c>
    </row>
    <row r="105" ht="19.5" customHeight="1" s="107">
      <c r="A105" s="123" t="inlineStr">
        <is>
          <t>MEL</t>
        </is>
      </c>
    </row>
    <row r="106" ht="15" customHeight="1" s="107">
      <c r="A106" s="168" t="inlineStr">
        <is>
          <t>⚠ Nenhum produtor cadastrado para este produto no plano anual.</t>
        </is>
      </c>
    </row>
    <row r="108" ht="19.5" customHeight="1" s="107">
      <c r="A108" s="123" t="inlineStr">
        <is>
          <t>OVOS</t>
        </is>
      </c>
    </row>
    <row r="109" ht="15" customHeight="1" s="107">
      <c r="A109" s="168" t="inlineStr">
        <is>
          <t>⚠ Nenhum produtor cadastrado para este produto no plano anual.</t>
        </is>
      </c>
    </row>
    <row r="111" ht="19.5" customHeight="1" s="107">
      <c r="A111" s="123" t="inlineStr">
        <is>
          <t>REPOLHO</t>
        </is>
      </c>
    </row>
    <row r="112" ht="19.5" customHeight="1" s="107">
      <c r="A112" s="164" t="inlineStr">
        <is>
          <t>Produtor</t>
        </is>
      </c>
      <c r="B112" s="164" t="inlineStr">
        <is>
          <t>Out/26</t>
        </is>
      </c>
      <c r="C112" s="164" t="inlineStr">
        <is>
          <t>Nov/26</t>
        </is>
      </c>
      <c r="D112" s="164" t="inlineStr">
        <is>
          <t>Dez/26</t>
        </is>
      </c>
      <c r="E112" s="164" t="inlineStr">
        <is>
          <t>Jan/27</t>
        </is>
      </c>
      <c r="F112" s="164" t="inlineStr">
        <is>
          <t>Fev/27</t>
        </is>
      </c>
      <c r="G112" s="164" t="inlineStr">
        <is>
          <t>Mar/27</t>
        </is>
      </c>
      <c r="H112" s="164" t="inlineStr">
        <is>
          <t>Abr/27</t>
        </is>
      </c>
      <c r="I112" s="164" t="inlineStr">
        <is>
          <t>Mai/27</t>
        </is>
      </c>
      <c r="J112" s="164" t="inlineStr">
        <is>
          <t>Jun/27</t>
        </is>
      </c>
      <c r="K112" s="164" t="inlineStr">
        <is>
          <t>Jul/27</t>
        </is>
      </c>
      <c r="L112" s="164" t="inlineStr">
        <is>
          <t>Ago/27</t>
        </is>
      </c>
      <c r="M112" s="164" t="inlineStr">
        <is>
          <t>Set/27</t>
        </is>
      </c>
      <c r="N112" s="164" t="inlineStr">
        <is>
          <t>Total Ano (kg)</t>
        </is>
      </c>
    </row>
    <row r="113" ht="15" customHeight="1" s="107">
      <c r="A113" s="165" t="inlineStr">
        <is>
          <t>José Gilmar Santana de Mello</t>
        </is>
      </c>
      <c r="B113" s="166" t="n">
        <v>0</v>
      </c>
      <c r="C113" s="166" t="n">
        <v>0</v>
      </c>
      <c r="D113" s="166" t="n">
        <v>0</v>
      </c>
      <c r="E113" s="166" t="n">
        <v>0</v>
      </c>
      <c r="F113" s="166" t="n">
        <v>0</v>
      </c>
      <c r="G113" s="166" t="n">
        <v>0</v>
      </c>
      <c r="H113" s="166" t="n">
        <v>0</v>
      </c>
      <c r="I113" s="166" t="n">
        <v>0</v>
      </c>
      <c r="J113" s="166" t="n">
        <v>1525</v>
      </c>
      <c r="K113" s="166" t="n">
        <v>1525</v>
      </c>
      <c r="L113" s="166" t="n">
        <v>0</v>
      </c>
      <c r="M113" s="166" t="n">
        <v>0</v>
      </c>
      <c r="N113" s="167" t="n">
        <v>3050</v>
      </c>
    </row>
    <row r="114" ht="15" customHeight="1" s="107">
      <c r="A114" s="165" t="inlineStr">
        <is>
          <t>José Rodrigues de Melo</t>
        </is>
      </c>
      <c r="B114" s="166" t="n">
        <v>0</v>
      </c>
      <c r="C114" s="166" t="n">
        <v>0</v>
      </c>
      <c r="D114" s="166" t="n">
        <v>0</v>
      </c>
      <c r="E114" s="166" t="n">
        <v>0</v>
      </c>
      <c r="F114" s="166" t="n">
        <v>0</v>
      </c>
      <c r="G114" s="166" t="n">
        <v>0</v>
      </c>
      <c r="H114" s="166" t="n">
        <v>0</v>
      </c>
      <c r="I114" s="166" t="n">
        <v>0</v>
      </c>
      <c r="J114" s="166" t="n">
        <v>1525</v>
      </c>
      <c r="K114" s="166" t="n">
        <v>1525</v>
      </c>
      <c r="L114" s="166" t="n">
        <v>0</v>
      </c>
      <c r="M114" s="166" t="n">
        <v>0</v>
      </c>
      <c r="N114" s="167" t="n">
        <v>3050</v>
      </c>
    </row>
    <row r="115" ht="15" customHeight="1" s="107">
      <c r="A115" s="165" t="inlineStr">
        <is>
          <t>Lucio Mauro Felix da Silva</t>
        </is>
      </c>
      <c r="B115" s="166" t="n">
        <v>200</v>
      </c>
      <c r="C115" s="166" t="n">
        <v>200</v>
      </c>
      <c r="D115" s="166" t="n">
        <v>100</v>
      </c>
      <c r="E115" s="166" t="n">
        <v>0</v>
      </c>
      <c r="F115" s="166" t="n">
        <v>0</v>
      </c>
      <c r="G115" s="166" t="n">
        <v>100</v>
      </c>
      <c r="H115" s="166" t="n">
        <v>100</v>
      </c>
      <c r="I115" s="166" t="n">
        <v>100</v>
      </c>
      <c r="J115" s="166" t="n">
        <v>100</v>
      </c>
      <c r="K115" s="166" t="n">
        <v>100</v>
      </c>
      <c r="L115" s="166" t="n">
        <v>100</v>
      </c>
      <c r="M115" s="166" t="n">
        <v>100</v>
      </c>
      <c r="N115" s="167" t="n">
        <v>1200</v>
      </c>
    </row>
    <row r="116" ht="15" customHeight="1" s="107">
      <c r="A116" s="165" t="inlineStr">
        <is>
          <t>Marcelo Marcos Delgado</t>
        </is>
      </c>
      <c r="B116" s="166" t="n">
        <v>0</v>
      </c>
      <c r="C116" s="166" t="n">
        <v>0</v>
      </c>
      <c r="D116" s="166" t="n">
        <v>0</v>
      </c>
      <c r="E116" s="166" t="n">
        <v>0</v>
      </c>
      <c r="F116" s="166" t="n">
        <v>0</v>
      </c>
      <c r="G116" s="166" t="n">
        <v>244</v>
      </c>
      <c r="H116" s="166" t="n">
        <v>244</v>
      </c>
      <c r="I116" s="166" t="n">
        <v>244</v>
      </c>
      <c r="J116" s="166" t="n">
        <v>244</v>
      </c>
      <c r="K116" s="166" t="n">
        <v>0</v>
      </c>
      <c r="L116" s="166" t="n">
        <v>0</v>
      </c>
      <c r="M116" s="166" t="n">
        <v>0</v>
      </c>
      <c r="N116" s="167" t="n">
        <v>976</v>
      </c>
    </row>
    <row r="117" ht="15" customHeight="1" s="107">
      <c r="A117" s="165" t="inlineStr">
        <is>
          <t>Marcos Marcelo Delgado</t>
        </is>
      </c>
      <c r="B117" s="166" t="n">
        <v>0</v>
      </c>
      <c r="C117" s="166" t="n">
        <v>0</v>
      </c>
      <c r="D117" s="166" t="n">
        <v>0</v>
      </c>
      <c r="E117" s="166" t="n">
        <v>0</v>
      </c>
      <c r="F117" s="166" t="n">
        <v>0</v>
      </c>
      <c r="G117" s="166" t="n">
        <v>244</v>
      </c>
      <c r="H117" s="166" t="n">
        <v>244</v>
      </c>
      <c r="I117" s="166" t="n">
        <v>244</v>
      </c>
      <c r="J117" s="166" t="n">
        <v>244</v>
      </c>
      <c r="K117" s="166" t="n">
        <v>0</v>
      </c>
      <c r="L117" s="166" t="n">
        <v>0</v>
      </c>
      <c r="M117" s="166" t="n">
        <v>0</v>
      </c>
      <c r="N117" s="167" t="n">
        <v>976</v>
      </c>
    </row>
    <row r="119" ht="19.5" customHeight="1" s="107">
      <c r="A119" s="123" t="inlineStr">
        <is>
          <t>TANGERINA PONKAN</t>
        </is>
      </c>
    </row>
    <row r="120" ht="19.5" customHeight="1" s="107">
      <c r="A120" s="164" t="inlineStr">
        <is>
          <t>Produtor</t>
        </is>
      </c>
      <c r="B120" s="164" t="inlineStr">
        <is>
          <t>Out/26</t>
        </is>
      </c>
      <c r="C120" s="164" t="inlineStr">
        <is>
          <t>Nov/26</t>
        </is>
      </c>
      <c r="D120" s="164" t="inlineStr">
        <is>
          <t>Dez/26</t>
        </is>
      </c>
      <c r="E120" s="164" t="inlineStr">
        <is>
          <t>Jan/27</t>
        </is>
      </c>
      <c r="F120" s="164" t="inlineStr">
        <is>
          <t>Fev/27</t>
        </is>
      </c>
      <c r="G120" s="164" t="inlineStr">
        <is>
          <t>Mar/27</t>
        </is>
      </c>
      <c r="H120" s="164" t="inlineStr">
        <is>
          <t>Abr/27</t>
        </is>
      </c>
      <c r="I120" s="164" t="inlineStr">
        <is>
          <t>Mai/27</t>
        </is>
      </c>
      <c r="J120" s="164" t="inlineStr">
        <is>
          <t>Jun/27</t>
        </is>
      </c>
      <c r="K120" s="164" t="inlineStr">
        <is>
          <t>Jul/27</t>
        </is>
      </c>
      <c r="L120" s="164" t="inlineStr">
        <is>
          <t>Ago/27</t>
        </is>
      </c>
      <c r="M120" s="164" t="inlineStr">
        <is>
          <t>Set/27</t>
        </is>
      </c>
      <c r="N120" s="164" t="inlineStr">
        <is>
          <t>Total Ano (kg)</t>
        </is>
      </c>
    </row>
    <row r="121" ht="15" customHeight="1" s="107">
      <c r="A121" s="165" t="inlineStr">
        <is>
          <t>Marco Antonio Coelho</t>
        </is>
      </c>
      <c r="B121" s="166" t="n">
        <v>0</v>
      </c>
      <c r="C121" s="166" t="n">
        <v>0</v>
      </c>
      <c r="D121" s="166" t="n">
        <v>0</v>
      </c>
      <c r="E121" s="166" t="n">
        <v>0</v>
      </c>
      <c r="F121" s="166" t="n">
        <v>0</v>
      </c>
      <c r="G121" s="166" t="n">
        <v>0</v>
      </c>
      <c r="H121" s="166" t="n">
        <v>0</v>
      </c>
      <c r="I121" s="166" t="n">
        <v>0</v>
      </c>
      <c r="J121" s="166" t="n">
        <v>500</v>
      </c>
      <c r="K121" s="166" t="n">
        <v>500</v>
      </c>
      <c r="L121" s="166" t="n">
        <v>0</v>
      </c>
      <c r="M121" s="166" t="n">
        <v>0</v>
      </c>
      <c r="N121" s="167" t="n">
        <v>1000</v>
      </c>
    </row>
    <row r="122" ht="15" customHeight="1" s="107">
      <c r="A122" s="165" t="inlineStr">
        <is>
          <t>Gabriel Adriano de Souza</t>
        </is>
      </c>
      <c r="B122" s="166" t="n">
        <v>0</v>
      </c>
      <c r="C122" s="166" t="n">
        <v>0</v>
      </c>
      <c r="D122" s="166" t="n">
        <v>0</v>
      </c>
      <c r="E122" s="166" t="n">
        <v>0</v>
      </c>
      <c r="F122" s="166" t="n">
        <v>0</v>
      </c>
      <c r="G122" s="166" t="n">
        <v>0</v>
      </c>
      <c r="H122" s="166" t="n">
        <v>330</v>
      </c>
      <c r="I122" s="166" t="n">
        <v>600</v>
      </c>
      <c r="J122" s="166" t="n">
        <v>800</v>
      </c>
      <c r="K122" s="166" t="n">
        <v>0</v>
      </c>
      <c r="L122" s="166" t="n">
        <v>0</v>
      </c>
      <c r="M122" s="166" t="n">
        <v>0</v>
      </c>
      <c r="N122" s="167" t="n">
        <v>1730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0"/>
  <mergeCells count="23">
    <mergeCell ref="A39:N39"/>
    <mergeCell ref="A15:N15"/>
    <mergeCell ref="A73:N73"/>
    <mergeCell ref="A11:N11"/>
    <mergeCell ref="A45:N45"/>
    <mergeCell ref="A103:N103"/>
    <mergeCell ref="A119:N119"/>
    <mergeCell ref="A65:N65"/>
    <mergeCell ref="A108:N108"/>
    <mergeCell ref="A56:N56"/>
    <mergeCell ref="A105:N105"/>
    <mergeCell ref="A86:N86"/>
    <mergeCell ref="A33:N33"/>
    <mergeCell ref="A5:N5"/>
    <mergeCell ref="A32:N32"/>
    <mergeCell ref="A106:N106"/>
    <mergeCell ref="A91:N91"/>
    <mergeCell ref="A109:N109"/>
    <mergeCell ref="A35:N35"/>
    <mergeCell ref="A52:N52"/>
    <mergeCell ref="A19:N19"/>
    <mergeCell ref="A111:N111"/>
    <mergeCell ref="A102:N102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24" activeCellId="0" sqref="J24"/>
    </sheetView>
  </sheetViews>
  <sheetFormatPr baseColWidth="8" defaultColWidth="8.6796875" defaultRowHeight="15" zeroHeight="0" outlineLevelRow="0"/>
  <cols>
    <col width="10" customWidth="1" style="106" min="1" max="1"/>
    <col width="40" customWidth="1" style="106" min="2" max="2"/>
  </cols>
  <sheetData>
    <row r="1" ht="17.25" customHeight="1" s="107">
      <c r="A1" s="169" t="inlineStr">
        <is>
          <t>MOTIVOS DE DEVOLUÇÃO (PRODUTOR / GALPÃO)</t>
        </is>
      </c>
    </row>
    <row r="3" ht="15" customHeight="1" s="107">
      <c r="A3" s="115" t="inlineStr">
        <is>
          <t>CÓD.</t>
        </is>
      </c>
      <c r="B3" s="115" t="inlineStr">
        <is>
          <t>MOTIVO</t>
        </is>
      </c>
      <c r="D3" s="141">
        <f>HYPERLINK("#'ÍNDICE'!A1","◄ Voltar ao Índice")</f>
        <v/>
      </c>
    </row>
    <row r="4" ht="15" customHeight="1" s="107">
      <c r="A4" s="116" t="n">
        <v>1</v>
      </c>
      <c r="B4" s="118" t="inlineStr">
        <is>
          <t>Mercadoria fora do padrão</t>
        </is>
      </c>
    </row>
    <row r="5" ht="15" customHeight="1" s="107">
      <c r="A5" s="116" t="n">
        <v>2</v>
      </c>
      <c r="B5" s="118" t="inlineStr">
        <is>
          <t>Falta no peso</t>
        </is>
      </c>
    </row>
    <row r="6" ht="15" customHeight="1" s="107">
      <c r="A6" s="116" t="n">
        <v>3</v>
      </c>
      <c r="B6" s="118" t="inlineStr">
        <is>
          <t>Sobra no peso</t>
        </is>
      </c>
    </row>
    <row r="7" ht="15" customHeight="1" s="107">
      <c r="A7" s="116" t="n">
        <v>4</v>
      </c>
      <c r="B7" s="118" t="inlineStr">
        <is>
          <t>Mercadoria estragada</t>
        </is>
      </c>
    </row>
    <row r="8" ht="15" customHeight="1" s="107">
      <c r="A8" s="116" t="n">
        <v>5</v>
      </c>
      <c r="B8" s="118" t="inlineStr">
        <is>
          <t>Folha amarelada</t>
        </is>
      </c>
    </row>
    <row r="9" ht="15" customHeight="1" s="107">
      <c r="A9" s="116" t="n">
        <v>6</v>
      </c>
      <c r="B9" s="118" t="inlineStr">
        <is>
          <t>Faltou</t>
        </is>
      </c>
    </row>
    <row r="10" ht="15" customHeight="1" s="107">
      <c r="A10" s="116" t="n">
        <v>7</v>
      </c>
      <c r="B10" s="118" t="inlineStr">
        <is>
          <t>Muito pequeno</t>
        </is>
      </c>
    </row>
    <row r="11" ht="15" customHeight="1" s="107">
      <c r="A11" s="116" t="n">
        <v>8</v>
      </c>
      <c r="B11" s="118" t="inlineStr">
        <is>
          <t>Fora do padrão de tamanho</t>
        </is>
      </c>
    </row>
    <row r="12" ht="15" customHeight="1" s="107">
      <c r="A12" s="116" t="n">
        <v>9</v>
      </c>
      <c r="B12" s="118" t="inlineStr">
        <is>
          <t>Fora do pedido</t>
        </is>
      </c>
    </row>
    <row r="13" ht="15" customHeight="1" s="107">
      <c r="A13" s="116" t="n">
        <v>10</v>
      </c>
      <c r="B13" s="118" t="inlineStr">
        <is>
          <t>Muito grande</t>
        </is>
      </c>
    </row>
    <row r="14" ht="15" customHeight="1" s="107">
      <c r="A14" s="116" t="n">
        <v>11</v>
      </c>
      <c r="B14" s="118" t="inlineStr">
        <is>
          <t>Aparência ruim</t>
        </is>
      </c>
    </row>
    <row r="15" ht="15" customHeight="1" s="107">
      <c r="A15" s="116" t="n">
        <v>12</v>
      </c>
      <c r="B15" s="118" t="inlineStr">
        <is>
          <t>Verde/imaturo</t>
        </is>
      </c>
    </row>
    <row r="16" ht="15" customHeight="1" s="107">
      <c r="A16" s="116" t="n">
        <v>13</v>
      </c>
      <c r="B16" s="118" t="inlineStr">
        <is>
          <t>Passado/murcho</t>
        </is>
      </c>
    </row>
    <row r="17" ht="15" customHeight="1" s="107">
      <c r="A17" s="116" t="n">
        <v>14</v>
      </c>
      <c r="B17" s="118" t="inlineStr">
        <is>
          <t>Manchado/pintado</t>
        </is>
      </c>
    </row>
    <row r="18" ht="15" customHeight="1" s="107">
      <c r="A18" s="116" t="n">
        <v>15</v>
      </c>
      <c r="B18" s="118" t="n"/>
    </row>
    <row r="19" ht="15" customHeight="1" s="107">
      <c r="A19" s="116" t="n">
        <v>16</v>
      </c>
      <c r="B19" s="118" t="n"/>
    </row>
    <row r="20" ht="15" customHeight="1" s="107">
      <c r="A20" s="116" t="n">
        <v>17</v>
      </c>
      <c r="B20" s="118" t="n"/>
    </row>
    <row r="21" ht="15" customHeight="1" s="107">
      <c r="A21" s="116" t="n">
        <v>18</v>
      </c>
      <c r="B21" s="118" t="n"/>
    </row>
    <row r="22" ht="15" customHeight="1" s="107">
      <c r="A22" s="116" t="n">
        <v>19</v>
      </c>
      <c r="B22" s="118" t="n"/>
    </row>
    <row r="23" ht="15" customHeight="1" s="107">
      <c r="A23" s="116" t="n">
        <v>20</v>
      </c>
      <c r="B23" s="1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9" activeCellId="0" sqref="B9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ABELARDO DE LAMARE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CAXAMBU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JOSÉ ALMEIDA AMADO, 1302 - CEP 25615-081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1001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2291-0223, (24) 98139-3119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BATAILLARD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MOSELA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BATAILLARD, S/N - CEP 25675-160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1003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2248-7603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LEONARDO BOFF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BINGEN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RODOVIA BR 040 KM, 81 - CEP 25665-060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1004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98849-3570, (24) 99983-5235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CLEMENTE FERNANDES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ALTO DA SERRA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24 DE MAIO, 517 - CEP 25640-550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1005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2246-3970, (24) 99952-1663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DOM PEDRO DE ALCÂNTARA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SANTA ROSA DE LIMA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RODOVIA WASHINGTHON LUIZ, 94 - CEP 25655-000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1006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(21) 99352-4970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DUQUE DE CAXIAS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QUISSAMÃ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TRAVESSA LUCIANO CAMAROTA, 78 - CEP 25615-390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1008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2247-0070, (24) 98816-4280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LUIZ CARLOS SOARES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MORIN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EUVALDO LODDI, S/N - CEP 25630-110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1009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2231-9813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GENERAL HEITOR BORGES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BINGEN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CAPITÃO CARLOS AGOSTINI, S/N - CEP 25660-100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1010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2247-8354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JOÃO KOPKE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FAZENDA INGLESA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DA FAZENDA INGLESA, 4695 - CEP 25670-070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1011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2245-7626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ODETTE FONSECA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DUQUES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RIO PETRÓPOLIS KM 85, 5 - CEP 25650-001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1013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2249-2123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GOVERNADOR MARCELLO ALENCAR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QUITANDINHA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AMARAL PEIXOTO, S/N - CEP 25651-010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1017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2245-7780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PROF JOAQUIM DEISTER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FLORESTA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DR. JOÃO GLASS VEIGA, 112 - CEP 25615-111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1018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2242-4760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ROBERT KENNEDY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CASTELÂNEA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CRISTOVÃO COLOMBO, 783 - CEP 25640-322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1020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2020-8959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ROTARY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BARÃO DO RIO BRANCO, 1967 - CEP 25680-275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1021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2244-9148, (24) 98817-7903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ROSALINA NICOLAY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SIMÉRIA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PRESIDENTE SODRE, 1026 - CEP 25645-026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1022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2020-2919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Dados'!C20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Dados'!D20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Dados'!E20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Dados'!F20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Dados'!G20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Dados'!H20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Dados'!I20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Dados'!J20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Dados'!K20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Dados'!L20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Dados'!M20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Dados'!N20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Dados'!O20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Dados'!P20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Dados'!Q20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Dados'!R20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Dados'!S20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Dados'!T20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Dados'!U20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DE EDUCAÇÃO ESPECIAL SANTOS DUMONT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MONTECASEROS, 520 - CEP 25685-080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1023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2242-5906, (24) 98829-6926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Dados'!C21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Dados'!D21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Dados'!E21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Dados'!F21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Dados'!G21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Dados'!H21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Dados'!I21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Dados'!J21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Dados'!K21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Dados'!L21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Dados'!M21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Dados'!N21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Dados'!O21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Dados'!P21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Dados'!Q21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Dados'!R21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Dados'!S21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Dados'!T21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Dados'!U21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SOROPTIMISTA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MOSELA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TEOFILO JOSE DA SILVA, S/N - CEP 25670-020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1024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2246-5708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Dados'!C22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Dados'!D22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Dados'!E22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Dados'!F22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Dados'!G22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Dados'!H22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Dados'!I22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Dados'!J22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Dados'!K22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Dados'!L22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Dados'!M22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Dados'!N22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Dados'!O22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Dados'!P22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Dados'!Q22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Dados'!R22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Dados'!S22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Dados'!T22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Dados'!U22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LICEU MUN PREFEITO CORDOLINO AMBROSIO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MONTECASEROS, 240 - CEP 25680-004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1026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2017-9500, (24) 2019-2187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Dados'!C23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Dados'!D23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Dados'!E23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Dados'!F23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Dados'!G23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Dados'!H23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Dados'!I23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Dados'!J23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Dados'!K23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Dados'!L23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Dados'!M23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Dados'!N23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Dados'!O23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Dados'!P23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Dados'!Q23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Dados'!R23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Dados'!S23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Dados'!T23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Dados'!U23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ANTÔNIO LEITE GARCIA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SAMAMBAIA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DO SAMAMBAIA, 44 - CEP 25710-372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1028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2280-4336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Dados'!C24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Dados'!D24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Dados'!E24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Dados'!F24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Dados'!G24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Dados'!H24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Dados'!I24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Dados'!J24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Dados'!K24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Dados'!L24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Dados'!M24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Dados'!N24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Dados'!O24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Dados'!P24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Dados'!Q24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Dados'!R24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Dados'!S24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Dados'!T24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Dados'!U24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JORGE AMADO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CASCATINHA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DA SAUDADE, 1397 - CEP 25610-351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1030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2242-1234, (24) 98845-1441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Dados'!C25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Dados'!D25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Dados'!E25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Dados'!F25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Dados'!G25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Dados'!H25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Dados'!I25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Dados'!J25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Dados'!K25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Dados'!L25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Dados'!M25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Dados'!N25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Dados'!O25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Dados'!P25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Dados'!Q25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Dados'!R25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Dados'!S25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Dados'!T25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Dados'!U25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LÚCIA DE ALMEIDA BRAGA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CARANGOLA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WALDEMAR VIEIRA AFONSO, 7 - CEP 25715-402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1033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99218-8513, (24) 2231-4691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Dados'!C26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Dados'!D26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Dados'!E26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Dados'!F26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Dados'!G26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Dados'!H26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Dados'!I26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Dados'!J26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Dados'!K26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Dados'!L26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Dados'!M26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Dados'!N26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Dados'!O26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Dados'!P26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Dados'!Q26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Dados'!R26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Dados'!S26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Dados'!T26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Dados'!U26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MAGDALENA TAGLIAFERRO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CASTELO SÃO MANOEL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CAPITÃO JOÃO AMÂNCIO DE S.COUTINHO, S/N - CEP 25720-210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1034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2221-5955, (24) 99255-8706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Dados'!C27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Dados'!D27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Dados'!E27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Dados'!F27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Dados'!G27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Dados'!H27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Dados'!I27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Dados'!J27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Dados'!K27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Dados'!L27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Dados'!M27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Dados'!N27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Dados'!O27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Dados'!P27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Dados'!Q27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Dados'!R27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Dados'!S27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Dados'!T27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Dados'!U27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MAJOR JÚLIO FREDERICO KOELER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RETIRO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FELIPE CAMARÃO, 374 - CEP 25680-510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1035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2017-0495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Dados'!C28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Dados'!D28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Dados'!E28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Dados'!F28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Dados'!G28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Dados'!H28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Dados'!I28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Dados'!J28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Dados'!K28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Dados'!L28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Dados'!M28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Dados'!N28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Dados'!O28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Dados'!P28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Dados'!Q28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Dados'!R28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Dados'!S28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Dados'!T28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Dados'!U28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MARIETA GONÇALVES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CORRÊAS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NOSSA SENHORA DA GLÓRIA, 1329 - CEP 25720-265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1036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2221-1839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Dados'!C29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Dados'!D29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Dados'!E29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Dados'!F29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Dados'!G29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Dados'!H29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Dados'!I29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Dados'!J29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Dados'!K29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Dados'!L29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Dados'!M29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Dados'!N29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Dados'!O29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Dados'!P29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Dados'!Q29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Dados'!R29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Dados'!S29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Dados'!T29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Dados'!U29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ODETTE YOUNG MONTEIRO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CORRÊAS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ALEXANDRE ALVES ANTUNES, 133 - CEP 25730-005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1037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99271-6764, (24) 2017-3899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Dados'!C30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Dados'!D30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Dados'!E30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Dados'!F30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Dados'!G30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Dados'!H30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Dados'!I30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Dados'!J30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Dados'!K30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Dados'!L30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Dados'!M30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Dados'!N30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Dados'!O30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Dados'!P30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Dados'!Q30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Dados'!R30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Dados'!S30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Dados'!T30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Dados'!U30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FÁBRICA DO SABER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CASCATINHA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MACHADO FAGUNDES, 269 - CEP 25716-001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1038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2291-6160, (24) 2231-6591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Dados'!C31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Dados'!D31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Dados'!E31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Dados'!F31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Dados'!G31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Dados'!H31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Dados'!I31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Dados'!J31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Dados'!K31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Dados'!L31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Dados'!M31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Dados'!N31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Dados'!O31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Dados'!P31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Dados'!Q31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Dados'!R31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Dados'!S31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Dados'!T31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Dados'!U31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PROFESSOR PAULO MONTE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ARARAS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BERNARDO COUTINHO, SN - CEP 25725-020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1040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2291-7383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Dados'!C32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Dados'!D32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Dados'!E32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Dados'!F32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Dados'!G32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Dados'!H32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Dados'!I32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Dados'!J32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Dados'!K32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Dados'!L32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Dados'!M32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Dados'!N32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Dados'!O32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Dados'!P32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Dados'!Q32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Dados'!R32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Dados'!S32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Dados'!T32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Dados'!U32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ROSEMIRA DE OLIVEIRA CAVALCANTI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ITAMARATI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JOÃO DE FARIAS, S/N - CEP 25710-094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1042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2242-3013, (24) 98810-0009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Dados'!C33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Dados'!D33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Dados'!E33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Dados'!F33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Dados'!G33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Dados'!H33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Dados'!I33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Dados'!J33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Dados'!K33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Dados'!L33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Dados'!M33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Dados'!N33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Dados'!O33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Dados'!P33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Dados'!Q33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Dados'!R33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Dados'!S33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Dados'!T33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Dados'!U33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AMÉLIA ANTUNES RABELLO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MADAME MACHADO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JOSÉ DA GAMA MACHADO, S/N - CEP 25745-700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1043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2222-5113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Dados'!C34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Dados'!D34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Dados'!E34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Dados'!F34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Dados'!G34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Dados'!H34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Dados'!I34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Dados'!J34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Dados'!K34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Dados'!L34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Dados'!M34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Dados'!N34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Dados'!O34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Dados'!P34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Dados'!Q34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Dados'!R34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Dados'!S34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Dados'!T34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Dados'!U34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AUGUSTO PUGNALONI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ITAIPAVA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DO CATOBIRA, S/N - CEP 25740-100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1044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2246-9103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Dados'!C35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Dados'!D35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Dados'!E35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Dados'!F35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Dados'!G35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Dados'!H35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Dados'!I35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Dados'!J35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Dados'!K35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Dados'!L35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Dados'!M35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Dados'!N35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Dados'!O35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Dados'!P35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Dados'!Q35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Dados'!R35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Dados'!S35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Dados'!T35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Dados'!U35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CELINA SCHECHNER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ITAIPAVA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UNIÃO INDÚSTRIA, 11976 - CEP 25750-226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1045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2235-7349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Dados'!C36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Dados'!D36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Dados'!E36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Dados'!F36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Dados'!G36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Dados'!H36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Dados'!I36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Dados'!J36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Dados'!K36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Dados'!L36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Dados'!M36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Dados'!N36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Dados'!O36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Dados'!P36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Dados'!Q36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Dados'!R36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Dados'!S36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Dados'!T36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Dados'!U36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DARCY CORREA DA VEIGA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ITAIPAVA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CORREA DA VEIGA, 1595 - CEP 25745-260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1046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99253-0879, (24) 2246-9319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Dados'!C37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Dados'!D37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Dados'!E37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Dados'!F37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Dados'!G37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Dados'!H37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Dados'!I37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Dados'!J37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Dados'!K37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Dados'!L37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Dados'!M37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Dados'!N37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Dados'!O37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Dados'!P37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Dados'!Q37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Dados'!R37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Dados'!S37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Dados'!T37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Dados'!U37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DR PAULA BUARQUE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ITAIPAVA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ESTR. PHILÚVIO CERQUEIRA RODRIGUES-VL CO, KM 2 - CEP 25745-001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1048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2222-6445, (24) 98821-8414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Dados'!C38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Dados'!D38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Dados'!E38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Dados'!F38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Dados'!G38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Dados'!H38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Dados'!I38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Dados'!J38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Dados'!K38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Dados'!L38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Dados'!M38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Dados'!N38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Dados'!O38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Dados'!P38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Dados'!Q38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Dados'!R38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Dados'!S38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Dados'!T38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Dados'!U38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DR THEODORO MACHADO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CUIABÁ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MINISTRO SALGADO FILHO, S/N - CEP 25745-690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1049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2222-9172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Dados'!C39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Dados'!D39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Dados'!E39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Dados'!F39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Dados'!G39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Dados'!H39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Dados'!I39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Dados'!J39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Dados'!K39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Dados'!L39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Dados'!M39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Dados'!N39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Dados'!O39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Dados'!P39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Dados'!Q39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Dados'!R39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Dados'!S39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Dados'!T39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Dados'!U39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ARNALDO DYCKERHOFF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POSSE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ARNALDO DYCKERHOFF, 4110 - CEP 25770-130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1052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2246-9326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Dados'!C40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Dados'!D40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Dados'!E40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Dados'!F40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Dados'!G40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Dados'!H40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Dados'!I40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Dados'!J40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Dados'!K40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Dados'!L40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Dados'!M40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Dados'!N40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Dados'!O40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Dados'!P40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Dados'!Q40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Dados'!R40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Dados'!S40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Dados'!T40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Dados'!U40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CARLOS CANEDO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POSSE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UNIÃO INDÚSTRIA, 24681 - CEP 25750-222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1055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98812-4591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Dados'!C41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Dados'!D41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Dados'!E41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Dados'!F41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Dados'!G41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Dados'!H41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Dados'!I41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Dados'!J41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Dados'!K41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Dados'!L41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Dados'!M41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Dados'!N41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Dados'!O41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Dados'!P41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Dados'!Q41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Dados'!R41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Dados'!S41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Dados'!T41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Dados'!U41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DR BARROS FRANCO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SECRETÁRIO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DE FAGUNDES, S/N - CEP 25755-090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1057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98838-3200, (24) 97835-9019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Dados'!C42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Dados'!D42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Dados'!E42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Dados'!F42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Dados'!G42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Dados'!H42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Dados'!I42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Dados'!J42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Dados'!K42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Dados'!L42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Dados'!M42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Dados'!N42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Dados'!O42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Dados'!P42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Dados'!Q42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Dados'!R42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Dados'!S42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Dados'!T42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Dados'!U42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MAJOR THEÓFILO DE CARVALHO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SECRETÁRIO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ROCINHA, S/N - CEP 25755-340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1060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2228-1276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Dados'!C43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Dados'!D43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Dados'!E43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Dados'!F43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Dados'!G43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Dados'!H43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Dados'!I43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Dados'!J43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Dados'!K43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Dados'!L43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Dados'!M43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Dados'!N43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Dados'!O43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Dados'!P43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Dados'!Q43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Dados'!R43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Dados'!S43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Dados'!T43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Dados'!U43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TAQUARIL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PEDRO DO RIO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MANOEL BATISTA ANDRADE, S/N - CEP 25750-280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1065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2236-2770, (24) 99206-0546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Dados'!C44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Dados'!D44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Dados'!E44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Dados'!F44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Dados'!G44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Dados'!H44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Dados'!I44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Dados'!J44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Dados'!K44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Dados'!L44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Dados'!M44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Dados'!N44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Dados'!O44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Dados'!P44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Dados'!Q44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Dados'!R44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Dados'!S44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Dados'!T44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Dados'!U44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BEATRIZ ZALESKI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POSSE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UNIÃO INDÚSTRIA - KM 89, RETA DA POSSE - CEP 25770-000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1067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2259-2730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Dados'!C45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Dados'!D45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Dados'!E45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Dados'!F45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Dados'!G45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Dados'!H45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Dados'!I45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Dados'!J45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Dados'!K45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Dados'!L45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Dados'!M45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Dados'!N45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Dados'!O45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Dados'!P45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Dados'!Q45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Dados'!R45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Dados'!S45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Dados'!T45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Dados'!U45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ANTÔNIO JOSÉ DE LIMA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POSSE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DOS ALBERTOS-BREJAL, S/N - CEP 25770-090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1068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2241-0984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Dados'!C46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Dados'!D46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Dados'!E46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Dados'!F46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Dados'!G46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Dados'!H46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Dados'!I46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Dados'!J46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Dados'!K46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Dados'!L46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Dados'!M46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Dados'!N46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Dados'!O46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Dados'!P46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Dados'!Q46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Dados'!R46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Dados'!S46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Dados'!T46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Dados'!U46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FELIX WAN ERVEN DE BARROS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POSSE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SILVEIRA DA MOTTA, KM 2,5, S/N, KM 4 - CEP 25770-460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1069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99202-5067, (24) 2246-8797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Dados'!C47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Dados'!D47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Dados'!E47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Dados'!F47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Dados'!G47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Dados'!H47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Dados'!I47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Dados'!J47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Dados'!K47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Dados'!L47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Dados'!M47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Dados'!N47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Dados'!O47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Dados'!P47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Dados'!Q47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Dados'!R47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Dados'!S47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Dados'!T47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Dados'!U47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HILDEBRANDO DE CARVALHO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POSSE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SILVEIRA DA MOTTA, KM 2,5, S/N, KM 2,5 - CEP 25770-460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1070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2246-9123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Dados'!C48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Dados'!D48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Dados'!E48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Dados'!F48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Dados'!G48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Dados'!H48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Dados'!I48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Dados'!J48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Dados'!K48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Dados'!L48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Dados'!M48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Dados'!N48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Dados'!O48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Dados'!P48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Dados'!Q48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Dados'!R48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Dados'!S48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Dados'!T48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Dados'!U48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OSWALDO DA COSTA FRIAS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POSSE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DO JURUÁ, N SRA DE FATIMA - CEP 25770-330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1073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2246-9087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Dados'!C49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Dados'!D49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Dados'!E49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Dados'!F49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Dados'!G49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Dados'!H49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Dados'!I49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Dados'!J49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Dados'!K49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Dados'!L49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Dados'!M49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Dados'!N49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Dados'!O49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Dados'!P49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Dados'!Q49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Dados'!R49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Dados'!S49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Dados'!T49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Dados'!U49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MZDA CARMEM NUNES MARTINS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ITAMARATI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DR. JOÃO BARCELOS, 687 - CEP 25615-171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1075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2244-7848, (24) 98815-3826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Dados'!C50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Dados'!D50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Dados'!E50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Dados'!F50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Dados'!G50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Dados'!H50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Dados'!I50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Dados'!J50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Dados'!K50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Dados'!L50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Dados'!M50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Dados'!N50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Dados'!O50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Dados'!P50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Dados'!Q50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Dados'!R50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Dados'!S50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Dados'!T50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Dados'!U50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MZDA AVELINO DE CARVALHO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POSSE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DO BREJAL, SBREJAL S/N - CEP 25770-090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1076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98829-9830, (24) 2246-4278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Dados'!C51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Dados'!D51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Dados'!E51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Dados'!F51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Dados'!G51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Dados'!H51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Dados'!I51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Dados'!J51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Dados'!K51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Dados'!L51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Dados'!M51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Dados'!N51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Dados'!O51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Dados'!P51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Dados'!Q51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Dados'!R51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Dados'!S51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Dados'!T51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Dados'!U51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GERALDO VENTURA DIAS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ALTO DA SERRA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VELHA DA ESTRELA, 3100 - CEP 25635-114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1078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2247-6112, (24) 93300-1607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Dados'!C52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Dados'!D52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Dados'!E52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Dados'!F52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Dados'!G52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Dados'!H52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Dados'!I52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Dados'!J52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Dados'!K52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Dados'!L52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Dados'!M52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Dados'!N52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Dados'!O52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Dados'!P52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Dados'!Q52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Dados'!R52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Dados'!S52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Dados'!T52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Dados'!U52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SALVADOR KLING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MOSELA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MOSELA, 995 - CEP 25675-016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1079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2231-3651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Dados'!C53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Dados'!D53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Dados'!E53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Dados'!F53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Dados'!G53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Dados'!H53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Dados'!I53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Dados'!J53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Dados'!K53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Dados'!L53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Dados'!M53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Dados'!N53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Dados'!O53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Dados'!P53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Dados'!Q53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Dados'!R53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Dados'!S53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Dados'!T53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Dados'!U53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PREFEITO JAMIL SABRÁ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CORONEL VEIGA, 1130 - CEP 25655-171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1080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2019-0494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Dados'!C54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Dados'!D54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Dados'!E54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Dados'!F54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Dados'!G54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Dados'!H54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Dados'!I54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Dados'!J54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Dados'!K54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Dados'!L54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Dados'!M54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Dados'!N54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Dados'!O54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Dados'!P54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Dados'!Q54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Dados'!R54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Dados'!S54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Dados'!T54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Dados'!U54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LICEU MUNICIPAL CARLOS CHAGAS FILHO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BARÃO DO RIO BRANCO, 2053 - CEP 25680-275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1081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2242-1062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Dados'!C55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Dados'!D55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Dados'!E55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Dados'!F55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Dados'!G55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Dados'!H55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Dados'!I55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Dados'!J55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Dados'!K55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Dados'!L55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Dados'!M55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Dados'!N55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Dados'!O55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Dados'!P55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Dados'!Q55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Dados'!R55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Dados'!S55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Dados'!T55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Dados'!U55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ANA MOHAMMAD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CASTELÂNEA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DO PARAÍSO, 701 - CEP 25635-410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1083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2248-6206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Dados'!C56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Dados'!D56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Dados'!E56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Dados'!F56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Dados'!G56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Dados'!H56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Dados'!I56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Dados'!J56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Dados'!K56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Dados'!L56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Dados'!M56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Dados'!N56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Dados'!O56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Dados'!P56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Dados'!Q56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Dados'!R56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Dados'!S56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Dados'!T56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Dados'!U56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ALTO INDEPENDÊNCIA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ALTO INDEPENDÊNCIA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LEONOR MAIA, 1670 - CEP 25645-420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1084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2246-9094, (24) 2247-2235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Dados'!C57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Dados'!D57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Dados'!E57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Dados'!F57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Dados'!G57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Dados'!H57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Dados'!I57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Dados'!J57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Dados'!K57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Dados'!L57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Dados'!M57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Dados'!N57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Dados'!O57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Dados'!P57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Dados'!Q57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Dados'!R57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Dados'!S57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Dados'!T57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Dados'!U57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ALMIRANTE TAMANDARÉ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RETIRO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DR. HERMOGÊNEO SILVA, S/N - CEP 25715-059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1085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2246-0794, (24) 97400-1730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Dados'!C58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Dados'!D58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Dados'!E58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Dados'!F58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Dados'!G58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Dados'!H58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Dados'!I58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Dados'!J58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Dados'!K58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Dados'!L58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Dados'!M58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Dados'!N58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Dados'!O58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Dados'!P58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Dados'!Q58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Dados'!R58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Dados'!S58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Dados'!T58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Dados'!U58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MUNICIPALIZADA FREI ANICETO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MOSELA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MOSELA, 1445 - CEP 25675-017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1086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2291-7304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Dados'!C59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Dados'!D59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Dados'!E59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Dados'!F59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Dados'!G59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Dados'!H59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Dados'!I59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Dados'!J59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Dados'!K59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Dados'!L59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Dados'!M59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Dados'!N59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Dados'!O59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Dados'!P59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Dados'!Q59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Dados'!R59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Dados'!S59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Dados'!T59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Dados'!U59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PEDRO AMADO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MEIO DA SERRA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VELHA DA ESTRELA, 436 - CEP 25635-114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1088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2235-1735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Dados'!C60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Dados'!D60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Dados'!E60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Dados'!F60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Dados'!G60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Dados'!H60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Dados'!I60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Dados'!J60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Dados'!K60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Dados'!L60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Dados'!M60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Dados'!N60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Dados'!O60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Dados'!P60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Dados'!Q60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Dados'!R60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Dados'!S60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Dados'!T60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Dados'!U60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PROFª MARIA DA GLÓRIA QUEIROZ DE VASCONCELLOS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INDEPENDÊNCIA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A, S/N - CEP 25645-420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1089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2291-2476, (24) 2246-5803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Dados'!C61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Dados'!D61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Dados'!E61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Dados'!F61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Dados'!G61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Dados'!H61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Dados'!I61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Dados'!J61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Dados'!K61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Dados'!L61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Dados'!M61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Dados'!N61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Dados'!O61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Dados'!P61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Dados'!Q61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Dados'!R61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Dados'!S61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Dados'!T61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Dados'!U61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SEBASTIÃO LACERDA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ROCIO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ESTR. DA VARGEM GRANDE, S/N - CEP 25725-621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1090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2246-8464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Dados'!C62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Dados'!D62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Dados'!E62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Dados'!F62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Dados'!G62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Dados'!H62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Dados'!I62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Dados'!J62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Dados'!K62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Dados'!L62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Dados'!M62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Dados'!N62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Dados'!O62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Dados'!P62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Dados'!Q62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Dados'!R62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Dados'!S62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Dados'!T62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Dados'!U62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PROFESSOR FLÁVIO MACIEL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QUITANDINHA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AMARAL PEIXOTO, S/N - CEP 25651-010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1093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2237-2567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Dados'!C63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Dados'!D63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Dados'!E63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Dados'!F63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Dados'!G63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Dados'!H63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Dados'!I63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Dados'!J63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Dados'!K63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Dados'!L63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Dados'!M63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Dados'!N63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Dados'!O63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Dados'!P63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Dados'!Q63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Dados'!R63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Dados'!S63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Dados'!T63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Dados'!U63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PAULO SALDANHA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ESTRADA DA SAUDADE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DA SAUDADE, S/N PROX AO 941 - CEP 25610-106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1094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2020-4309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Dados'!C64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Dados'!D64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Dados'!E64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Dados'!F64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Dados'!G64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Dados'!H64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Dados'!I64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Dados'!J64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Dados'!K64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Dados'!L64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Dados'!M64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Dados'!N64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Dados'!O64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Dados'!P64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Dados'!Q64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Dados'!R64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Dados'!S64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Dados'!T64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Dados'!U64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PROFESSOR JOSEMAR CONTAGE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CORRÊAS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CASTRO ALVES, 80 - CEP 25730-730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1095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2221-4289, (24) 2236-2433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Dados'!C65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Dados'!D65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Dados'!E65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Dados'!F65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Dados'!G65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Dados'!H65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Dados'!I65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Dados'!J65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Dados'!K65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Dados'!L65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Dados'!M65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Dados'!N65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Dados'!O65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Dados'!P65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Dados'!Q65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Dados'!R65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Dados'!S65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Dados'!T65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Dados'!U65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MONSENHOR CIRILLO CALAON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JARDIM SALVADOR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AROLDO MANO, S/N - CEP 25720-045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1096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2291-5163, (24) 2291-5173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Dados'!C66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Dados'!D66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Dados'!E66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Dados'!F66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Dados'!G66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Dados'!H66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Dados'!I66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Dados'!J66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Dados'!K66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Dados'!L66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Dados'!M66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Dados'!N66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Dados'!O66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Dados'!P66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Dados'!Q66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Dados'!R66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Dados'!S66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Dados'!T66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Dados'!U66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AMÉRICO FERNANDES RIBEIRO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VALE DAS VIDEIRAS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ESTR. ALMIRANTE PAULO MEIRA, 8400 - CEP 25725-029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1097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3199-0100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Dados'!C67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Dados'!D67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Dados'!E67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Dados'!F67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Dados'!G67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Dados'!H67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Dados'!I67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Dados'!J67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Dados'!K67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Dados'!L67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Dados'!M67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Dados'!N67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Dados'!O67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Dados'!P67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Dados'!Q67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Dados'!R67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Dados'!S67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Dados'!T67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Dados'!U67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PROFª JANDIRA PEIXOTO BORDIGNON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QUITANDINHA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GETULIO VARGAS, 2200 - CEP 25651-078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1098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2242-9167, (24) 99270-3951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Dados'!C68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Dados'!D68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Dados'!E68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Dados'!F68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Dados'!G68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Dados'!H68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Dados'!I68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Dados'!J68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Dados'!K68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Dados'!L68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Dados'!M68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Dados'!N68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Dados'!O68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Dados'!P68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Dados'!Q68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Dados'!R68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Dados'!S68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Dados'!T68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Dados'!U68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MONSENHOR JOÃO DE DEUS RODRIGUES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PEDRO DO RIO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DR. BARROS FRANCO, S/N - CEP 25750-290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1099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2223-2857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Dados'!C69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Dados'!D69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Dados'!E69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Dados'!F69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Dados'!G69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Dados'!H69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Dados'!I69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Dados'!J69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Dados'!K69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Dados'!L69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Dados'!M69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Dados'!N69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Dados'!O69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Dados'!P69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Dados'!Q69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Dados'!R69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Dados'!S69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Dados'!T69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Dados'!U69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DOM MANOEL PEDRO DA CUNHA CINTRA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CARANGOLA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DR. JACOB BORDIGNOM, S/N - CEP 25715-280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1100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2017-3542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Dados'!C70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Dados'!D70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Dados'!E70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Dados'!F70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Dados'!G70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Dados'!H70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Dados'!I70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Dados'!J70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Dados'!K70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Dados'!L70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Dados'!M70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Dados'!N70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Dados'!O70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Dados'!P70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Dados'!Q70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Dados'!R70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Dados'!S70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Dados'!T70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Dados'!U70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JOHANN NOEL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BINGEN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BINGEN, 843 - CEP 25660-003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1101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2246-9037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Dados'!C71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Dados'!D71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Dados'!E71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Dados'!F71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Dados'!G71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Dados'!H71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Dados'!I71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Dados'!J71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Dados'!K71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Dados'!L71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Dados'!M71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Dados'!N71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Dados'!O71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Dados'!P71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Dados'!Q71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Dados'!R71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Dados'!S71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Dados'!T71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Dados'!U71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MZDA SANTA TEREZINHA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VILA RICA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C, S/N - CEP 25750-990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1102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2235-1608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Dados'!C72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Dados'!D72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Dados'!E72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Dados'!F72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Dados'!G72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Dados'!H72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Dados'!I72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Dados'!J72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Dados'!K72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Dados'!L72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Dados'!M72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Dados'!N72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Dados'!O72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Dados'!P72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Dados'!Q72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Dados'!R72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Dados'!S72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Dados'!T72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Dados'!U72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PAPA JOÃO PAULO II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SÃO SEBASTIÃO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SÃO SEBASTIÃO, 625 - CEP 25645-045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1103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2291-2244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Dados'!C73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Dados'!D73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Dados'!E73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Dados'!F73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Dados'!G73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Dados'!H73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Dados'!I73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Dados'!J73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Dados'!K73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Dados'!L73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Dados'!M73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Dados'!N73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Dados'!O73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Dados'!P73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Dados'!Q73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Dados'!R73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Dados'!S73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Dados'!T73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Dados'!U73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STEFAN ZWEIG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QUITANDINHA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SERGIPE, 49 - CEP 25730-710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1105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2245-6737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Dados'!C74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Dados'!D74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Dados'!E74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Dados'!F74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Dados'!G74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Dados'!H74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Dados'!I74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Dados'!J74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Dados'!K74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Dados'!L74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Dados'!M74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Dados'!N74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Dados'!O74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Dados'!P74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Dados'!Q74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Dados'!R74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Dados'!S74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Dados'!T74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Dados'!U74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SENADOR MARIO MARTINS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CAXAMBU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FLAVIO CAVALCANTI, S/N - CEP 25615-060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1106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2235-5478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Dados'!C75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Dados'!D75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Dados'!E75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Dados'!F75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Dados'!G75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Dados'!H75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Dados'!I75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Dados'!J75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Dados'!K75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Dados'!L75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Dados'!M75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Dados'!N75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Dados'!O75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Dados'!P75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Dados'!Q75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Dados'!R75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Dados'!S75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Dados'!T75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Dados'!U75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DR RUBENS DE CASTRO BOMTEMPO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CHÁCARA FLORA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PERMINIO SCHMITH, S/N - CEP 25635-370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1107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2246-0113, (24) 2245-8732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Dados'!C76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Dados'!D76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Dados'!E76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Dados'!F76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Dados'!G76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Dados'!H76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Dados'!I76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Dados'!J76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Dados'!K76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Dados'!L76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Dados'!M76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Dados'!N76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Dados'!O76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Dados'!P76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Dados'!Q76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Dados'!R76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Dados'!S76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Dados'!T76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Dados'!U76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PAULO FREIRE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BUARQUE DE MACEDO, 53 - CEP 25625-290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1108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2246-1790, (24) 99258-1541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Dados'!C77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Dados'!D77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Dados'!E77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Dados'!F77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Dados'!G77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Dados'!H77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Dados'!I77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Dados'!J77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Dados'!K77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Dados'!L77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Dados'!M77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Dados'!N77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Dados'!O77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Dados'!P77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Dados'!Q77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Dados'!R77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Dados'!S77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Dados'!T77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Dados'!U77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PROFª MARIA CAMPOS DA SILVA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BUENOS AIRES, 108 - CEP 25610-141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1109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2246-8649, (24) 2231-6398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Dados'!C78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Dados'!D78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Dados'!E78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Dados'!F78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Dados'!G78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Dados'!H78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Dados'!I78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Dados'!J78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Dados'!K78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Dados'!L78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Dados'!M78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Dados'!N78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Dados'!O78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Dados'!P78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Dados'!Q78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Dados'!R78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Dados'!S78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Dados'!T78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Dados'!U78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HERCÍLIA HENRIQUES MORET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CORRÊAS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VIGÁRIO CORRÊA, 238 - CEP 25720-322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1110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2221-1922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Dados'!C79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Dados'!D79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Dados'!E79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Dados'!F79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Dados'!G79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Dados'!H79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Dados'!I79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Dados'!J79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Dados'!K79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Dados'!L79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Dados'!M79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Dados'!N79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Dados'!O79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Dados'!P79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Dados'!Q79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Dados'!R79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Dados'!S79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Dados'!T79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Dados'!U79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MUNICIPALIZADA MOYSÉS FURTADO BRAVO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POSSE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PRAÇA FLÁVIO CASTRIOTO, S/N - CEP 25770-200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1111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2221-4030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Dados'!C80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Dados'!D80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Dados'!E80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Dados'!F80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Dados'!G80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Dados'!H80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Dados'!I80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Dados'!J80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Dados'!K80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Dados'!L80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Dados'!M80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Dados'!N80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Dados'!O80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Dados'!P80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Dados'!Q80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Dados'!R80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Dados'!S80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Dados'!T80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Dados'!U80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CIEP BRIZOLÃO 474 MAESTRO GUERRA PEIXE - MUNICIPALIZADO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CASCATINHA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BERNARDO PROENÇA, 809 - CEP 25710-082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1112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2237-9893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Dados'!C81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Dados'!D81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Dados'!E81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Dados'!F81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Dados'!G81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Dados'!H81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Dados'!I81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Dados'!J81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Dados'!K81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Dados'!L81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Dados'!M81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Dados'!N81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Dados'!O81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Dados'!P81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Dados'!Q81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Dados'!R81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Dados'!S81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Dados'!T81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Dados'!U81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DE ENSINO PROF DARCY RIBEIRO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CASCATINHA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MACHADO FAGUNDES, 326 - CEP 25761-001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1113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2246-2392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Dados'!C82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Dados'!D82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Dados'!E82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Dados'!F82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Dados'!G82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Dados'!H82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Dados'!I82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Dados'!J82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Dados'!K82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Dados'!L82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Dados'!M82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Dados'!N82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Dados'!O82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Dados'!P82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Dados'!Q82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Dados'!R82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Dados'!S82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Dados'!T82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Dados'!U82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CASA DA EDUCAÇÃO VISCONDE DE MAUÁ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BARÃO DO RIO BRANCO, 3 - CEP 25680-150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1114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2246-8661, (24) 2291-3799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Dados'!C83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Dados'!D83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Dados'!E83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Dados'!F83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Dados'!G83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Dados'!H83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Dados'!I83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Dados'!J83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Dados'!K83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Dados'!L83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Dados'!M83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Dados'!N83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Dados'!O83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Dados'!P83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Dados'!Q83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Dados'!R83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Dados'!S83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Dados'!T83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Dados'!U83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DE REFERÊNCIA EM EDUCAÇÃO INCLUSIVA JOÃO PEDRO DE SOUZA ROSA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BUENOS AIRES, 155 - CEP 25685-350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1115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2242-9531, (24) 2246-3169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Dados'!C84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Dados'!D84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Dados'!E84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Dados'!F84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Dados'!G84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Dados'!H84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Dados'!I84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Dados'!J84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Dados'!K84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Dados'!L84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Dados'!M84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Dados'!N84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Dados'!O84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Dados'!P84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Dados'!Q84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Dados'!R84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Dados'!S84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Dados'!T84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Dados'!U84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 M PROF NILTON COSTA PEREIRA DE SÃO THIAGO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NOGUEIRA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AV.LEOPOLDINA, 561 - CEP 25730-203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1116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2221-4724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Dados'!C85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Dados'!D85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Dados'!E85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Dados'!F85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Dados'!G85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Dados'!H85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Dados'!I85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Dados'!J85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Dados'!K85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Dados'!L85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Dados'!M85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Dados'!N85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Dados'!O85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Dados'!P85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Dados'!Q85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Dados'!R85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Dados'!S85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Dados'!T85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Dados'!U85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COLÉGIO GUNNAR VINGREN DE PETRÓPOLIS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VALPARAÍSO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PADRE MOREIRA, 65 - CEP 25685-132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1117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2249-2781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Dados'!C86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Dados'!D86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Dados'!E86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Dados'!F86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Dados'!G86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Dados'!H86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Dados'!I86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Dados'!J86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Dados'!K86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Dados'!L86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Dados'!M86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Dados'!N86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Dados'!O86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Dados'!P86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Dados'!Q86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Dados'!R86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Dados'!S86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Dados'!T86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Dados'!U86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DE REFERÊNCIA EM EDUCAÇÃO INCLUSIVA ALINE DE SOUZA CORREA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PEDRO DO RIO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EUGENIO ZANATTA, 247 - CEP 25750-300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1119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2246-6577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Dados'!C87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Dados'!D87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Dados'!E87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Dados'!F87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Dados'!G87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Dados'!H87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Dados'!I87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Dados'!J87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Dados'!K87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Dados'!L87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Dados'!M87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Dados'!N87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Dados'!O87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Dados'!P87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Dados'!Q87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Dados'!R87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Dados'!S87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Dados'!T87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Dados'!U87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SANTA LUIZA DE MARILLAC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BUENOS AIRES, 71 - CEP 25610-141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1120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2244-9546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Dados'!C88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Dados'!D88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Dados'!E88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Dados'!F88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Dados'!G88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Dados'!H88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Dados'!I88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Dados'!J88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Dados'!K88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Dados'!L88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Dados'!M88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Dados'!N88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Dados'!O88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Dados'!P88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Dados'!Q88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Dados'!R88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Dados'!S88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Dados'!T88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Dados'!U88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EDUCACIONAL COMUNIDADE SÃO JORGE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INDEPENDÊNCIA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LEONOR MAIA, 99 - CEP 25645-420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2002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99221-5056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Dados'!C89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Dados'!D89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Dados'!E89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Dados'!F89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Dados'!G89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Dados'!H89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Dados'!I89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Dados'!J89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Dados'!K89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Dados'!L89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Dados'!M89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Dados'!N89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Dados'!O89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Dados'!P89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Dados'!Q89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Dados'!R89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Dados'!S89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Dados'!T89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Dados'!U89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EDUCANDÁRIO TERRA SANTA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VALPARAÍSO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MONSENHOR BACELAR, 590 - CEP 25685-113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2005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2245-3474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Dados'!C90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Dados'!D90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Dados'!E90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Dados'!F90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Dados'!G90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Dados'!H90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Dados'!I90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Dados'!J90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Dados'!K90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Dados'!L90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Dados'!M90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Dados'!N90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Dados'!O90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Dados'!P90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Dados'!Q90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Dados'!R90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Dados'!S90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Dados'!T90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Dados'!U90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GERMANO VALENTE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MORIN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DR. SÁ EARP, 88 - CEP 25625-073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2008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2231-6831, (24) 2242-5196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Dados'!C91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Dados'!D91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Dados'!E91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Dados'!F91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Dados'!G91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Dados'!H91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Dados'!I91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Dados'!J91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Dados'!K91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Dados'!L91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Dados'!M91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Dados'!N91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Dados'!O91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Dados'!P91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Dados'!Q91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Dados'!R91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Dados'!S91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Dados'!T91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Dados'!U91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DAS COMUNIDADES SANTO ANTÔNIO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ALTO DA SERRA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CORONEL ALBINO SIQUEIRA, 197 - CEP 25635-130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2009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2245-9634, (24) 2242-4802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Dados'!C92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Dados'!D92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Dados'!E92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Dados'!F92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Dados'!G92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Dados'!H92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Dados'!I92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Dados'!J92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Dados'!K92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Dados'!L92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Dados'!M92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Dados'!N92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Dados'!O92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Dados'!P92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Dados'!Q92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Dados'!R92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Dados'!S92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Dados'!T92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Dados'!U92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DOMÉSTICA NOSSA SENHORA DO AMPARO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AVENIDA ROBERTO SILVEIRA, 150 - CEP 25685-040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2010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2242-0868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Dados'!C93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Dados'!D93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Dados'!E93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Dados'!F93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Dados'!G93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Dados'!H93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Dados'!I93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Dados'!J93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Dados'!K93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Dados'!L93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Dados'!M93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Dados'!N93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Dados'!O93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Dados'!P93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Dados'!Q93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Dados'!R93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Dados'!S93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Dados'!T93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Dados'!U93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PAROQUIAL NOSSA SENHORA DA GLÓRIA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MORIN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AUGUSTO SEVERO, - CEP 25630-050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2013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2245-8243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Dados'!C94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Dados'!D94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Dados'!E94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Dados'!F94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Dados'!G94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Dados'!H94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Dados'!I94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Dados'!J94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Dados'!K94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Dados'!L94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Dados'!M94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Dados'!N94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Dados'!O94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Dados'!P94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Dados'!Q94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Dados'!R94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Dados'!S94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Dados'!T94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Dados'!U94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MONSENHOR GENTIL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MARECHAL FLORIANO PEIXOTO, S/N - CEP 25610-970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2014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2244-9156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Dados'!C95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Dados'!D95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Dados'!E95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Dados'!F95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Dados'!G95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Dados'!H95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Dados'!I95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Dados'!J95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Dados'!K95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Dados'!L95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Dados'!M95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Dados'!N95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Dados'!O95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Dados'!P95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Dados'!Q95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Dados'!R95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Dados'!S95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Dados'!T95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Dados'!U95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PAROQUIAL BOM JESUS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QUITANDINHA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DR. THOUZET, 820 - CEP 25650-061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2015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2243-0980, (24) 99330-6600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Dados'!C96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Dados'!D96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Dados'!E96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Dados'!F96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Dados'!G96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Dados'!H96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Dados'!I96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Dados'!J96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Dados'!K96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Dados'!L96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Dados'!M96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Dados'!N96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Dados'!O96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Dados'!P96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Dados'!Q96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Dados'!R96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Dados'!S96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Dados'!T96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Dados'!U96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PAROQUIAL CARLOS DEMIÁ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RETIRO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FERNANDES VIEIRA, 110 - CEP 25680-386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2016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2017-6633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Dados'!C97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Dados'!D97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Dados'!E97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Dados'!F97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Dados'!G97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Dados'!H97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Dados'!I97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Dados'!J97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Dados'!K97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Dados'!L97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Dados'!M97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Dados'!N97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Dados'!O97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Dados'!P97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Dados'!Q97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Dados'!R97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Dados'!S97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Dados'!T97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Dados'!U97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PAROQUIAL NOSSA SENHORA DAS GRAÇAS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QUARTEIRÃO BRASILEIRO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PROFESSOR JOÃO DE DEUS, 345 - CEP 25680-192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2017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2248-4534, (24) 98847-1980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Dados'!C98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Dados'!D98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Dados'!E98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Dados'!F98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Dados'!G98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Dados'!H98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Dados'!I98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Dados'!J98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Dados'!K98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Dados'!L98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Dados'!M98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Dados'!N98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Dados'!O98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Dados'!P98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Dados'!Q98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Dados'!R98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Dados'!S98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Dados'!T98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Dados'!U98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PAROQUIAL NOSSA SENHORA DO CARMO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BARÃO DO RIO BRANCO, 2053 - CEP 25680-275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2018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2245-6119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Dados'!C99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Dados'!D99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Dados'!E99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Dados'!F99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Dados'!G99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Dados'!H99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Dados'!I99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Dados'!J99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Dados'!K99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Dados'!L99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Dados'!M99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Dados'!N99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Dados'!O99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Dados'!P99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Dados'!Q99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Dados'!R99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Dados'!S99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Dados'!T99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Dados'!U99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PAROQUIAL SÃO PEDRO DE ALCÂNTARA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IPIRANGA, 182 - CEP 25685-250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2019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2245-6599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Dados'!C100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Dados'!D100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Dados'!E100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Dados'!F100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Dados'!G100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Dados'!H100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Dados'!I100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Dados'!J100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Dados'!K100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Dados'!L100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Dados'!M100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Dados'!N100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Dados'!O100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Dados'!P100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Dados'!Q100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Dados'!R100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Dados'!S100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Dados'!T100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Dados'!U100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SANTA MARIA GORETTI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BINGEN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DR. PAULO HERVÊ, 1539 - CEP 25665-135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2023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2244-8436, (24) 98818-6823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Dados'!C101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Dados'!D101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Dados'!E101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Dados'!F101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Dados'!G101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Dados'!H101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Dados'!I101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Dados'!J101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Dados'!K101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Dados'!L101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Dados'!M101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Dados'!N101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Dados'!O101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Dados'!P101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Dados'!Q101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Dados'!R101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Dados'!S101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Dados'!T101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Dados'!U101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SANTA RITA DE CASSIA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BINGEN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CORONEL DUARTE DA SILVEIRA, 940 - CEP 25665-473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2024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2247-8163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Dados'!C102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Dados'!D102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Dados'!E102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Dados'!F102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Dados'!G102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Dados'!H102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Dados'!I102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Dados'!J102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Dados'!K102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Dados'!L102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Dados'!M102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Dados'!N102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Dados'!O102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Dados'!P102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Dados'!Q102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Dados'!R102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Dados'!S102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Dados'!T102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Dados'!U102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SÃO CRISTÓVÃO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CASTELÂNEA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PRAÇA PASTEUR, 79 - CEP 25640-040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2025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2245-9752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Dados'!C103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Dados'!D103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Dados'!E103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Dados'!F103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Dados'!G103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Dados'!H103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Dados'!I103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Dados'!J103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Dados'!K103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Dados'!L103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Dados'!M103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Dados'!N103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Dados'!O103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Dados'!P103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Dados'!Q103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Dados'!R103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Dados'!S103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Dados'!T103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Dados'!U103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PAROQUIAL SÃO FRANCISCO DE ASSIS - BV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BELA VISTA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MARCOLINO SIMÕES FERREIRA, 254 - CEP 25710-165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2026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2280-1174, (24) 2020-4881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Dados'!C104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Dados'!D104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Dados'!E104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Dados'!F104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Dados'!G104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Dados'!H104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Dados'!I104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Dados'!J104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Dados'!K104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Dados'!L104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Dados'!M104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Dados'!N104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Dados'!O104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Dados'!P104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Dados'!Q104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Dados'!R104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Dados'!S104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Dados'!T104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Dados'!U104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SAO FRANCISCO DE ASSIS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MOINHO PRETO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JOÃO XAVIER, S/N - CEP 25665-442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2027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99271-7947, (24) 2235-3818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Dados'!C105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Dados'!D105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Dados'!E105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Dados'!F105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Dados'!G105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Dados'!H105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Dados'!I105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Dados'!J105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Dados'!K105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Dados'!L105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Dados'!M105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Dados'!N105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Dados'!O105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Dados'!P105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Dados'!Q105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Dados'!R105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Dados'!S105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Dados'!T105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Dados'!U105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SÃO JOÃO BATISTA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BINGEN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LUIZ WINTER, S/N - CEP 25665-431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2028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2019-1828, (24) 2019-1828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Dados'!C106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Dados'!D106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Dados'!E106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Dados'!F106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Dados'!G106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Dados'!H106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Dados'!I106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Dados'!J106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Dados'!K106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Dados'!L106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Dados'!M106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Dados'!N106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Dados'!O106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Dados'!P106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Dados'!Q106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Dados'!R106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Dados'!S106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Dados'!T106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Dados'!U106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SÃO JUDAS TADEU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MOSELA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MOSELA, 1445 - CEP 25675-012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2029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2231-6934, (24) 99276-8304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Dados'!C107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Dados'!D107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Dados'!E107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Dados'!F107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Dados'!G107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Dados'!H107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Dados'!I107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Dados'!J107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Dados'!K107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Dados'!L107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Dados'!M107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Dados'!N107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Dados'!O107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Dados'!P107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Dados'!Q107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Dados'!R107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Dados'!S107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Dados'!T107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Dados'!U107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PAROQUIAL SÃO PIO X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CAXAMBU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LUÍS IMBROISI, 107 - CEP 25610-041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2030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2235-6740, (24) 99871-2999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Dados'!C108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Dados'!D108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Dados'!E108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Dados'!F108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Dados'!G108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Dados'!H108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Dados'!I108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Dados'!J108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Dados'!K108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Dados'!L108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Dados'!M108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Dados'!N108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Dados'!O108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Dados'!P108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Dados'!Q108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Dados'!R108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Dados'!S108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Dados'!T108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Dados'!U108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COLÉGIO ANGLICANO DE ARARAS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ARARAS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BERNARDO COUTINHO, 1643 - CEP 25725-022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2033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2225-1226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Dados'!C109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Dados'!D109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Dados'!E109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Dados'!F109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Dados'!G109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Dados'!H109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Dados'!I109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Dados'!J109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Dados'!K109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Dados'!L109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Dados'!M109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Dados'!N109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Dados'!O109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Dados'!P109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Dados'!Q109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Dados'!R109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Dados'!S109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Dados'!T109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Dados'!U109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COLEGIO VICENTINO PADRE CORRÊA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CORRÊAS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ALVARES DE AZEVEDO, 24 - CEP 25730-020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2034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2221-2046, (24) 2221-1970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Dados'!C110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Dados'!D110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Dados'!E110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Dados'!F110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Dados'!G110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Dados'!H110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Dados'!I110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Dados'!J110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Dados'!K110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Dados'!L110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Dados'!M110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Dados'!N110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Dados'!O110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Dados'!P110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Dados'!Q110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Dados'!R110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Dados'!S110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Dados'!T110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Dados'!U110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NOSSA SENHORA DE FÁTIMA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RIO DA CIDADE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RODOVIA BR040 KM66, KM 66 - CEP 25725-580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2036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2243-9660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Dados'!C111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Dados'!D111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Dados'!E111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Dados'!F111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Dados'!G111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Dados'!H111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Dados'!I111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Dados'!J111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Dados'!K111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Dados'!L111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Dados'!M111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Dados'!N111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Dados'!O111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Dados'!P111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Dados'!Q111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Dados'!R111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Dados'!S111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Dados'!T111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Dados'!U111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PAROQUIAL DA ALCOBAÇA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SAMAMBAIA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LUIZ SALOMÃO VIANA, 128 - CEP 25710-332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2037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98112-1309, (24) 98839-3055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Dados'!C112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Dados'!D112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Dados'!E112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Dados'!F112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Dados'!G112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Dados'!H112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Dados'!I112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Dados'!J112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Dados'!K112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Dados'!L112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Dados'!M112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Dados'!N112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Dados'!O112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Dados'!P112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Dados'!Q112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Dados'!R112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Dados'!S112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Dados'!T112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Dados'!U112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PAROQUIAL DO LOTEAMENTO SAMAMBAIA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LOTEAMENTO SAMAMBAIA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JOÃO AUGUSTO DE OLIVEIRA FILHO, 28 - CEP 25710-259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2038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2247-0517, (24) 98843-5217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Dados'!C113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Dados'!D113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Dados'!E113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Dados'!F113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Dados'!G113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Dados'!H113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Dados'!I113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Dados'!J113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Dados'!K113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Dados'!L113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Dados'!M113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Dados'!N113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Dados'!O113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Dados'!P113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Dados'!Q113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Dados'!R113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Dados'!S113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Dados'!T113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Dados'!U113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PAROQUIAL SANTA BERNADETE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ARARAS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BERNARDO COUTINHO, 1845 - CEP 25725-022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2039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2225-0471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Dados'!C114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Dados'!D114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Dados'!E114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Dados'!F114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Dados'!G114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Dados'!H114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Dados'!I114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Dados'!J114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Dados'!K114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Dados'!L114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Dados'!M114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Dados'!N114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Dados'!O114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Dados'!P114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Dados'!Q114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Dados'!R114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Dados'!S114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Dados'!T114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Dados'!U114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SÃO GERALDO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CARANGOLA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DIVINO ESPÍRITO SANTO, 740 - CEP 25715-410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2041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2020-4604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Dados'!C115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Dados'!D115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Dados'!E115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Dados'!F115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Dados'!G115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Dados'!H115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Dados'!I115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Dados'!J115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Dados'!K115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Dados'!L115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Dados'!M115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Dados'!N115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Dados'!O115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Dados'!P115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Dados'!Q115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Dados'!R115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Dados'!S115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Dados'!T115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Dados'!U115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SANTO ANTÔNIO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CUIABÁ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MINISTRO SALGADO FILHO, 4839 - CEP 25745-450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2044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99204-1496, (24) 2246-8796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Dados'!C116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Dados'!D116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Dados'!E116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Dados'!F116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Dados'!G116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Dados'!H116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Dados'!I116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Dados'!J116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Dados'!K116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Dados'!L116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Dados'!M116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Dados'!N116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Dados'!O116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Dados'!P116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Dados'!Q116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Dados'!R116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Dados'!S116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Dados'!T116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Dados'!U116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LICEU SÃO JOSÉ DE ITAIPAVA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ITAIPAVA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UNIÃO INDÚSTRIA, 1449 - CEP 25740-365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2045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2222-1210, (24) 2222-1443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Dados'!C117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Dados'!D117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Dados'!E117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Dados'!F117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Dados'!G117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Dados'!H117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Dados'!I117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Dados'!J117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Dados'!K117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Dados'!L117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Dados'!M117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Dados'!N117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Dados'!O117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Dados'!P117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Dados'!Q117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Dados'!R117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Dados'!S117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Dados'!T117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Dados'!U117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ESCOLA SÃO JOSÉ DO CAETITU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CASTELO SÃO MANOEL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DO RIBEIRAO, 490 - CEP 25730-970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2049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2249-1909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Dados'!C118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Dados'!D118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Dados'!E118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Dados'!F118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Dados'!G118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Dados'!H118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Dados'!I118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Dados'!J118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Dados'!K118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Dados'!L118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Dados'!M118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Dados'!N118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Dados'!O118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Dados'!P118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Dados'!Q118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Dados'!R118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Dados'!S118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Dados'!T118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Dados'!U118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ASSOCIAÇÃO BENEFICENTE FAZENDA INGLESA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FAZENDA INGLESA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DA FAZENDA INGLESA, 340 - CEP 25670-070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3001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99819-5307, (24) 2249-1184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Dados'!C119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Dados'!D119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Dados'!E119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Dados'!F119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Dados'!G119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Dados'!H119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Dados'!I119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Dados'!J119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Dados'!K119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Dados'!L119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Dados'!M119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Dados'!N119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Dados'!O119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Dados'!P119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Dados'!Q119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Dados'!R119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Dados'!S119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Dados'!T119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Dados'!U119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CASA DA SOLIDARIEDADE DE NOSSA SENHORA APARECIDA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BINGEN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DR. MOACYR M. NETTO, S/N - CEP 25665-442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3003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2247-6344, (24) 2006-0789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Dados'!C120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Dados'!D120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Dados'!E120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Dados'!F120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Dados'!G120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Dados'!H120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Dados'!I120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Dados'!J120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Dados'!K120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Dados'!L120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Dados'!M120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Dados'!N120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Dados'!O120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Dados'!P120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Dados'!Q120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Dados'!R120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Dados'!S120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Dados'!T120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Dados'!U120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LULU MONTEIRO DE CASTRO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CARANGOLA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DA CRECHE, 1 - CEP 25715-408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3004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99214-9514, (24) 2291-8324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Dados'!C121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Dados'!D121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Dados'!E121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Dados'!F121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Dados'!G121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Dados'!H121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Dados'!I121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Dados'!J121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Dados'!K121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Dados'!L121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Dados'!M121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Dados'!N121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Dados'!O121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Dados'!P121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Dados'!Q121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Dados'!R121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Dados'!S121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Dados'!T121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Dados'!U121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SÃO JOÃO BATISTA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DUARTE DA SILVEIRA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LUIZ WINTER, 123 - CEP 25665-431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3005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2248-9959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Dados'!C122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Dados'!D122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Dados'!E122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Dados'!F122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Dados'!G122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Dados'!H122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Dados'!I122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Dados'!J122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Dados'!K122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Dados'!L122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Dados'!M122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Dados'!N122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Dados'!O122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Dados'!P122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Dados'!Q122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Dados'!R122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Dados'!S122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Dados'!T122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Dados'!U122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SÃO FRANCISCO ASSIS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MOINHO PRETO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DA FAZENDA INGLESA, 25 - CEP 25670-070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3006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98802-0473, (24) 2020-6093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Dados'!C123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Dados'!D123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Dados'!E123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Dados'!F123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Dados'!G123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Dados'!H123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Dados'!I123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Dados'!J123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Dados'!K123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Dados'!L123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Dados'!M123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Dados'!N123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Dados'!O123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Dados'!P123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Dados'!Q123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Dados'!R123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Dados'!S123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Dados'!T123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Dados'!U123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A SEMENTEIRA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BINGEN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MANOEL TORRES, 395 - CEP 25660-313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3007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2249-7294, (24) 98854-5909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Dados'!C124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Dados'!D124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Dados'!E124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Dados'!F124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Dados'!G124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Dados'!H124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Dados'!I124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Dados'!J124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Dados'!K124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Dados'!L124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Dados'!M124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Dados'!N124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Dados'!O124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Dados'!P124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Dados'!Q124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Dados'!R124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Dados'!S124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Dados'!T124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Dados'!U124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FREI LEÃO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CHÁCARA FLORA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PERMINIO SCHMITH, S/N - CEP 25635-370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3008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2248-6005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Dados'!C125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Dados'!D125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Dados'!E125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Dados'!F125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Dados'!G125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Dados'!H125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Dados'!I125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Dados'!J125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Dados'!K125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Dados'!L125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Dados'!M125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Dados'!N125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Dados'!O125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Dados'!P125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Dados'!Q125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Dados'!R125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Dados'!S125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Dados'!T125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Dados'!U125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ROMANO CANAVESE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INDEPENDÊNCIA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JOSÉ CHAVES, S/N - CEP 25645-255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3011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2019-5360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Dados'!C126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Dados'!D126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Dados'!E126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Dados'!F126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Dados'!G126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Dados'!H126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Dados'!I126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Dados'!J126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Dados'!K126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Dados'!L126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Dados'!M126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Dados'!N126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Dados'!O126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Dados'!P126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Dados'!Q126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Dados'!R126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Dados'!S126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Dados'!T126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Dados'!U126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ANDRÉ VANZAN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CASCATINHA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BERNARDO PROENÇA, 809 - CEP 25710-082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3012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99254-2954, (24) 2280-4330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Dados'!C127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Dados'!D127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Dados'!E127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Dados'!F127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Dados'!G127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Dados'!H127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Dados'!I127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Dados'!J127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Dados'!K127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Dados'!L127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Dados'!M127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Dados'!N127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Dados'!O127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Dados'!P127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Dados'!Q127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Dados'!R127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Dados'!S127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Dados'!T127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Dados'!U127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CRIANÇA SANTA EDWIGES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VILA RICA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AUGUSTO FRANCISCO DA SILVA, 1010 - CEP 25750-361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3013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2223-4639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Dados'!C128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Dados'!D128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Dados'!E128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Dados'!F128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Dados'!G128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Dados'!H128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Dados'!I128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Dados'!J128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Dados'!K128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Dados'!L128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Dados'!M128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Dados'!N128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Dados'!O128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Dados'!P128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Dados'!Q128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Dados'!R128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Dados'!S128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Dados'!T128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Dados'!U128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DE EDUCAÇÃO INFANTIL IRMÃ DULCE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QUARTEIRÃO BRASILEIRO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ATÍLIO MAROTTI, 1011 - CEP 25680-290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3015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2017-5664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Dados'!C129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Dados'!D129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Dados'!E129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Dados'!F129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Dados'!G129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Dados'!H129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Dados'!I129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Dados'!J129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Dados'!K129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Dados'!L129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Dados'!M129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Dados'!N129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Dados'!O129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Dados'!P129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Dados'!Q129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Dados'!R129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Dados'!S129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Dados'!T129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Dados'!U129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PEDRAS BRANCAS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MOSELA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PEDRAS BRANCAS, S/N - CEP 25670-221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3016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2019-0042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Dados'!C130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Dados'!D130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Dados'!E130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Dados'!F130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Dados'!G130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Dados'!H130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Dados'!I130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Dados'!J130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Dados'!K130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Dados'!L130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Dados'!M130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Dados'!N130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Dados'!O130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Dados'!P130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Dados'!Q130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Dados'!R130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Dados'!S130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Dados'!T130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Dados'!U130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INÊS BELARMINO DE SOUZA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SIMÉRIA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MANOEL FRANCISCO DE PAULA, PROX AO PSF - CEP 25645-090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3017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2247-5789, (24) 98831-8813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Dados'!C131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Dados'!D131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Dados'!E131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Dados'!F131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Dados'!G131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Dados'!H131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Dados'!I131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Dados'!J131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Dados'!K131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Dados'!L131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Dados'!M131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Dados'!N131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Dados'!O131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Dados'!P131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Dados'!Q131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Dados'!R131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Dados'!S131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Dados'!T131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Dados'!U131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PROFª ROSANGELA DA SILVA LEONARDO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ALTO DA SERRA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VELHA DA ESTRELA, 3100 - CEP 25635-114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3019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98832-2147, (24) 2020-7337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Dados'!C132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Dados'!D132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Dados'!E132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Dados'!F132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Dados'!G132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Dados'!H132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Dados'!I132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Dados'!J132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Dados'!K132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Dados'!L132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Dados'!M132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Dados'!N132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Dados'!O132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Dados'!P132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Dados'!Q132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Dados'!R132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Dados'!S132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Dados'!T132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Dados'!U132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VILA SAO JOSE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BINGEN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PAULINO AFONSO, 267 - CEP 25680-003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3020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2249-7206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Dados'!C133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Dados'!D133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Dados'!E133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Dados'!F133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Dados'!G133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Dados'!H133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Dados'!I133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Dados'!J133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Dados'!K133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Dados'!L133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Dados'!M133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Dados'!N133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Dados'!O133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Dados'!P133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Dados'!Q133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Dados'!R133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Dados'!S133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Dados'!T133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Dados'!U133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MARIA THEREZA KLING DO VALLE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MOSELA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CANDIDO PORTINARI, 56 - CEP 25675-130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3021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2237-4037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Dados'!C134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Dados'!D134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Dados'!E134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Dados'!F134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Dados'!G134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Dados'!H134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Dados'!I134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Dados'!J134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Dados'!K134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Dados'!L134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Dados'!M134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Dados'!N134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Dados'!O134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Dados'!P134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Dados'!Q134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Dados'!R134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Dados'!S134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Dados'!T134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Dados'!U134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DEISE ELOY GOMES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ALTO DA SERRA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CARMEM DA PONTE MARCOLINO, 823 - CEP 25635-240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3022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2243-9459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Dados'!C135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Dados'!D135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Dados'!E135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Dados'!F135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Dados'!G135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Dados'!H135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Dados'!I135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Dados'!J135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Dados'!K135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Dados'!L135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Dados'!M135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Dados'!N135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Dados'!O135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Dados'!P135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Dados'!Q135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Dados'!R135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Dados'!S135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Dados'!T135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Dados'!U135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PAROQUIAL DE EDUCAÇÃO INFANTIL NOSSA SENHORA APARECIDA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RETIRO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DR HANS BISTRISCHAN, S/N - CEP 25680-400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3024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2020-5311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Dados'!C136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Dados'!D136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Dados'!E136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Dados'!F136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Dados'!G136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Dados'!H136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Dados'!I136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Dados'!J136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Dados'!K136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Dados'!L136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Dados'!M136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Dados'!N136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Dados'!O136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Dados'!P136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Dados'!Q136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Dados'!R136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Dados'!S136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Dados'!T136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Dados'!U136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VISTA ALEGRE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ARARAS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AGNELLO BARREIROS, S/N - CEP 25725-000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3025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2235-2553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Dados'!C137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Dados'!D137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Dados'!E137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Dados'!F137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Dados'!G137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Dados'!H137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Dados'!I137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Dados'!J137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Dados'!K137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Dados'!L137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Dados'!M137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Dados'!N137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Dados'!O137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Dados'!P137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Dados'!Q137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Dados'!R137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Dados'!S137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Dados'!T137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Dados'!U137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ALDEIA DA CRIANCA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CONTORNO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BR-040 KM-81, 195 - CEP 25725-592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3026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2248-9915, (24) 2248-9960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Dados'!C138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Dados'!D138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Dados'!E138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Dados'!F138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Dados'!G138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Dados'!H138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Dados'!I138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Dados'!J138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Dados'!K138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Dados'!L138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Dados'!M138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Dados'!N138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Dados'!O138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Dados'!P138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Dados'!Q138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Dados'!R138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Dados'!S138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Dados'!T138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Dados'!U138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DÉA LÚCIA CORDEIRO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CASTELÂNEA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CRISTOVÃO COLOMBO, 153 - CEP 25640-322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3027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2231-0268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Dados'!C139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Dados'!D139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Dados'!E139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Dados'!F139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Dados'!G139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Dados'!H139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Dados'!I139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Dados'!J139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Dados'!K139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Dados'!L139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Dados'!M139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Dados'!N139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Dados'!O139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Dados'!P139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Dados'!Q139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Dados'!R139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Dados'!S139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Dados'!T139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Dados'!U139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DE EDUCAÇÃO INFANTIL CAROLINA AMORIM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CASCATINHA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MACHADO FAGUNDES, 326 - CEP 25716-001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3028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2020-2062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Dados'!C140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Dados'!D140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Dados'!E140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Dados'!F140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Dados'!G140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Dados'!H140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Dados'!I140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Dados'!J140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Dados'!K140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Dados'!L140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Dados'!M140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Dados'!N140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Dados'!O140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Dados'!P140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Dados'!Q140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Dados'!R140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Dados'!S140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Dados'!T140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Dados'!U140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IRMÃ SILVANA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RETIRO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FELIPE CAMARÃO, 310 - CEP 25680-995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3029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2020-1037, (24) 98867-9639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Dados'!C141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Dados'!D141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Dados'!E141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Dados'!F141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Dados'!G141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Dados'!H141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Dados'!I141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Dados'!J141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Dados'!K141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Dados'!L141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Dados'!M141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Dados'!N141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Dados'!O141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Dados'!P141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Dados'!Q141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Dados'!R141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Dados'!S141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Dados'!T141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Dados'!U141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MARLI SOARES FERREIRA NETTO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QUITANDINHA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DR.THOUZET/SRV.DHÁLIA J.SILVA, S/N - CEP 25650-061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3030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2019-7367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Dados'!C142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Dados'!D142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Dados'!E142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Dados'!F142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Dados'!G142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Dados'!H142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Dados'!I142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Dados'!J142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Dados'!K142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Dados'!L142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Dados'!M142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Dados'!N142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Dados'!O142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Dados'!P142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Dados'!Q142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Dados'!R142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Dados'!S142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Dados'!T142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Dados'!U142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PROFª SONIA REGINA SCUDESE DESSIMONI PINTO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ALTO DA SERRA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IRINEU CORREA, 48 - CEP 25635-070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3031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2019-0860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Dados'!C143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Dados'!D143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Dados'!E143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Dados'!F143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Dados'!G143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Dados'!H143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Dados'!I143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Dados'!J143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Dados'!K143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Dados'!L143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Dados'!M143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Dados'!N143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Dados'!O143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Dados'!P143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Dados'!Q143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Dados'!R143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Dados'!S143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Dados'!T143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Dados'!U143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DONA ESPERANZA DE BOURBON DE ORLEANS E BRAGANÇA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MOSELA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PARQUE RESIDENCIAL MOSELA, S/N - CEP 25675-160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3032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2019-2325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Dados'!C144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Dados'!D144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Dados'!E144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Dados'!F144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Dados'!G144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Dados'!H144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Dados'!I144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Dados'!J144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Dados'!K144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Dados'!L144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Dados'!M144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Dados'!N144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Dados'!O144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Dados'!P144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Dados'!Q144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Dados'!R144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Dados'!S144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Dados'!T144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Dados'!U144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PREFEITO SÉRGIO FADEL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MADAME MACHADO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GERALDO LOURENÇO DIAS, 33 - CEP 25745-710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3033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2246-9433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Dados'!C145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Dados'!D145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Dados'!E145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Dados'!F145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Dados'!G145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Dados'!H145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Dados'!I145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Dados'!J145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Dados'!K145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Dados'!L145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Dados'!M145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Dados'!N145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Dados'!O145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Dados'!P145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Dados'!Q145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Dados'!R145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Dados'!S145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Dados'!T145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Dados'!U145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ANDRÉ REBOUÇAS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SÃO SEBASTIÃO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FRANKLIN ROOSEVELT, 11 - CEP 25645-123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3034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2020-2818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Dados'!C146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Dados'!D146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Dados'!E146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Dados'!F146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Dados'!G146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Dados'!H146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Dados'!I146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Dados'!J146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Dados'!K146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Dados'!L146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Dados'!M146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Dados'!N146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Dados'!O146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Dados'!P146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Dados'!Q146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Dados'!R146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Dados'!S146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Dados'!T146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Dados'!U146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DE EDUCAÇÃO INFANTIL CHIQUINHA ROLLA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QUITANDINHA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CAMPOS, 1 - CEP 25651-030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3035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2242-7437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Dados'!C147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Dados'!D147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Dados'!E147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Dados'!F147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Dados'!G147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Dados'!H147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Dados'!I147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Dados'!J147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Dados'!K147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Dados'!L147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Dados'!M147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Dados'!N147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Dados'!O147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Dados'!P147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Dados'!Q147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Dados'!R147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Dados'!S147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Dados'!T147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Dados'!U147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TIA ALICE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ALTO DA SERRA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CORONEL ALBINO SIQUEIRA, 114 - CEP 25635-130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3036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2246-1815, (24) 98801-6690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Dados'!C148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Dados'!D148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Dados'!E148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Dados'!F148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Dados'!G148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Dados'!H148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Dados'!I148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Dados'!J148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Dados'!K148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Dados'!L148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Dados'!M148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Dados'!N148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Dados'!O148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Dados'!P148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Dados'!Q148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Dados'!R148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Dados'!S148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Dados'!T148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Dados'!U148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TERRA SANTA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MONSENHOR BACELAR, 590 - CEP 25685-113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3037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2231-1403, (24) 98854-7557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Dados'!C149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Dados'!D149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Dados'!E149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Dados'!F149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Dados'!G149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Dados'!H149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Dados'!I149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Dados'!J149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Dados'!K149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Dados'!L149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Dados'!M149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Dados'!N149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Dados'!O149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Dados'!P149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Dados'!Q149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Dados'!R149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Dados'!S149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Dados'!T149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Dados'!U149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JORGE ROLANDO DA SILVA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MORIN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ANÉSIO DE OLIVEIRA, 111 - CEP 25630-080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3038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2249-2571, (24) 98803-4864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Dados'!C150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Dados'!D150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Dados'!E150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Dados'!F150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Dados'!G150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Dados'!H150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Dados'!I150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Dados'!J150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Dados'!K150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Dados'!L150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Dados'!M150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Dados'!N150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Dados'!O150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Dados'!P150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Dados'!Q150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Dados'!R150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Dados'!S150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Dados'!T150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Dados'!U150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CARANGOLA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CARANGOLA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DO CARANGOLA, 933 - CEP 25715-221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3039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2246-9229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Dados'!C151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Dados'!D151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Dados'!E151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Dados'!F151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Dados'!G151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Dados'!H151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Dados'!I151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Dados'!J151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Dados'!K151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Dados'!L151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Dados'!M151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Dados'!N151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Dados'!O151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Dados'!P151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Dados'!Q151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Dados'!R151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Dados'!S151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Dados'!T151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Dados'!U151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CÉLIA LÔBO PAULO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INDEPENDÊNCIA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DO INDEPENDÊNCIA, 1230 - CEP 25645-343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3040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2020-2683, (24) 99986-5289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Dados'!C152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Dados'!D152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Dados'!E152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Dados'!F152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Dados'!G152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Dados'!H152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Dados'!I152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Dados'!J152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Dados'!K152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Dados'!L152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Dados'!M152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Dados'!N152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Dados'!O152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Dados'!P152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Dados'!Q152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Dados'!R152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Dados'!S152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Dados'!T152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Dados'!U152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LIONS CLUBE DE PETRÓPOLIS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VALPARAÍSO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ROCKFELLER, 243 - CEP 25655-090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3041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2243-2886, (24) 98182-7588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Dados'!C153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Dados'!D153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Dados'!E153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Dados'!F153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Dados'!G153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Dados'!H153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Dados'!I153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Dados'!J153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Dados'!K153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Dados'!L153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Dados'!M153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Dados'!N153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Dados'!O153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Dados'!P153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Dados'!Q153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Dados'!R153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Dados'!S153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Dados'!T153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Dados'!U153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PROFª GRAÇA COSTA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PEDRO DO RIO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EMÍLIO ZANATTA, 767 - CEP 25750-100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3043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2223-5289, (24) 98808-6118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Dados'!C154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Dados'!D154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Dados'!E154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Dados'!F154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Dados'!G154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Dados'!H154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Dados'!I154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Dados'!J154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Dados'!K154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Dados'!L154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Dados'!M154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Dados'!N154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Dados'!O154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Dados'!P154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Dados'!Q154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Dados'!R154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Dados'!S154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Dados'!T154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Dados'!U154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ANGELA MARIA DA CONCEIÇÃO SILVA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POSSE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UNIÃO INDÚSTRIA, 33666 - CEP 25770-480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3044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2246-9324, (24) 99259-4303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Dados'!C155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Dados'!D155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Dados'!E155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Dados'!F155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Dados'!G155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Dados'!H155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Dados'!I155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Dados'!J155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Dados'!K155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Dados'!L155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Dados'!M155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Dados'!N155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Dados'!O155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Dados'!P155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Dados'!Q155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Dados'!R155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Dados'!S155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Dados'!T155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Dados'!U155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LUIZ MARCHIORI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ITAIPAVA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DO GENTIL, 1906 - CEP 25745-060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3045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2020-0750, (24) 99968-2860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Dados'!C156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Dados'!D156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Dados'!E156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Dados'!F156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Dados'!G156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Dados'!H156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Dados'!I156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Dados'!J156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Dados'!K156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Dados'!L156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Dados'!M156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Dados'!N156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Dados'!O156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Dados'!P156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Dados'!Q156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Dados'!R156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Dados'!S156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Dados'!T156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Dados'!U156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PROFª MARLUCE DE SOUZA PESTANA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CORRÊAS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BONFIM, 3046 - CEP 25730-010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3047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2236-0202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Dados'!C157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Dados'!D157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Dados'!E157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Dados'!F157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Dados'!G157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Dados'!H157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Dados'!I157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Dados'!J157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Dados'!K157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Dados'!L157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Dados'!M157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Dados'!N157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Dados'!O157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Dados'!P157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Dados'!Q157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Dados'!R157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Dados'!S157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Dados'!T157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Dados'!U157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OLÍVIA MACHADO DA COSTA NOGUEIRA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RETIRO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HENRIQUE DIAS, 100 - CEP 25680-301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3048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2246-8737, (24) 2020-9938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Dados'!C158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Dados'!D158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Dados'!E158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Dados'!F158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Dados'!G158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Dados'!H158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Dados'!I158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Dados'!J158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Dados'!K158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Dados'!L158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Dados'!M158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Dados'!N158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Dados'!O158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Dados'!P158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Dados'!Q158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Dados'!R158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Dados'!S158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Dados'!T158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Dados'!U158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VILA IPANEMA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QUITANDINHA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VASSOURAS, S/N - CEP 25650-500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3049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2235-1036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Dados'!C159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Dados'!D159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Dados'!E159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Dados'!F159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Dados'!G159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Dados'!H159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Dados'!I159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Dados'!J159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Dados'!K159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Dados'!L159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Dados'!M159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Dados'!N159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Dados'!O159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Dados'!P159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Dados'!Q159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Dados'!R159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Dados'!S159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Dados'!T159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Dados'!U159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VILA LEOPOLDINA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PEDRO DO RIO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EUGENIO ZANATTA, S/N - CEP 25750-300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3050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98844-5754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Dados'!C160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Dados'!D160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Dados'!E160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Dados'!F160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Dados'!G160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Dados'!H160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Dados'!I160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Dados'!J160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Dados'!K160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Dados'!L160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Dados'!M160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Dados'!N160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Dados'!O160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Dados'!P160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Dados'!Q160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Dados'!R160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Dados'!S160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Dados'!T160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Dados'!U160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DE EDUCAÇÃO INFANTIL CASA DA PAZ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VALE DO CARANGOLA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DA CRECHE, 14 - CEP 25715-408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3051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2006-0195, (24) 98812-1821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Dados'!C161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Dados'!D161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Dados'!E161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Dados'!F161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Dados'!G161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Dados'!H161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Dados'!I161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Dados'!J161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Dados'!K161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Dados'!L161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Dados'!M161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Dados'!N161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Dados'!O161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Dados'!P161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Dados'!Q161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Dados'!R161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Dados'!S161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Dados'!T161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Dados'!U161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PRIMEIRA INFÂNCIA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BUARQUE DE MACEDO, 63 - CEP 25625-290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3052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2244-7492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Dados'!C162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Dados'!D162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Dados'!E162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Dados'!F162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Dados'!G162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Dados'!H162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Dados'!I162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Dados'!J162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Dados'!K162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Dados'!L162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Dados'!M162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Dados'!N162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Dados'!O162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Dados'!P162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Dados'!Q162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Dados'!R162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Dados'!S162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Dados'!T162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Dados'!U162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PROFª DORA KILLER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INDEPENDÊNCIA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EMÍLIO ZALUAR, 314 - CEP 25645-280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3053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2244-7248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Dados'!C163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Dados'!D163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Dados'!E163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Dados'!F163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Dados'!G163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Dados'!H163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Dados'!I163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Dados'!J163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Dados'!K163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Dados'!L163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Dados'!M163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Dados'!N163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Dados'!O163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Dados'!P163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Dados'!Q163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Dados'!R163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Dados'!S163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Dados'!T163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Dados'!U163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PROFª PATRÍCIA FERREIRA E SILVA FREITAS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CASIMIRO DE ABREU, 26 - CEP 25615-002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3054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2243-7762, (24) 2019-0962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Dados'!C164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Dados'!D164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Dados'!E164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Dados'!F164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Dados'!G164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Dados'!H164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Dados'!I164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Dados'!J164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Dados'!K164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Dados'!L164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Dados'!M164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Dados'!N164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Dados'!O164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Dados'!P164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Dados'!Q164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Dados'!R164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Dados'!S164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Dados'!T164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Dados'!U164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DRA ZILDA ARNS NEUMANN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SANTOS DUMONT, 786 - CEP 25625-090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3055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2245-6869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Dados'!C165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Dados'!D165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Dados'!E165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Dados'!F165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Dados'!G165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Dados'!H165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Dados'!I165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Dados'!J165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Dados'!K165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Dados'!L165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Dados'!M165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Dados'!N165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Dados'!O165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Dados'!P165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Dados'!Q165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Dados'!R165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Dados'!S165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Dados'!T165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Dados'!U165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DENISE BESSA DE OLIVA MAYA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ARARAS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BERNARDO COUTINHO, 526 - CEP 25725-020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3056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2225-1136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Dados'!C166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Dados'!D166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Dados'!E166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Dados'!F166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Dados'!G166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Dados'!H166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Dados'!I166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Dados'!J166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Dados'!K166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Dados'!L166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Dados'!M166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Dados'!N166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Dados'!O166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Dados'!P166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Dados'!Q166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Dados'!R166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Dados'!S166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Dados'!T166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Dados'!U166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GIUSEPPE-NEVA VOLONTERIO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MOSELA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CARLOS GOMES, 180 - CEP 25680-020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3057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2242-6607, (24) 2017-3874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Dados'!C167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Dados'!D167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Dados'!E167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Dados'!F167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Dados'!G167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Dados'!H167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Dados'!I167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Dados'!J167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Dados'!K167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Dados'!L167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Dados'!M167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Dados'!N167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Dados'!O167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Dados'!P167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Dados'!Q167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Dados'!R167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Dados'!S167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Dados'!T167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Dados'!U167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DE EDUCAÇÃO INFANTIL LOTA MACEDO SOARES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SAMAMBAIA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ENGENHEIRO DURVAL DE SOUZA, 142 - CEP 25710-320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3058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2291-3344, (24) 2245-4731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Dados'!C168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Dados'!D168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Dados'!E168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Dados'!F168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Dados'!G168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Dados'!H168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Dados'!I168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Dados'!J168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Dados'!K168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Dados'!L168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Dados'!M168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Dados'!N168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Dados'!O168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Dados'!P168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Dados'!Q168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Dados'!R168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Dados'!S168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Dados'!T168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Dados'!U168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IRINEU MARINHO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CORRÊAS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ALVARES DE AZEVEDO, 83 - CEP 25730-020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3059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2017-8623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Dados'!C169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Dados'!D169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Dados'!E169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Dados'!F169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Dados'!G169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Dados'!H169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Dados'!I169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Dados'!J169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Dados'!K169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Dados'!L169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Dados'!M169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Dados'!N169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Dados'!O169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Dados'!P169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Dados'!Q169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Dados'!R169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Dados'!S169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Dados'!T169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Dados'!U169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OSWALDO CRUZ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QUARTEIRÃO INGELHEIM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INGELHEIM, 643 - CEP 25675-540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3060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2243-4721, (24) 99920-5057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Dados'!C170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Dados'!D170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Dados'!E170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Dados'!F170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Dados'!G170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Dados'!H170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Dados'!I170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Dados'!J170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Dados'!K170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Dados'!L170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Dados'!M170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Dados'!N170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Dados'!O170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Dados'!P170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Dados'!Q170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Dados'!R170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Dados'!S170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Dados'!T170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Dados'!U170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ANA CAROLINA TELLES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DUQUES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RIO PETRÓPOLIS KM 85, S/N - CEP 25650-001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3061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2242-1643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Dados'!C171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Dados'!D171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Dados'!E171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Dados'!F171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Dados'!G171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Dados'!H171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Dados'!I171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Dados'!J171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Dados'!K171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Dados'!L171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Dados'!M171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Dados'!N171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Dados'!O171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Dados'!P171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Dados'!Q171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Dados'!R171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Dados'!S171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Dados'!T171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Dados'!U171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JOSÉ GONÇALVES DA MOTTA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POSSE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JOÃO DE FARIAS, S/N - CEP 25770-090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3062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2247-9762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Dados'!C172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Dados'!D172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Dados'!E172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Dados'!F172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Dados'!G172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Dados'!H172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Dados'!I172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Dados'!J172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Dados'!K172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Dados'!L172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Dados'!M172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Dados'!N172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Dados'!O172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Dados'!P172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Dados'!Q172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Dados'!R172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Dados'!S172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Dados'!T172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Dados'!U172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SAGRADA FAMÍLIA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CASTELÂNEA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DO PARAÍSO, PROX AO 715 - CEP 25635-410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3064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98821-2940, (24) 2248-6309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Dados'!C173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Dados'!D173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Dados'!E173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Dados'!F173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Dados'!G173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Dados'!H173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Dados'!I173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Dados'!J173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Dados'!K173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Dados'!L173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Dados'!M173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Dados'!N173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Dados'!O173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Dados'!P173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Dados'!Q173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Dados'!R173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Dados'!S173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Dados'!T173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Dados'!U173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PROFª HERMÍNIA MATHEUS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SÃO SEBASTIÃO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FLORINDO DUARTE, S/N - CEP 25645-707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3065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2291-6426, (24) 2020-5903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Dados'!C174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Dados'!D174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Dados'!E174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Dados'!F174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Dados'!G174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Dados'!H174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Dados'!I174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Dados'!J174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Dados'!K174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Dados'!L174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Dados'!M174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Dados'!N174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Dados'!O174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Dados'!P174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Dados'!Q174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Dados'!R174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Dados'!S174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Dados'!T174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Dados'!U174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DE EDUCAÇÃO INFANTIL PROFESSORA TINA GRAZINOLI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VISCONDE DO BOM RETIRO, 165 - CEP 25625-023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3066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2246-3494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Dados'!C175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Dados'!D175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Dados'!E175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Dados'!F175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Dados'!G175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Dados'!H175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Dados'!I175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Dados'!J175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Dados'!K175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Dados'!L175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Dados'!M175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Dados'!N175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Dados'!O175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Dados'!P175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Dados'!Q175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Dados'!R175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Dados'!S175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Dados'!T175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Dados'!U175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MONSENHOR PAULO ELIAS DAHER CHÉDIER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CENTRO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BENJAMIN CONSTANT, 272 - CEP 25610-130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3068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2020-9441, (24) 99974-9662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Dados'!C176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Dados'!D176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Dados'!E176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Dados'!F176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Dados'!G176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Dados'!H176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Dados'!I176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Dados'!J176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Dados'!K176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Dados'!L176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Dados'!M176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Dados'!N176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Dados'!O176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Dados'!P176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Dados'!Q176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Dados'!R176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Dados'!S176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Dados'!T176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Dados'!U176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DAGMAR ROLANDO DE OLIVEIRA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CORRÊAS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PRINCESA DONA PAULA, 25 - CEP 25730-100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3069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2019-3680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Dados'!C177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Dados'!D177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Dados'!E177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Dados'!F177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Dados'!G177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Dados'!H177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Dados'!I177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Dados'!J177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Dados'!K177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Dados'!L177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Dados'!M177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Dados'!N177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Dados'!O177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Dados'!P177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Dados'!Q177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Dados'!R177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Dados'!S177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Dados'!T177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Dados'!U177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DE EDUCAÇÃO INFANTIL PROFESSORA ANNA MARIA NARDI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QUISSAMÃ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QUISSAMÃ, 375 - CEP 25615-411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3070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2246-2656, (24) 99319-8398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Dados'!C178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Dados'!D178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Dados'!E178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Dados'!F178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Dados'!G178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Dados'!H178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Dados'!I178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Dados'!J178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Dados'!K178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Dados'!L178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Dados'!M178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Dados'!N178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Dados'!O178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Dados'!P178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Dados'!Q178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Dados'!R178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Dados'!S178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Dados'!T178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Dados'!U178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BOA VISTA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CASCATINHA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SERV. FRANCISCO JACINTO DO AMARAL, LOTE 11 - CEP 25716-242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3072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2235-1057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Dados'!C179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Dados'!D179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Dados'!E179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Dados'!F179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Dados'!G179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Dados'!H179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Dados'!I179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Dados'!J179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Dados'!K179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Dados'!L179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Dados'!M179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Dados'!N179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Dados'!O179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Dados'!P179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Dados'!Q179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Dados'!R179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Dados'!S179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Dados'!T179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Dados'!U179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NILO PEÇANHA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PEDRO DO RIO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EUGENIO ZANATTA, 247 - CEP 25750-300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3074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99313-4013, (24) 2246-8660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Dados'!C180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Dados'!D180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Dados'!E180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Dados'!F180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Dados'!G180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Dados'!H180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Dados'!I180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Dados'!J180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Dados'!K180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Dados'!L180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Dados'!M180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Dados'!N180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Dados'!O180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Dados'!P180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Dados'!Q180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Dados'!R180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Dados'!S180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Dados'!T180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Dados'!U180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DE EDUCAÇÃO INFANTIL AUGUSTO PUGNALONI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ITAIPAVA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DO CATOBIRA, S/N - CEP 25740-100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3075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2246-9104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Dados'!C181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Dados'!D181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Dados'!E181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Dados'!F181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Dados'!G181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Dados'!H181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Dados'!I181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Dados'!J181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Dados'!K181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Dados'!L181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Dados'!M181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Dados'!N181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Dados'!O181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Dados'!P181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Dados'!Q181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Dados'!R181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Dados'!S181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Dados'!T181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Dados'!U181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THEREZINHA DE JESUS LIMA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BONFIM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ALEXANDRE ALVES ANTUNES, 80 - CEP 25730-005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3076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2246-4262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Dados'!C182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Dados'!D182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Dados'!E182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Dados'!F182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Dados'!G182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Dados'!H182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Dados'!I182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Dados'!J182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Dados'!K182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Dados'!L182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Dados'!M182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Dados'!N182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Dados'!O182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Dados'!P182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Dados'!Q182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Dados'!R182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Dados'!S182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Dados'!T182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Dados'!U182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VIDEIRINHA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ARARAS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ESTR. ALMIRANTE PAULO MEIRA, 8201 - CEP 25725-029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3077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99269-4949, (24) 99310-6988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Dados'!C183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Dados'!D183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Dados'!E183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Dados'!F183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Dados'!G183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Dados'!H183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Dados'!I183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Dados'!J183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Dados'!K183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Dados'!L183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Dados'!M183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Dados'!N183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Dados'!O183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Dados'!P183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Dados'!Q183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Dados'!R183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Dados'!S183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Dados'!T183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Dados'!U183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PROFª ADRIANA CONSTÂNCIO TRINDADE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ITAIPAVA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UNIÃO INDÚSTRIA, 11990 - CEP 25750-220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3078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2235-7398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Dados'!C184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Dados'!D184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Dados'!E184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Dados'!F184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Dados'!G184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Dados'!H184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Dados'!I184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Dados'!J184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Dados'!K184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Dados'!L184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Dados'!M184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Dados'!N184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Dados'!O184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Dados'!P184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Dados'!Q184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Dados'!R184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Dados'!S184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Dados'!T184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Dados'!U184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DE EDUCAÇÃO INFANTIL SÉRGIO RIBEIRO ROCHA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NOGUEIRA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DO PALMITAL, - CEP 25730-500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3079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2231-7404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Dados'!C185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Dados'!D185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Dados'!E185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Dados'!F185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Dados'!G185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Dados'!H185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Dados'!I185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Dados'!J185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Dados'!K185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Dados'!L185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Dados'!M185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Dados'!N185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Dados'!O185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Dados'!P185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Dados'!Q185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Dados'!R185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Dados'!S185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Dados'!T185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Dados'!U185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JURACI PINTO DO AMARAL DE CASTRO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DUARTE DA SILVEIRA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LUIZ WINTER, 1305 - CEP 25665-430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3080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98161-0682, (24) 2019-3597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Dados'!C186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Dados'!D186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Dados'!E186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Dados'!F186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Dados'!G186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Dados'!H186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Dados'!I186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Dados'!J186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Dados'!K186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Dados'!L186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Dados'!M186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Dados'!N186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Dados'!O186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Dados'!P186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Dados'!Q186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Dados'!R186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Dados'!S186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Dados'!T186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Dados'!U186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NOSSA SENHORA DA GLÓRIA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CORRÊAS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NOSSA SENHORA DA GLÓRIA, 1370 - CEP 25720-265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3081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2221-7590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Dados'!C187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Dados'!D187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Dados'!E187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Dados'!F187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Dados'!G187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Dados'!H187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Dados'!I187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Dados'!J187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Dados'!K187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Dados'!L187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Dados'!M187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Dados'!N187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Dados'!O187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Dados'!P187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Dados'!Q187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Dados'!R187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Dados'!S187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Dados'!T187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Dados'!U187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ALTO INDEPENDÊNCIA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INDEPENDÊNCIA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LEONOR MAIA, 56 - CEP 25645-420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4001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99281-9360, (24) 2020-3699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Dados'!C188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Dados'!D188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Dados'!E188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Dados'!F188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Dados'!G188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Dados'!H188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Dados'!I188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Dados'!J188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Dados'!K188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Dados'!L188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Dados'!M188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Dados'!N188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Dados'!O188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Dados'!P188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Dados'!Q188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Dados'!R188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Dados'!S188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Dados'!T188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Dados'!U188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SÃO JOSÉ DAS OBLATAS DE NAZARÉ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CASTELÂNEA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OLAVO BILAC, 815 - CEP 25640-511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4002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2231-0256, (24) 98819-1505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Dados'!C189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Dados'!D189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Dados'!E189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Dados'!F189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Dados'!G189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Dados'!H189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Dados'!I189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Dados'!J189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Dados'!K189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Dados'!L189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Dados'!M189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Dados'!N189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Dados'!O189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Dados'!P189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Dados'!Q189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Dados'!R189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Dados'!S189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Dados'!T189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Dados'!U189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SANTO ANTÔNIO AGOSTINHO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NOGUEIRA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LEOPOLDINA, 590 - CEP 25730-203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4003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2221-5545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Dados'!C190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Dados'!D190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Dados'!E190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Dados'!F190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Dados'!G190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Dados'!H190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Dados'!I190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Dados'!J190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Dados'!K190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Dados'!L190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Dados'!M190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Dados'!N190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Dados'!O190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Dados'!P190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Dados'!Q190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Dados'!R190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Dados'!S190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Dados'!T190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Dados'!U190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SÃO CHARBEL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CAXAMBU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FLAVIO CAVALCANTI, S/N - CEP 25615-060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4004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2242-0027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Dados'!C191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Dados'!D191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Dados'!E191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Dados'!F191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Dados'!G191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Dados'!H191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Dados'!I191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Dados'!J191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Dados'!K191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Dados'!L191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Dados'!M191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Dados'!N191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Dados'!O191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Dados'!P191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Dados'!Q191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Dados'!R191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Dados'!S191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Dados'!T191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Dados'!U191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ASSOCIAÇÃO DA CRECHE SÃO FRANCISCO DE ASSIS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CASCATINHA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VERIDIANO FELIX, 79 - CEP 25610-200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4005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2243-0629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Dados'!C192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Dados'!D192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Dados'!E192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Dados'!F192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Dados'!G192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Dados'!H192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Dados'!I192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Dados'!J192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Dados'!K192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Dados'!L192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Dados'!M192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Dados'!N192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Dados'!O192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Dados'!P192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Dados'!Q192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Dados'!R192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Dados'!S192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Dados'!T192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Dados'!U192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CEI SÃO JOSÉ DO ITAMARATI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ITAMARATI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QUISSAMÃ, 2012 - CEP 25615-532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4006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2249-3816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Dados'!C193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Dados'!D193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Dados'!E193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Dados'!F193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Dados'!G193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Dados'!H193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Dados'!I193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Dados'!J193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Dados'!K193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Dados'!L193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Dados'!M193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Dados'!N193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Dados'!O193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Dados'!P193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Dados'!Q193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Dados'!R193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Dados'!S193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Dados'!T193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Dados'!U193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ASSOCIAÇÃO RECREAR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CARANGOLA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ESTRADA DIVINO ESPÍRITO SANTO, 377 - CEP 25715-410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4007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2242-4376, (24) 98856-3757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Dados'!C194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Dados'!D194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Dados'!E194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Dados'!F194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Dados'!G194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Dados'!H194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Dados'!I194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Dados'!J194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Dados'!K194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Dados'!L194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Dados'!M194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Dados'!N194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Dados'!O194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Dados'!P194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Dados'!Q194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Dados'!R194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Dados'!S194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Dados'!T194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Dados'!U194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CRECHE-ESCOLA CASTELO SÃO MANOEL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CASTELO SÃO MANOEL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VISCONDE DE TAUNAY, 641 - CEP 25720-200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4019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2221-5830, (24) 98876-0610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Dados'!C195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Dados'!D195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Dados'!E195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Dados'!F195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Dados'!G195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Dados'!H195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Dados'!I195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Dados'!J195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Dados'!K195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Dados'!L195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Dados'!M195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Dados'!N195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Dados'!O195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Dados'!P195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Dados'!Q195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Dados'!R195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Dados'!S195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Dados'!T195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Dados'!U195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 filterMode="0">
    <outlinePr summaryBelow="1" summaryRight="1"/>
    <pageSetUpPr fitToPage="1"/>
  </sheetPr>
  <dimension ref="A1:G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0" customWidth="1" style="106" min="1" max="1"/>
    <col width="18" customWidth="1" style="106" min="2" max="3"/>
    <col width="20" customWidth="1" style="106" min="4" max="4"/>
    <col width="12" customWidth="1" style="106" min="6" max="6"/>
    <col width="26" customWidth="1" style="106" min="7" max="7"/>
  </cols>
  <sheetData>
    <row r="1" ht="25.5" customHeight="1" s="107">
      <c r="A1" s="170" t="inlineStr">
        <is>
          <t>CONTROLE DE ENTREGA — ESCOLA</t>
        </is>
      </c>
      <c r="F1" s="141">
        <f>HYPERLINK("#'ÍNDICE'!A1","◄ Voltar ao Índice")</f>
        <v/>
      </c>
    </row>
    <row r="2" ht="19.5" customHeight="1" s="107">
      <c r="A2" s="171" t="inlineStr">
        <is>
          <t>NOME DA ESCOLA</t>
        </is>
      </c>
      <c r="B2" s="172" t="inlineStr">
        <is>
          <t>CENTRO DE EDUCAÇÃO INFANTIL SÃO JUDAS TADEU</t>
        </is>
      </c>
      <c r="C2" s="173" t="n"/>
    </row>
    <row r="3" ht="19.5" customHeight="1" s="107">
      <c r="A3" s="171" t="inlineStr">
        <is>
          <t>BAIRRO</t>
        </is>
      </c>
      <c r="B3" s="172" t="inlineStr">
        <is>
          <t>MOSELA</t>
        </is>
      </c>
      <c r="C3" s="173" t="n"/>
    </row>
    <row r="4" ht="19.5" customHeight="1" s="107">
      <c r="A4" s="171" t="inlineStr">
        <is>
          <t>ENDEREÇO</t>
        </is>
      </c>
      <c r="B4" s="172" t="inlineStr">
        <is>
          <t>RUA CANDIDO PORTINARI, 230 - CEP 25675-130</t>
        </is>
      </c>
      <c r="C4" s="173" t="n"/>
    </row>
    <row r="5" ht="19.5" customHeight="1" s="107">
      <c r="A5" s="171" t="inlineStr">
        <is>
          <t>CÓDIGO</t>
        </is>
      </c>
      <c r="B5" s="172" t="inlineStr">
        <is>
          <t>4021</t>
        </is>
      </c>
      <c r="C5" s="173" t="n"/>
    </row>
    <row r="6" ht="19.5" customHeight="1" s="107">
      <c r="A6" s="171" t="inlineStr">
        <is>
          <t>TELEFONE</t>
        </is>
      </c>
      <c r="B6" s="172" t="inlineStr">
        <is>
          <t>(24) 2291-7386, (24) 98828-0197</t>
        </is>
      </c>
      <c r="C6" s="173" t="n"/>
    </row>
    <row r="7" ht="7.5" customHeight="1" s="107"/>
    <row r="8" ht="25.5" customHeight="1" s="107">
      <c r="A8" s="174" t="inlineStr">
        <is>
          <t>PRODUTO</t>
        </is>
      </c>
      <c r="B8" s="174" t="inlineStr">
        <is>
          <t>PEDIDO (kg)</t>
        </is>
      </c>
      <c r="C8" s="174" t="inlineStr">
        <is>
          <t>DEVOLUÇÃO (kg)</t>
        </is>
      </c>
      <c r="D8" s="174" t="inlineStr">
        <is>
          <t>TOTAL LÍQUIDO (kg)</t>
        </is>
      </c>
      <c r="F8" s="175" t="inlineStr">
        <is>
          <t>CÓD. MOTIVO</t>
        </is>
      </c>
      <c r="G8" s="175" t="inlineStr">
        <is>
          <t>MOTIVO DA DEVOLUÇÃO</t>
        </is>
      </c>
    </row>
    <row r="9" ht="25.5" customHeight="1" s="107">
      <c r="A9" s="176" t="inlineStr">
        <is>
          <t>Abacate</t>
        </is>
      </c>
      <c r="B9" s="177">
        <f>'Entrada de Dados'!C196</f>
        <v/>
      </c>
      <c r="C9" s="178" t="n"/>
      <c r="D9" s="177">
        <f>B9-C9</f>
        <v/>
      </c>
      <c r="F9" s="179" t="n"/>
      <c r="G9" s="180">
        <f>IF(F9="","",LOOKUP(F9,MOTIVO!$A$4:$A$23,MOTIVO!$B$4:$B$23))</f>
        <v/>
      </c>
    </row>
    <row r="10" ht="25.5" customHeight="1" s="107">
      <c r="A10" s="181" t="inlineStr">
        <is>
          <t>Abobrinha</t>
        </is>
      </c>
      <c r="B10" s="182">
        <f>'Entrada de Dados'!D196</f>
        <v/>
      </c>
      <c r="C10" s="183" t="n"/>
      <c r="D10" s="177">
        <f>B10-C10</f>
        <v/>
      </c>
      <c r="F10" s="179" t="n"/>
      <c r="G10" s="180">
        <f>IF(F10="","",LOOKUP(F10,MOTIVO!$A$4:$A$23,MOTIVO!$B$4:$B$23))</f>
        <v/>
      </c>
    </row>
    <row r="11" ht="25.5" customHeight="1" s="107">
      <c r="A11" s="176" t="inlineStr">
        <is>
          <t>Agrião</t>
        </is>
      </c>
      <c r="B11" s="177">
        <f>'Entrada de Dados'!E196</f>
        <v/>
      </c>
      <c r="C11" s="178" t="n"/>
      <c r="D11" s="177">
        <f>B11-C11</f>
        <v/>
      </c>
      <c r="F11" s="179" t="n"/>
      <c r="G11" s="180">
        <f>IF(F11="","",LOOKUP(F11,MOTIVO!$A$4:$A$23,MOTIVO!$B$4:$B$23))</f>
        <v/>
      </c>
    </row>
    <row r="12" ht="25.5" customHeight="1" s="107">
      <c r="A12" s="181" t="inlineStr">
        <is>
          <t>Alface lisa</t>
        </is>
      </c>
      <c r="B12" s="182">
        <f>'Entrada de Dados'!F196</f>
        <v/>
      </c>
      <c r="C12" s="183" t="n"/>
      <c r="D12" s="177">
        <f>B12-C12</f>
        <v/>
      </c>
      <c r="F12" s="179" t="n"/>
      <c r="G12" s="180">
        <f>IF(F12="","",LOOKUP(F12,MOTIVO!$A$4:$A$23,MOTIVO!$B$4:$B$23))</f>
        <v/>
      </c>
    </row>
    <row r="13" ht="25.5" customHeight="1" s="107">
      <c r="A13" s="176" t="inlineStr">
        <is>
          <t>Banana prata</t>
        </is>
      </c>
      <c r="B13" s="177">
        <f>'Entrada de Dados'!G196</f>
        <v/>
      </c>
      <c r="C13" s="178" t="n"/>
      <c r="D13" s="177">
        <f>B13-C13</f>
        <v/>
      </c>
      <c r="F13" s="179" t="n"/>
      <c r="G13" s="180">
        <f>IF(F13="","",LOOKUP(F13,MOTIVO!$A$4:$A$23,MOTIVO!$B$4:$B$23))</f>
        <v/>
      </c>
    </row>
    <row r="14" ht="25.5" customHeight="1" s="107">
      <c r="A14" s="181" t="inlineStr">
        <is>
          <t>Batata inglesa</t>
        </is>
      </c>
      <c r="B14" s="182">
        <f>'Entrada de Dados'!H196</f>
        <v/>
      </c>
      <c r="C14" s="183" t="n"/>
      <c r="D14" s="177">
        <f>B14-C14</f>
        <v/>
      </c>
      <c r="F14" s="179" t="n"/>
      <c r="G14" s="180">
        <f>IF(F14="","",LOOKUP(F14,MOTIVO!$A$4:$A$23,MOTIVO!$B$4:$B$23))</f>
        <v/>
      </c>
    </row>
    <row r="15" ht="25.5" customHeight="1" s="107">
      <c r="A15" s="176" t="inlineStr">
        <is>
          <t>Beterraba</t>
        </is>
      </c>
      <c r="B15" s="177">
        <f>'Entrada de Dados'!I196</f>
        <v/>
      </c>
      <c r="C15" s="178" t="n"/>
      <c r="D15" s="177">
        <f>B15-C15</f>
        <v/>
      </c>
      <c r="F15" s="179" t="n"/>
      <c r="G15" s="180">
        <f>IF(F15="","",LOOKUP(F15,MOTIVO!$A$4:$A$23,MOTIVO!$B$4:$B$23))</f>
        <v/>
      </c>
    </row>
    <row r="16" ht="25.5" customHeight="1" s="107">
      <c r="A16" s="181" t="inlineStr">
        <is>
          <t>Brócolis</t>
        </is>
      </c>
      <c r="B16" s="182">
        <f>'Entrada de Dados'!J196</f>
        <v/>
      </c>
      <c r="C16" s="183" t="n"/>
      <c r="D16" s="177">
        <f>B16-C16</f>
        <v/>
      </c>
      <c r="F16" s="179" t="n"/>
      <c r="G16" s="180">
        <f>IF(F16="","",LOOKUP(F16,MOTIVO!$A$4:$A$23,MOTIVO!$B$4:$B$23))</f>
        <v/>
      </c>
    </row>
    <row r="17" ht="25.5" customHeight="1" s="107">
      <c r="A17" s="176" t="inlineStr">
        <is>
          <t>Cenoura</t>
        </is>
      </c>
      <c r="B17" s="177">
        <f>'Entrada de Dados'!K196</f>
        <v/>
      </c>
      <c r="C17" s="178" t="n"/>
      <c r="D17" s="177">
        <f>B17-C17</f>
        <v/>
      </c>
      <c r="F17" s="179" t="n"/>
      <c r="G17" s="180">
        <f>IF(F17="","",LOOKUP(F17,MOTIVO!$A$4:$A$23,MOTIVO!$B$4:$B$23))</f>
        <v/>
      </c>
    </row>
    <row r="18" ht="25.5" customHeight="1" s="107">
      <c r="A18" s="181" t="inlineStr">
        <is>
          <t>Cheiro verde</t>
        </is>
      </c>
      <c r="B18" s="182">
        <f>'Entrada de Dados'!L196</f>
        <v/>
      </c>
      <c r="C18" s="183" t="n"/>
      <c r="D18" s="177">
        <f>B18-C18</f>
        <v/>
      </c>
      <c r="F18" s="179" t="n"/>
      <c r="G18" s="180">
        <f>IF(F18="","",LOOKUP(F18,MOTIVO!$A$4:$A$23,MOTIVO!$B$4:$B$23))</f>
        <v/>
      </c>
    </row>
    <row r="19" ht="25.5" customHeight="1" s="107">
      <c r="A19" s="176" t="inlineStr">
        <is>
          <t>Chuchu</t>
        </is>
      </c>
      <c r="B19" s="177">
        <f>'Entrada de Dados'!M196</f>
        <v/>
      </c>
      <c r="C19" s="178" t="n"/>
      <c r="D19" s="177">
        <f>B19-C19</f>
        <v/>
      </c>
      <c r="F19" s="179" t="n"/>
      <c r="G19" s="180">
        <f>IF(F19="","",LOOKUP(F19,MOTIVO!$A$4:$A$23,MOTIVO!$B$4:$B$23))</f>
        <v/>
      </c>
    </row>
    <row r="20" ht="25.5" customHeight="1" s="107">
      <c r="A20" s="181" t="inlineStr">
        <is>
          <t>Couve manteiga</t>
        </is>
      </c>
      <c r="B20" s="182">
        <f>'Entrada de Dados'!N196</f>
        <v/>
      </c>
      <c r="C20" s="183" t="n"/>
      <c r="D20" s="177">
        <f>B20-C20</f>
        <v/>
      </c>
      <c r="F20" s="179" t="n"/>
      <c r="G20" s="180">
        <f>IF(F20="","",LOOKUP(F20,MOTIVO!$A$4:$A$23,MOTIVO!$B$4:$B$23))</f>
        <v/>
      </c>
    </row>
    <row r="21" ht="25.5" customHeight="1" s="107">
      <c r="A21" s="176" t="inlineStr">
        <is>
          <t>Couve-flor</t>
        </is>
      </c>
      <c r="B21" s="177">
        <f>'Entrada de Dados'!O196</f>
        <v/>
      </c>
      <c r="C21" s="178" t="n"/>
      <c r="D21" s="177">
        <f>B21-C21</f>
        <v/>
      </c>
      <c r="F21" s="179" t="n"/>
      <c r="G21" s="180">
        <f>IF(F21="","",LOOKUP(F21,MOTIVO!$A$4:$A$23,MOTIVO!$B$4:$B$23))</f>
        <v/>
      </c>
    </row>
    <row r="22" ht="25.5" customHeight="1" s="107">
      <c r="A22" s="181" t="inlineStr">
        <is>
          <t>Espinafre</t>
        </is>
      </c>
      <c r="B22" s="182">
        <f>'Entrada de Dados'!P196</f>
        <v/>
      </c>
      <c r="C22" s="183" t="n"/>
      <c r="D22" s="177">
        <f>B22-C22</f>
        <v/>
      </c>
      <c r="F22" s="179" t="n"/>
      <c r="G22" s="180">
        <f>IF(F22="","",LOOKUP(F22,MOTIVO!$A$4:$A$23,MOTIVO!$B$4:$B$23))</f>
        <v/>
      </c>
    </row>
    <row r="23" ht="25.5" customHeight="1" s="107">
      <c r="A23" s="176" t="inlineStr">
        <is>
          <t>Maçã gala</t>
        </is>
      </c>
      <c r="B23" s="177">
        <f>'Entrada de Dados'!Q196</f>
        <v/>
      </c>
      <c r="C23" s="178" t="n"/>
      <c r="D23" s="177">
        <f>B23-C23</f>
        <v/>
      </c>
      <c r="F23" s="179" t="n"/>
      <c r="G23" s="180">
        <f>IF(F23="","",LOOKUP(F23,MOTIVO!$A$4:$A$23,MOTIVO!$B$4:$B$23))</f>
        <v/>
      </c>
    </row>
    <row r="24" ht="25.5" customHeight="1" s="107">
      <c r="A24" s="181" t="inlineStr">
        <is>
          <t>Mel</t>
        </is>
      </c>
      <c r="B24" s="182">
        <f>'Entrada de Dados'!R196</f>
        <v/>
      </c>
      <c r="C24" s="183" t="n"/>
      <c r="D24" s="177">
        <f>B24-C24</f>
        <v/>
      </c>
      <c r="F24" s="179" t="n"/>
      <c r="G24" s="180">
        <f>IF(F24="","",LOOKUP(F24,MOTIVO!$A$4:$A$23,MOTIVO!$B$4:$B$23))</f>
        <v/>
      </c>
    </row>
    <row r="25" ht="25.5" customHeight="1" s="107">
      <c r="A25" s="176" t="inlineStr">
        <is>
          <t>Ovos (dz)</t>
        </is>
      </c>
      <c r="B25" s="177">
        <f>'Entrada de Dados'!S196</f>
        <v/>
      </c>
      <c r="C25" s="178" t="n"/>
      <c r="D25" s="177">
        <f>B25-C25</f>
        <v/>
      </c>
      <c r="F25" s="179" t="n"/>
      <c r="G25" s="180">
        <f>IF(F25="","",LOOKUP(F25,MOTIVO!$A$4:$A$23,MOTIVO!$B$4:$B$23))</f>
        <v/>
      </c>
    </row>
    <row r="26" ht="25.5" customHeight="1" s="107">
      <c r="A26" s="181" t="inlineStr">
        <is>
          <t>Repolho</t>
        </is>
      </c>
      <c r="B26" s="182">
        <f>'Entrada de Dados'!T196</f>
        <v/>
      </c>
      <c r="C26" s="183" t="n"/>
      <c r="D26" s="177">
        <f>B26-C26</f>
        <v/>
      </c>
      <c r="F26" s="179" t="n"/>
      <c r="G26" s="180">
        <f>IF(F26="","",LOOKUP(F26,MOTIVO!$A$4:$A$23,MOTIVO!$B$4:$B$23))</f>
        <v/>
      </c>
    </row>
    <row r="27" ht="25.5" customHeight="1" s="107">
      <c r="A27" s="176" t="inlineStr">
        <is>
          <t>Tangerina ponkan</t>
        </is>
      </c>
      <c r="B27" s="177">
        <f>'Entrada de Dados'!U196</f>
        <v/>
      </c>
      <c r="C27" s="178" t="n"/>
      <c r="D27" s="177">
        <f>B27-C27</f>
        <v/>
      </c>
      <c r="F27" s="179" t="n"/>
      <c r="G27" s="180">
        <f>IF(F27="","",LOOKUP(F27,MOTIVO!$A$4:$A$23,MOTIVO!$B$4:$B$23))</f>
        <v/>
      </c>
    </row>
    <row r="29" ht="30" customHeight="1" s="107">
      <c r="A29" s="184" t="inlineStr">
        <is>
          <t>ASSINATURA:</t>
        </is>
      </c>
      <c r="B29" s="185" t="n"/>
      <c r="C29" s="186" t="n"/>
    </row>
    <row r="30" ht="30" customHeight="1" s="107">
      <c r="A30" s="184" t="inlineStr">
        <is>
          <t>DATA:</t>
        </is>
      </c>
      <c r="B30" s="185" t="n"/>
      <c r="C30" s="186" t="n"/>
    </row>
    <row r="32" ht="15" customHeight="1" s="107">
      <c r="A32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B8:B27"/>
  <mergeCells count="9">
    <mergeCell ref="B6:C6"/>
    <mergeCell ref="B30:C30"/>
    <mergeCell ref="B2:C2"/>
    <mergeCell ref="B29:C29"/>
    <mergeCell ref="A1:C1"/>
    <mergeCell ref="B3:C3"/>
    <mergeCell ref="B5:C5"/>
    <mergeCell ref="A32:C32"/>
    <mergeCell ref="B4:C4"/>
  </mergeCells>
  <dataValidations count="1">
    <dataValidation sqref="C9:C27" showDropDown="0" showInputMessage="0" showErrorMessage="1" allowBlank="0" errorTitle="Devolução maior que o pedido" error="A devolução não pode ser maior do que a quantidade pedida. Confira o valor digitado." type="custom" errorStyle="stop">
      <formula1>C9&lt;=B9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Ana Claudia Correa Ruas de Souza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Dados'!C201</f>
        <v/>
      </c>
      <c r="C6" s="194">
        <f>'Entrada de Dados'!C227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Dados'!D201</f>
        <v/>
      </c>
      <c r="C7" s="194">
        <f>'Entrada de Dados'!D227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Dados'!E201</f>
        <v/>
      </c>
      <c r="C8" s="194">
        <f>'Entrada de Dados'!E227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Dados'!F201</f>
        <v/>
      </c>
      <c r="C9" s="194">
        <f>'Entrada de Dados'!F227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Dados'!G201</f>
        <v/>
      </c>
      <c r="C10" s="194">
        <f>'Entrada de Dados'!G227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Dados'!H201</f>
        <v/>
      </c>
      <c r="C11" s="194">
        <f>'Entrada de Dados'!H227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Dados'!I201</f>
        <v/>
      </c>
      <c r="C12" s="194">
        <f>'Entrada de Dados'!I227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Dados'!J201</f>
        <v/>
      </c>
      <c r="C13" s="194">
        <f>'Entrada de Dados'!J227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Dados'!K201</f>
        <v/>
      </c>
      <c r="C14" s="194">
        <f>'Entrada de Dados'!K227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Dados'!L201</f>
        <v/>
      </c>
      <c r="C15" s="194">
        <f>'Entrada de Dados'!L227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Dados'!M201</f>
        <v/>
      </c>
      <c r="C16" s="194">
        <f>'Entrada de Dados'!M227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Dados'!N201</f>
        <v/>
      </c>
      <c r="C17" s="194">
        <f>'Entrada de Dados'!N227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Dados'!O201</f>
        <v/>
      </c>
      <c r="C18" s="194">
        <f>'Entrada de Dados'!O227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Dados'!P201</f>
        <v/>
      </c>
      <c r="C19" s="194">
        <f>'Entrada de Dados'!P227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Dados'!Q201</f>
        <v/>
      </c>
      <c r="C20" s="194">
        <f>'Entrada de Dados'!Q227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Dados'!R201</f>
        <v/>
      </c>
      <c r="C21" s="194">
        <f>'Entrada de Dados'!R227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Dados'!S201</f>
        <v/>
      </c>
      <c r="C22" s="194">
        <f>'Entrada de Dados'!S227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Dados'!T201</f>
        <v/>
      </c>
      <c r="C23" s="194">
        <f>'Entrada de Dados'!T227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Dados'!U201</f>
        <v/>
      </c>
      <c r="C24" s="194">
        <f>'Entrada de Dados'!U227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Anderson de Mello Quimas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Dados'!C202</f>
        <v/>
      </c>
      <c r="C6" s="194">
        <f>'Entrada de Dados'!C228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Dados'!D202</f>
        <v/>
      </c>
      <c r="C7" s="194">
        <f>'Entrada de Dados'!D228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Dados'!E202</f>
        <v/>
      </c>
      <c r="C8" s="194">
        <f>'Entrada de Dados'!E228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Dados'!F202</f>
        <v/>
      </c>
      <c r="C9" s="194">
        <f>'Entrada de Dados'!F228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Dados'!G202</f>
        <v/>
      </c>
      <c r="C10" s="194">
        <f>'Entrada de Dados'!G228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Dados'!H202</f>
        <v/>
      </c>
      <c r="C11" s="194">
        <f>'Entrada de Dados'!H228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Dados'!I202</f>
        <v/>
      </c>
      <c r="C12" s="194">
        <f>'Entrada de Dados'!I228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Dados'!J202</f>
        <v/>
      </c>
      <c r="C13" s="194">
        <f>'Entrada de Dados'!J228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Dados'!K202</f>
        <v/>
      </c>
      <c r="C14" s="194">
        <f>'Entrada de Dados'!K228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Dados'!L202</f>
        <v/>
      </c>
      <c r="C15" s="194">
        <f>'Entrada de Dados'!L228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Dados'!M202</f>
        <v/>
      </c>
      <c r="C16" s="194">
        <f>'Entrada de Dados'!M228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Dados'!N202</f>
        <v/>
      </c>
      <c r="C17" s="194">
        <f>'Entrada de Dados'!N228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Dados'!O202</f>
        <v/>
      </c>
      <c r="C18" s="194">
        <f>'Entrada de Dados'!O228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Dados'!P202</f>
        <v/>
      </c>
      <c r="C19" s="194">
        <f>'Entrada de Dados'!P228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Dados'!Q202</f>
        <v/>
      </c>
      <c r="C20" s="194">
        <f>'Entrada de Dados'!Q228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Dados'!R202</f>
        <v/>
      </c>
      <c r="C21" s="194">
        <f>'Entrada de Dados'!R228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Dados'!S202</f>
        <v/>
      </c>
      <c r="C22" s="194">
        <f>'Entrada de Dados'!S228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Dados'!T202</f>
        <v/>
      </c>
      <c r="C23" s="194">
        <f>'Entrada de Dados'!T228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Dados'!U202</f>
        <v/>
      </c>
      <c r="C24" s="194">
        <f>'Entrada de Dados'!U228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Armando Jose da Silva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Dados'!C203</f>
        <v/>
      </c>
      <c r="C6" s="194">
        <f>'Entrada de Dados'!C229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Dados'!D203</f>
        <v/>
      </c>
      <c r="C7" s="194">
        <f>'Entrada de Dados'!D229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Dados'!E203</f>
        <v/>
      </c>
      <c r="C8" s="194">
        <f>'Entrada de Dados'!E229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Dados'!F203</f>
        <v/>
      </c>
      <c r="C9" s="194">
        <f>'Entrada de Dados'!F229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Dados'!G203</f>
        <v/>
      </c>
      <c r="C10" s="194">
        <f>'Entrada de Dados'!G229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Dados'!H203</f>
        <v/>
      </c>
      <c r="C11" s="194">
        <f>'Entrada de Dados'!H229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Dados'!I203</f>
        <v/>
      </c>
      <c r="C12" s="194">
        <f>'Entrada de Dados'!I229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Dados'!J203</f>
        <v/>
      </c>
      <c r="C13" s="194">
        <f>'Entrada de Dados'!J229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Dados'!K203</f>
        <v/>
      </c>
      <c r="C14" s="194">
        <f>'Entrada de Dados'!K229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Dados'!L203</f>
        <v/>
      </c>
      <c r="C15" s="194">
        <f>'Entrada de Dados'!L229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Dados'!M203</f>
        <v/>
      </c>
      <c r="C16" s="194">
        <f>'Entrada de Dados'!M229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Dados'!N203</f>
        <v/>
      </c>
      <c r="C17" s="194">
        <f>'Entrada de Dados'!N229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Dados'!O203</f>
        <v/>
      </c>
      <c r="C18" s="194">
        <f>'Entrada de Dados'!O229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Dados'!P203</f>
        <v/>
      </c>
      <c r="C19" s="194">
        <f>'Entrada de Dados'!P229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Dados'!Q203</f>
        <v/>
      </c>
      <c r="C20" s="194">
        <f>'Entrada de Dados'!Q229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Dados'!R203</f>
        <v/>
      </c>
      <c r="C21" s="194">
        <f>'Entrada de Dados'!R229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Dados'!S203</f>
        <v/>
      </c>
      <c r="C22" s="194">
        <f>'Entrada de Dados'!S229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Dados'!T203</f>
        <v/>
      </c>
      <c r="C23" s="194">
        <f>'Entrada de Dados'!T229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Dados'!U203</f>
        <v/>
      </c>
      <c r="C24" s="194">
        <f>'Entrada de Dados'!U229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Arnaldo da Silva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Dados'!C204</f>
        <v/>
      </c>
      <c r="C6" s="194">
        <f>'Entrada de Dados'!C230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Dados'!D204</f>
        <v/>
      </c>
      <c r="C7" s="194">
        <f>'Entrada de Dados'!D230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Dados'!E204</f>
        <v/>
      </c>
      <c r="C8" s="194">
        <f>'Entrada de Dados'!E230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Dados'!F204</f>
        <v/>
      </c>
      <c r="C9" s="194">
        <f>'Entrada de Dados'!F230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Dados'!G204</f>
        <v/>
      </c>
      <c r="C10" s="194">
        <f>'Entrada de Dados'!G230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Dados'!H204</f>
        <v/>
      </c>
      <c r="C11" s="194">
        <f>'Entrada de Dados'!H230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Dados'!I204</f>
        <v/>
      </c>
      <c r="C12" s="194">
        <f>'Entrada de Dados'!I230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Dados'!J204</f>
        <v/>
      </c>
      <c r="C13" s="194">
        <f>'Entrada de Dados'!J230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Dados'!K204</f>
        <v/>
      </c>
      <c r="C14" s="194">
        <f>'Entrada de Dados'!K230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Dados'!L204</f>
        <v/>
      </c>
      <c r="C15" s="194">
        <f>'Entrada de Dados'!L230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Dados'!M204</f>
        <v/>
      </c>
      <c r="C16" s="194">
        <f>'Entrada de Dados'!M230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Dados'!N204</f>
        <v/>
      </c>
      <c r="C17" s="194">
        <f>'Entrada de Dados'!N230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Dados'!O204</f>
        <v/>
      </c>
      <c r="C18" s="194">
        <f>'Entrada de Dados'!O230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Dados'!P204</f>
        <v/>
      </c>
      <c r="C19" s="194">
        <f>'Entrada de Dados'!P230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Dados'!Q204</f>
        <v/>
      </c>
      <c r="C20" s="194">
        <f>'Entrada de Dados'!Q230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Dados'!R204</f>
        <v/>
      </c>
      <c r="C21" s="194">
        <f>'Entrada de Dados'!R230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Dados'!S204</f>
        <v/>
      </c>
      <c r="C22" s="194">
        <f>'Entrada de Dados'!S230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Dados'!T204</f>
        <v/>
      </c>
      <c r="C23" s="194">
        <f>'Entrada de Dados'!T230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Dados'!U204</f>
        <v/>
      </c>
      <c r="C24" s="194">
        <f>'Entrada de Dados'!U230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Claudeni Rodrigues Xavier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Dados'!C205</f>
        <v/>
      </c>
      <c r="C6" s="194">
        <f>'Entrada de Dados'!C231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Dados'!D205</f>
        <v/>
      </c>
      <c r="C7" s="194">
        <f>'Entrada de Dados'!D231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Dados'!E205</f>
        <v/>
      </c>
      <c r="C8" s="194">
        <f>'Entrada de Dados'!E231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Dados'!F205</f>
        <v/>
      </c>
      <c r="C9" s="194">
        <f>'Entrada de Dados'!F231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Dados'!G205</f>
        <v/>
      </c>
      <c r="C10" s="194">
        <f>'Entrada de Dados'!G231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Dados'!H205</f>
        <v/>
      </c>
      <c r="C11" s="194">
        <f>'Entrada de Dados'!H231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Dados'!I205</f>
        <v/>
      </c>
      <c r="C12" s="194">
        <f>'Entrada de Dados'!I231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Dados'!J205</f>
        <v/>
      </c>
      <c r="C13" s="194">
        <f>'Entrada de Dados'!J231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Dados'!K205</f>
        <v/>
      </c>
      <c r="C14" s="194">
        <f>'Entrada de Dados'!K231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Dados'!L205</f>
        <v/>
      </c>
      <c r="C15" s="194">
        <f>'Entrada de Dados'!L231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Dados'!M205</f>
        <v/>
      </c>
      <c r="C16" s="194">
        <f>'Entrada de Dados'!M231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Dados'!N205</f>
        <v/>
      </c>
      <c r="C17" s="194">
        <f>'Entrada de Dados'!N231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Dados'!O205</f>
        <v/>
      </c>
      <c r="C18" s="194">
        <f>'Entrada de Dados'!O231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Dados'!P205</f>
        <v/>
      </c>
      <c r="C19" s="194">
        <f>'Entrada de Dados'!P231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Dados'!Q205</f>
        <v/>
      </c>
      <c r="C20" s="194">
        <f>'Entrada de Dados'!Q231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Dados'!R205</f>
        <v/>
      </c>
      <c r="C21" s="194">
        <f>'Entrada de Dados'!R231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Dados'!S205</f>
        <v/>
      </c>
      <c r="C22" s="194">
        <f>'Entrada de Dados'!S231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Dados'!T205</f>
        <v/>
      </c>
      <c r="C23" s="194">
        <f>'Entrada de Dados'!T231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Dados'!U205</f>
        <v/>
      </c>
      <c r="C24" s="194">
        <f>'Entrada de Dados'!U231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Edson Jose da Silva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Dados'!C206</f>
        <v/>
      </c>
      <c r="C6" s="194">
        <f>'Entrada de Dados'!C232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Dados'!D206</f>
        <v/>
      </c>
      <c r="C7" s="194">
        <f>'Entrada de Dados'!D232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Dados'!E206</f>
        <v/>
      </c>
      <c r="C8" s="194">
        <f>'Entrada de Dados'!E232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Dados'!F206</f>
        <v/>
      </c>
      <c r="C9" s="194">
        <f>'Entrada de Dados'!F232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Dados'!G206</f>
        <v/>
      </c>
      <c r="C10" s="194">
        <f>'Entrada de Dados'!G232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Dados'!H206</f>
        <v/>
      </c>
      <c r="C11" s="194">
        <f>'Entrada de Dados'!H232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Dados'!I206</f>
        <v/>
      </c>
      <c r="C12" s="194">
        <f>'Entrada de Dados'!I232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Dados'!J206</f>
        <v/>
      </c>
      <c r="C13" s="194">
        <f>'Entrada de Dados'!J232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Dados'!K206</f>
        <v/>
      </c>
      <c r="C14" s="194">
        <f>'Entrada de Dados'!K232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Dados'!L206</f>
        <v/>
      </c>
      <c r="C15" s="194">
        <f>'Entrada de Dados'!L232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Dados'!M206</f>
        <v/>
      </c>
      <c r="C16" s="194">
        <f>'Entrada de Dados'!M232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Dados'!N206</f>
        <v/>
      </c>
      <c r="C17" s="194">
        <f>'Entrada de Dados'!N232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Dados'!O206</f>
        <v/>
      </c>
      <c r="C18" s="194">
        <f>'Entrada de Dados'!O232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Dados'!P206</f>
        <v/>
      </c>
      <c r="C19" s="194">
        <f>'Entrada de Dados'!P232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Dados'!Q206</f>
        <v/>
      </c>
      <c r="C20" s="194">
        <f>'Entrada de Dados'!Q232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Dados'!R206</f>
        <v/>
      </c>
      <c r="C21" s="194">
        <f>'Entrada de Dados'!R232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Dados'!S206</f>
        <v/>
      </c>
      <c r="C22" s="194">
        <f>'Entrada de Dados'!S232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Dados'!T206</f>
        <v/>
      </c>
      <c r="C23" s="194">
        <f>'Entrada de Dados'!T232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Dados'!U206</f>
        <v/>
      </c>
      <c r="C24" s="194">
        <f>'Entrada de Dados'!U232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Gabriel Adriano de Souza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Dados'!C207</f>
        <v/>
      </c>
      <c r="C6" s="194">
        <f>'Entrada de Dados'!C233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Dados'!D207</f>
        <v/>
      </c>
      <c r="C7" s="194">
        <f>'Entrada de Dados'!D233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Dados'!E207</f>
        <v/>
      </c>
      <c r="C8" s="194">
        <f>'Entrada de Dados'!E233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Dados'!F207</f>
        <v/>
      </c>
      <c r="C9" s="194">
        <f>'Entrada de Dados'!F233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Dados'!G207</f>
        <v/>
      </c>
      <c r="C10" s="194">
        <f>'Entrada de Dados'!G233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Dados'!H207</f>
        <v/>
      </c>
      <c r="C11" s="194">
        <f>'Entrada de Dados'!H233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Dados'!I207</f>
        <v/>
      </c>
      <c r="C12" s="194">
        <f>'Entrada de Dados'!I233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Dados'!J207</f>
        <v/>
      </c>
      <c r="C13" s="194">
        <f>'Entrada de Dados'!J233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Dados'!K207</f>
        <v/>
      </c>
      <c r="C14" s="194">
        <f>'Entrada de Dados'!K233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Dados'!L207</f>
        <v/>
      </c>
      <c r="C15" s="194">
        <f>'Entrada de Dados'!L233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Dados'!M207</f>
        <v/>
      </c>
      <c r="C16" s="194">
        <f>'Entrada de Dados'!M233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Dados'!N207</f>
        <v/>
      </c>
      <c r="C17" s="194">
        <f>'Entrada de Dados'!N233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Dados'!O207</f>
        <v/>
      </c>
      <c r="C18" s="194">
        <f>'Entrada de Dados'!O233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Dados'!P207</f>
        <v/>
      </c>
      <c r="C19" s="194">
        <f>'Entrada de Dados'!P233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Dados'!Q207</f>
        <v/>
      </c>
      <c r="C20" s="194">
        <f>'Entrada de Dados'!Q233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Dados'!R207</f>
        <v/>
      </c>
      <c r="C21" s="194">
        <f>'Entrada de Dados'!R233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Dados'!S207</f>
        <v/>
      </c>
      <c r="C22" s="194">
        <f>'Entrada de Dados'!S233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Dados'!T207</f>
        <v/>
      </c>
      <c r="C23" s="194">
        <f>'Entrada de Dados'!T233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Dados'!U207</f>
        <v/>
      </c>
      <c r="C24" s="194">
        <f>'Entrada de Dados'!U233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Gustavo de Mello Rodrigues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Dados'!C208</f>
        <v/>
      </c>
      <c r="C6" s="194">
        <f>'Entrada de Dados'!C234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Dados'!D208</f>
        <v/>
      </c>
      <c r="C7" s="194">
        <f>'Entrada de Dados'!D234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Dados'!E208</f>
        <v/>
      </c>
      <c r="C8" s="194">
        <f>'Entrada de Dados'!E234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Dados'!F208</f>
        <v/>
      </c>
      <c r="C9" s="194">
        <f>'Entrada de Dados'!F234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Dados'!G208</f>
        <v/>
      </c>
      <c r="C10" s="194">
        <f>'Entrada de Dados'!G234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Dados'!H208</f>
        <v/>
      </c>
      <c r="C11" s="194">
        <f>'Entrada de Dados'!H234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Dados'!I208</f>
        <v/>
      </c>
      <c r="C12" s="194">
        <f>'Entrada de Dados'!I234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Dados'!J208</f>
        <v/>
      </c>
      <c r="C13" s="194">
        <f>'Entrada de Dados'!J234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Dados'!K208</f>
        <v/>
      </c>
      <c r="C14" s="194">
        <f>'Entrada de Dados'!K234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Dados'!L208</f>
        <v/>
      </c>
      <c r="C15" s="194">
        <f>'Entrada de Dados'!L234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Dados'!M208</f>
        <v/>
      </c>
      <c r="C16" s="194">
        <f>'Entrada de Dados'!M234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Dados'!N208</f>
        <v/>
      </c>
      <c r="C17" s="194">
        <f>'Entrada de Dados'!N234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Dados'!O208</f>
        <v/>
      </c>
      <c r="C18" s="194">
        <f>'Entrada de Dados'!O234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Dados'!P208</f>
        <v/>
      </c>
      <c r="C19" s="194">
        <f>'Entrada de Dados'!P234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Dados'!Q208</f>
        <v/>
      </c>
      <c r="C20" s="194">
        <f>'Entrada de Dados'!Q234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Dados'!R208</f>
        <v/>
      </c>
      <c r="C21" s="194">
        <f>'Entrada de Dados'!R234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Dados'!S208</f>
        <v/>
      </c>
      <c r="C22" s="194">
        <f>'Entrada de Dados'!S234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Dados'!T208</f>
        <v/>
      </c>
      <c r="C23" s="194">
        <f>'Entrada de Dados'!T234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Dados'!U208</f>
        <v/>
      </c>
      <c r="C24" s="194">
        <f>'Entrada de Dados'!U234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Joaquim Sergio Lage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Dados'!C209</f>
        <v/>
      </c>
      <c r="C6" s="194">
        <f>'Entrada de Dados'!C235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Dados'!D209</f>
        <v/>
      </c>
      <c r="C7" s="194">
        <f>'Entrada de Dados'!D235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Dados'!E209</f>
        <v/>
      </c>
      <c r="C8" s="194">
        <f>'Entrada de Dados'!E235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Dados'!F209</f>
        <v/>
      </c>
      <c r="C9" s="194">
        <f>'Entrada de Dados'!F235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Dados'!G209</f>
        <v/>
      </c>
      <c r="C10" s="194">
        <f>'Entrada de Dados'!G235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Dados'!H209</f>
        <v/>
      </c>
      <c r="C11" s="194">
        <f>'Entrada de Dados'!H235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Dados'!I209</f>
        <v/>
      </c>
      <c r="C12" s="194">
        <f>'Entrada de Dados'!I235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Dados'!J209</f>
        <v/>
      </c>
      <c r="C13" s="194">
        <f>'Entrada de Dados'!J235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Dados'!K209</f>
        <v/>
      </c>
      <c r="C14" s="194">
        <f>'Entrada de Dados'!K235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Dados'!L209</f>
        <v/>
      </c>
      <c r="C15" s="194">
        <f>'Entrada de Dados'!L235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Dados'!M209</f>
        <v/>
      </c>
      <c r="C16" s="194">
        <f>'Entrada de Dados'!M235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Dados'!N209</f>
        <v/>
      </c>
      <c r="C17" s="194">
        <f>'Entrada de Dados'!N235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Dados'!O209</f>
        <v/>
      </c>
      <c r="C18" s="194">
        <f>'Entrada de Dados'!O235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Dados'!P209</f>
        <v/>
      </c>
      <c r="C19" s="194">
        <f>'Entrada de Dados'!P235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Dados'!Q209</f>
        <v/>
      </c>
      <c r="C20" s="194">
        <f>'Entrada de Dados'!Q235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Dados'!R209</f>
        <v/>
      </c>
      <c r="C21" s="194">
        <f>'Entrada de Dados'!R235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Dados'!S209</f>
        <v/>
      </c>
      <c r="C22" s="194">
        <f>'Entrada de Dados'!S235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Dados'!T209</f>
        <v/>
      </c>
      <c r="C23" s="194">
        <f>'Entrada de Dados'!T235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Dados'!U209</f>
        <v/>
      </c>
      <c r="C24" s="194">
        <f>'Entrada de Dados'!U235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Jorge Gabriel Pereira Diniz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Dados'!C210</f>
        <v/>
      </c>
      <c r="C6" s="194">
        <f>'Entrada de Dados'!C236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Dados'!D210</f>
        <v/>
      </c>
      <c r="C7" s="194">
        <f>'Entrada de Dados'!D236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Dados'!E210</f>
        <v/>
      </c>
      <c r="C8" s="194">
        <f>'Entrada de Dados'!E236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Dados'!F210</f>
        <v/>
      </c>
      <c r="C9" s="194">
        <f>'Entrada de Dados'!F236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Dados'!G210</f>
        <v/>
      </c>
      <c r="C10" s="194">
        <f>'Entrada de Dados'!G236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Dados'!H210</f>
        <v/>
      </c>
      <c r="C11" s="194">
        <f>'Entrada de Dados'!H236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Dados'!I210</f>
        <v/>
      </c>
      <c r="C12" s="194">
        <f>'Entrada de Dados'!I236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Dados'!J210</f>
        <v/>
      </c>
      <c r="C13" s="194">
        <f>'Entrada de Dados'!J236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Dados'!K210</f>
        <v/>
      </c>
      <c r="C14" s="194">
        <f>'Entrada de Dados'!K236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Dados'!L210</f>
        <v/>
      </c>
      <c r="C15" s="194">
        <f>'Entrada de Dados'!L236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Dados'!M210</f>
        <v/>
      </c>
      <c r="C16" s="194">
        <f>'Entrada de Dados'!M236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Dados'!N210</f>
        <v/>
      </c>
      <c r="C17" s="194">
        <f>'Entrada de Dados'!N236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Dados'!O210</f>
        <v/>
      </c>
      <c r="C18" s="194">
        <f>'Entrada de Dados'!O236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Dados'!P210</f>
        <v/>
      </c>
      <c r="C19" s="194">
        <f>'Entrada de Dados'!P236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Dados'!Q210</f>
        <v/>
      </c>
      <c r="C20" s="194">
        <f>'Entrada de Dados'!Q236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Dados'!R210</f>
        <v/>
      </c>
      <c r="C21" s="194">
        <f>'Entrada de Dados'!R236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Dados'!S210</f>
        <v/>
      </c>
      <c r="C22" s="194">
        <f>'Entrada de Dados'!S236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Dados'!T210</f>
        <v/>
      </c>
      <c r="C23" s="194">
        <f>'Entrada de Dados'!T236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Dados'!U210</f>
        <v/>
      </c>
      <c r="C24" s="194">
        <f>'Entrada de Dados'!U236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Jose Gilmar Santana de Mello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Dados'!C211</f>
        <v/>
      </c>
      <c r="C6" s="194">
        <f>'Entrada de Dados'!C237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Dados'!D211</f>
        <v/>
      </c>
      <c r="C7" s="194">
        <f>'Entrada de Dados'!D237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Dados'!E211</f>
        <v/>
      </c>
      <c r="C8" s="194">
        <f>'Entrada de Dados'!E237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Dados'!F211</f>
        <v/>
      </c>
      <c r="C9" s="194">
        <f>'Entrada de Dados'!F237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Dados'!G211</f>
        <v/>
      </c>
      <c r="C10" s="194">
        <f>'Entrada de Dados'!G237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Dados'!H211</f>
        <v/>
      </c>
      <c r="C11" s="194">
        <f>'Entrada de Dados'!H237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Dados'!I211</f>
        <v/>
      </c>
      <c r="C12" s="194">
        <f>'Entrada de Dados'!I237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Dados'!J211</f>
        <v/>
      </c>
      <c r="C13" s="194">
        <f>'Entrada de Dados'!J237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Dados'!K211</f>
        <v/>
      </c>
      <c r="C14" s="194">
        <f>'Entrada de Dados'!K237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Dados'!L211</f>
        <v/>
      </c>
      <c r="C15" s="194">
        <f>'Entrada de Dados'!L237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Dados'!M211</f>
        <v/>
      </c>
      <c r="C16" s="194">
        <f>'Entrada de Dados'!M237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Dados'!N211</f>
        <v/>
      </c>
      <c r="C17" s="194">
        <f>'Entrada de Dados'!N237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Dados'!O211</f>
        <v/>
      </c>
      <c r="C18" s="194">
        <f>'Entrada de Dados'!O237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Dados'!P211</f>
        <v/>
      </c>
      <c r="C19" s="194">
        <f>'Entrada de Dados'!P237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Dados'!Q211</f>
        <v/>
      </c>
      <c r="C20" s="194">
        <f>'Entrada de Dados'!Q237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Dados'!R211</f>
        <v/>
      </c>
      <c r="C21" s="194">
        <f>'Entrada de Dados'!R237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Dados'!S211</f>
        <v/>
      </c>
      <c r="C22" s="194">
        <f>'Entrada de Dados'!S237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Dados'!T211</f>
        <v/>
      </c>
      <c r="C23" s="194">
        <f>'Entrada de Dados'!T237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Dados'!U211</f>
        <v/>
      </c>
      <c r="C24" s="194">
        <f>'Entrada de Dados'!U237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Jose Rodrigues de Melo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Dados'!C212</f>
        <v/>
      </c>
      <c r="C6" s="194">
        <f>'Entrada de Dados'!C238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Dados'!D212</f>
        <v/>
      </c>
      <c r="C7" s="194">
        <f>'Entrada de Dados'!D238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Dados'!E212</f>
        <v/>
      </c>
      <c r="C8" s="194">
        <f>'Entrada de Dados'!E238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Dados'!F212</f>
        <v/>
      </c>
      <c r="C9" s="194">
        <f>'Entrada de Dados'!F238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Dados'!G212</f>
        <v/>
      </c>
      <c r="C10" s="194">
        <f>'Entrada de Dados'!G238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Dados'!H212</f>
        <v/>
      </c>
      <c r="C11" s="194">
        <f>'Entrada de Dados'!H238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Dados'!I212</f>
        <v/>
      </c>
      <c r="C12" s="194">
        <f>'Entrada de Dados'!I238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Dados'!J212</f>
        <v/>
      </c>
      <c r="C13" s="194">
        <f>'Entrada de Dados'!J238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Dados'!K212</f>
        <v/>
      </c>
      <c r="C14" s="194">
        <f>'Entrada de Dados'!K238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Dados'!L212</f>
        <v/>
      </c>
      <c r="C15" s="194">
        <f>'Entrada de Dados'!L238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Dados'!M212</f>
        <v/>
      </c>
      <c r="C16" s="194">
        <f>'Entrada de Dados'!M238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Dados'!N212</f>
        <v/>
      </c>
      <c r="C17" s="194">
        <f>'Entrada de Dados'!N238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Dados'!O212</f>
        <v/>
      </c>
      <c r="C18" s="194">
        <f>'Entrada de Dados'!O238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Dados'!P212</f>
        <v/>
      </c>
      <c r="C19" s="194">
        <f>'Entrada de Dados'!P238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Dados'!Q212</f>
        <v/>
      </c>
      <c r="C20" s="194">
        <f>'Entrada de Dados'!Q238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Dados'!R212</f>
        <v/>
      </c>
      <c r="C21" s="194">
        <f>'Entrada de Dados'!R238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Dados'!S212</f>
        <v/>
      </c>
      <c r="C22" s="194">
        <f>'Entrada de Dados'!S238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Dados'!T212</f>
        <v/>
      </c>
      <c r="C23" s="194">
        <f>'Entrada de Dados'!T238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Dados'!U212</f>
        <v/>
      </c>
      <c r="C24" s="194">
        <f>'Entrada de Dados'!U238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Lucio Mauro Felix da Silva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Dados'!C213</f>
        <v/>
      </c>
      <c r="C6" s="194">
        <f>'Entrada de Dados'!C239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Dados'!D213</f>
        <v/>
      </c>
      <c r="C7" s="194">
        <f>'Entrada de Dados'!D239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Dados'!E213</f>
        <v/>
      </c>
      <c r="C8" s="194">
        <f>'Entrada de Dados'!E239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Dados'!F213</f>
        <v/>
      </c>
      <c r="C9" s="194">
        <f>'Entrada de Dados'!F239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Dados'!G213</f>
        <v/>
      </c>
      <c r="C10" s="194">
        <f>'Entrada de Dados'!G239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Dados'!H213</f>
        <v/>
      </c>
      <c r="C11" s="194">
        <f>'Entrada de Dados'!H239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Dados'!I213</f>
        <v/>
      </c>
      <c r="C12" s="194">
        <f>'Entrada de Dados'!I239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Dados'!J213</f>
        <v/>
      </c>
      <c r="C13" s="194">
        <f>'Entrada de Dados'!J239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Dados'!K213</f>
        <v/>
      </c>
      <c r="C14" s="194">
        <f>'Entrada de Dados'!K239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Dados'!L213</f>
        <v/>
      </c>
      <c r="C15" s="194">
        <f>'Entrada de Dados'!L239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Dados'!M213</f>
        <v/>
      </c>
      <c r="C16" s="194">
        <f>'Entrada de Dados'!M239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Dados'!N213</f>
        <v/>
      </c>
      <c r="C17" s="194">
        <f>'Entrada de Dados'!N239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Dados'!O213</f>
        <v/>
      </c>
      <c r="C18" s="194">
        <f>'Entrada de Dados'!O239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Dados'!P213</f>
        <v/>
      </c>
      <c r="C19" s="194">
        <f>'Entrada de Dados'!P239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Dados'!Q213</f>
        <v/>
      </c>
      <c r="C20" s="194">
        <f>'Entrada de Dados'!Q239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Dados'!R213</f>
        <v/>
      </c>
      <c r="C21" s="194">
        <f>'Entrada de Dados'!R239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Dados'!S213</f>
        <v/>
      </c>
      <c r="C22" s="194">
        <f>'Entrada de Dados'!S239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Dados'!T213</f>
        <v/>
      </c>
      <c r="C23" s="194">
        <f>'Entrada de Dados'!T239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Dados'!U213</f>
        <v/>
      </c>
      <c r="C24" s="194">
        <f>'Entrada de Dados'!U239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Luiz Ailton de Oliveira Pinto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Dados'!C214</f>
        <v/>
      </c>
      <c r="C6" s="194">
        <f>'Entrada de Dados'!C240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Dados'!D214</f>
        <v/>
      </c>
      <c r="C7" s="194">
        <f>'Entrada de Dados'!D240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Dados'!E214</f>
        <v/>
      </c>
      <c r="C8" s="194">
        <f>'Entrada de Dados'!E240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Dados'!F214</f>
        <v/>
      </c>
      <c r="C9" s="194">
        <f>'Entrada de Dados'!F240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Dados'!G214</f>
        <v/>
      </c>
      <c r="C10" s="194">
        <f>'Entrada de Dados'!G240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Dados'!H214</f>
        <v/>
      </c>
      <c r="C11" s="194">
        <f>'Entrada de Dados'!H240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Dados'!I214</f>
        <v/>
      </c>
      <c r="C12" s="194">
        <f>'Entrada de Dados'!I240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Dados'!J214</f>
        <v/>
      </c>
      <c r="C13" s="194">
        <f>'Entrada de Dados'!J240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Dados'!K214</f>
        <v/>
      </c>
      <c r="C14" s="194">
        <f>'Entrada de Dados'!K240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Dados'!L214</f>
        <v/>
      </c>
      <c r="C15" s="194">
        <f>'Entrada de Dados'!L240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Dados'!M214</f>
        <v/>
      </c>
      <c r="C16" s="194">
        <f>'Entrada de Dados'!M240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Dados'!N214</f>
        <v/>
      </c>
      <c r="C17" s="194">
        <f>'Entrada de Dados'!N240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Dados'!O214</f>
        <v/>
      </c>
      <c r="C18" s="194">
        <f>'Entrada de Dados'!O240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Dados'!P214</f>
        <v/>
      </c>
      <c r="C19" s="194">
        <f>'Entrada de Dados'!P240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Dados'!Q214</f>
        <v/>
      </c>
      <c r="C20" s="194">
        <f>'Entrada de Dados'!Q240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Dados'!R214</f>
        <v/>
      </c>
      <c r="C21" s="194">
        <f>'Entrada de Dados'!R240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Dados'!S214</f>
        <v/>
      </c>
      <c r="C22" s="194">
        <f>'Entrada de Dados'!S240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Dados'!T214</f>
        <v/>
      </c>
      <c r="C23" s="194">
        <f>'Entrada de Dados'!T240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Dados'!U214</f>
        <v/>
      </c>
      <c r="C24" s="194">
        <f>'Entrada de Dados'!U240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Marcelo Marcos Delgado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Dados'!C215</f>
        <v/>
      </c>
      <c r="C6" s="194">
        <f>'Entrada de Dados'!C241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Dados'!D215</f>
        <v/>
      </c>
      <c r="C7" s="194">
        <f>'Entrada de Dados'!D241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Dados'!E215</f>
        <v/>
      </c>
      <c r="C8" s="194">
        <f>'Entrada de Dados'!E241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Dados'!F215</f>
        <v/>
      </c>
      <c r="C9" s="194">
        <f>'Entrada de Dados'!F241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Dados'!G215</f>
        <v/>
      </c>
      <c r="C10" s="194">
        <f>'Entrada de Dados'!G241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Dados'!H215</f>
        <v/>
      </c>
      <c r="C11" s="194">
        <f>'Entrada de Dados'!H241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Dados'!I215</f>
        <v/>
      </c>
      <c r="C12" s="194">
        <f>'Entrada de Dados'!I241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Dados'!J215</f>
        <v/>
      </c>
      <c r="C13" s="194">
        <f>'Entrada de Dados'!J241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Dados'!K215</f>
        <v/>
      </c>
      <c r="C14" s="194">
        <f>'Entrada de Dados'!K241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Dados'!L215</f>
        <v/>
      </c>
      <c r="C15" s="194">
        <f>'Entrada de Dados'!L241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Dados'!M215</f>
        <v/>
      </c>
      <c r="C16" s="194">
        <f>'Entrada de Dados'!M241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Dados'!N215</f>
        <v/>
      </c>
      <c r="C17" s="194">
        <f>'Entrada de Dados'!N241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Dados'!O215</f>
        <v/>
      </c>
      <c r="C18" s="194">
        <f>'Entrada de Dados'!O241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Dados'!P215</f>
        <v/>
      </c>
      <c r="C19" s="194">
        <f>'Entrada de Dados'!P241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Dados'!Q215</f>
        <v/>
      </c>
      <c r="C20" s="194">
        <f>'Entrada de Dados'!Q241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Dados'!R215</f>
        <v/>
      </c>
      <c r="C21" s="194">
        <f>'Entrada de Dados'!R241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Dados'!S215</f>
        <v/>
      </c>
      <c r="C22" s="194">
        <f>'Entrada de Dados'!S241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Dados'!T215</f>
        <v/>
      </c>
      <c r="C23" s="194">
        <f>'Entrada de Dados'!T241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Dados'!U215</f>
        <v/>
      </c>
      <c r="C24" s="194">
        <f>'Entrada de Dados'!U241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Marcio Azevedo de Souza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Dados'!C216</f>
        <v/>
      </c>
      <c r="C6" s="194">
        <f>'Entrada de Dados'!C242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Dados'!D216</f>
        <v/>
      </c>
      <c r="C7" s="194">
        <f>'Entrada de Dados'!D242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Dados'!E216</f>
        <v/>
      </c>
      <c r="C8" s="194">
        <f>'Entrada de Dados'!E242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Dados'!F216</f>
        <v/>
      </c>
      <c r="C9" s="194">
        <f>'Entrada de Dados'!F242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Dados'!G216</f>
        <v/>
      </c>
      <c r="C10" s="194">
        <f>'Entrada de Dados'!G242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Dados'!H216</f>
        <v/>
      </c>
      <c r="C11" s="194">
        <f>'Entrada de Dados'!H242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Dados'!I216</f>
        <v/>
      </c>
      <c r="C12" s="194">
        <f>'Entrada de Dados'!I242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Dados'!J216</f>
        <v/>
      </c>
      <c r="C13" s="194">
        <f>'Entrada de Dados'!J242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Dados'!K216</f>
        <v/>
      </c>
      <c r="C14" s="194">
        <f>'Entrada de Dados'!K242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Dados'!L216</f>
        <v/>
      </c>
      <c r="C15" s="194">
        <f>'Entrada de Dados'!L242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Dados'!M216</f>
        <v/>
      </c>
      <c r="C16" s="194">
        <f>'Entrada de Dados'!M242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Dados'!N216</f>
        <v/>
      </c>
      <c r="C17" s="194">
        <f>'Entrada de Dados'!N242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Dados'!O216</f>
        <v/>
      </c>
      <c r="C18" s="194">
        <f>'Entrada de Dados'!O242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Dados'!P216</f>
        <v/>
      </c>
      <c r="C19" s="194">
        <f>'Entrada de Dados'!P242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Dados'!Q216</f>
        <v/>
      </c>
      <c r="C20" s="194">
        <f>'Entrada de Dados'!Q242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Dados'!R216</f>
        <v/>
      </c>
      <c r="C21" s="194">
        <f>'Entrada de Dados'!R242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Dados'!S216</f>
        <v/>
      </c>
      <c r="C22" s="194">
        <f>'Entrada de Dados'!S242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Dados'!T216</f>
        <v/>
      </c>
      <c r="C23" s="194">
        <f>'Entrada de Dados'!T242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Dados'!U216</f>
        <v/>
      </c>
      <c r="C24" s="194">
        <f>'Entrada de Dados'!U242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Marco Antonio Coelho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Dados'!C217</f>
        <v/>
      </c>
      <c r="C6" s="194">
        <f>'Entrada de Dados'!C243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Dados'!D217</f>
        <v/>
      </c>
      <c r="C7" s="194">
        <f>'Entrada de Dados'!D243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Dados'!E217</f>
        <v/>
      </c>
      <c r="C8" s="194">
        <f>'Entrada de Dados'!E243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Dados'!F217</f>
        <v/>
      </c>
      <c r="C9" s="194">
        <f>'Entrada de Dados'!F243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Dados'!G217</f>
        <v/>
      </c>
      <c r="C10" s="194">
        <f>'Entrada de Dados'!G243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Dados'!H217</f>
        <v/>
      </c>
      <c r="C11" s="194">
        <f>'Entrada de Dados'!H243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Dados'!I217</f>
        <v/>
      </c>
      <c r="C12" s="194">
        <f>'Entrada de Dados'!I243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Dados'!J217</f>
        <v/>
      </c>
      <c r="C13" s="194">
        <f>'Entrada de Dados'!J243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Dados'!K217</f>
        <v/>
      </c>
      <c r="C14" s="194">
        <f>'Entrada de Dados'!K243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Dados'!L217</f>
        <v/>
      </c>
      <c r="C15" s="194">
        <f>'Entrada de Dados'!L243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Dados'!M217</f>
        <v/>
      </c>
      <c r="C16" s="194">
        <f>'Entrada de Dados'!M243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Dados'!N217</f>
        <v/>
      </c>
      <c r="C17" s="194">
        <f>'Entrada de Dados'!N243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Dados'!O217</f>
        <v/>
      </c>
      <c r="C18" s="194">
        <f>'Entrada de Dados'!O243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Dados'!P217</f>
        <v/>
      </c>
      <c r="C19" s="194">
        <f>'Entrada de Dados'!P243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Dados'!Q217</f>
        <v/>
      </c>
      <c r="C20" s="194">
        <f>'Entrada de Dados'!Q243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Dados'!R217</f>
        <v/>
      </c>
      <c r="C21" s="194">
        <f>'Entrada de Dados'!R243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Dados'!S217</f>
        <v/>
      </c>
      <c r="C22" s="194">
        <f>'Entrada de Dados'!S243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Dados'!T217</f>
        <v/>
      </c>
      <c r="C23" s="194">
        <f>'Entrada de Dados'!T243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Dados'!U217</f>
        <v/>
      </c>
      <c r="C24" s="194">
        <f>'Entrada de Dados'!U243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Marcos Marcelo Delgado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Dados'!C218</f>
        <v/>
      </c>
      <c r="C6" s="194">
        <f>'Entrada de Dados'!C244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Dados'!D218</f>
        <v/>
      </c>
      <c r="C7" s="194">
        <f>'Entrada de Dados'!D244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Dados'!E218</f>
        <v/>
      </c>
      <c r="C8" s="194">
        <f>'Entrada de Dados'!E244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Dados'!F218</f>
        <v/>
      </c>
      <c r="C9" s="194">
        <f>'Entrada de Dados'!F244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Dados'!G218</f>
        <v/>
      </c>
      <c r="C10" s="194">
        <f>'Entrada de Dados'!G244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Dados'!H218</f>
        <v/>
      </c>
      <c r="C11" s="194">
        <f>'Entrada de Dados'!H244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Dados'!I218</f>
        <v/>
      </c>
      <c r="C12" s="194">
        <f>'Entrada de Dados'!I244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Dados'!J218</f>
        <v/>
      </c>
      <c r="C13" s="194">
        <f>'Entrada de Dados'!J244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Dados'!K218</f>
        <v/>
      </c>
      <c r="C14" s="194">
        <f>'Entrada de Dados'!K244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Dados'!L218</f>
        <v/>
      </c>
      <c r="C15" s="194">
        <f>'Entrada de Dados'!L244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Dados'!M218</f>
        <v/>
      </c>
      <c r="C16" s="194">
        <f>'Entrada de Dados'!M244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Dados'!N218</f>
        <v/>
      </c>
      <c r="C17" s="194">
        <f>'Entrada de Dados'!N244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Dados'!O218</f>
        <v/>
      </c>
      <c r="C18" s="194">
        <f>'Entrada de Dados'!O244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Dados'!P218</f>
        <v/>
      </c>
      <c r="C19" s="194">
        <f>'Entrada de Dados'!P244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Dados'!Q218</f>
        <v/>
      </c>
      <c r="C20" s="194">
        <f>'Entrada de Dados'!Q244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Dados'!R218</f>
        <v/>
      </c>
      <c r="C21" s="194">
        <f>'Entrada de Dados'!R244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Dados'!S218</f>
        <v/>
      </c>
      <c r="C22" s="194">
        <f>'Entrada de Dados'!S244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Dados'!T218</f>
        <v/>
      </c>
      <c r="C23" s="194">
        <f>'Entrada de Dados'!T244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Dados'!U218</f>
        <v/>
      </c>
      <c r="C24" s="194">
        <f>'Entrada de Dados'!U244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Miguel Fernando de Almeida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Dados'!C219</f>
        <v/>
      </c>
      <c r="C6" s="194">
        <f>'Entrada de Dados'!C245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Dados'!D219</f>
        <v/>
      </c>
      <c r="C7" s="194">
        <f>'Entrada de Dados'!D245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Dados'!E219</f>
        <v/>
      </c>
      <c r="C8" s="194">
        <f>'Entrada de Dados'!E245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Dados'!F219</f>
        <v/>
      </c>
      <c r="C9" s="194">
        <f>'Entrada de Dados'!F245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Dados'!G219</f>
        <v/>
      </c>
      <c r="C10" s="194">
        <f>'Entrada de Dados'!G245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Dados'!H219</f>
        <v/>
      </c>
      <c r="C11" s="194">
        <f>'Entrada de Dados'!H245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Dados'!I219</f>
        <v/>
      </c>
      <c r="C12" s="194">
        <f>'Entrada de Dados'!I245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Dados'!J219</f>
        <v/>
      </c>
      <c r="C13" s="194">
        <f>'Entrada de Dados'!J245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Dados'!K219</f>
        <v/>
      </c>
      <c r="C14" s="194">
        <f>'Entrada de Dados'!K245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Dados'!L219</f>
        <v/>
      </c>
      <c r="C15" s="194">
        <f>'Entrada de Dados'!L245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Dados'!M219</f>
        <v/>
      </c>
      <c r="C16" s="194">
        <f>'Entrada de Dados'!M245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Dados'!N219</f>
        <v/>
      </c>
      <c r="C17" s="194">
        <f>'Entrada de Dados'!N245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Dados'!O219</f>
        <v/>
      </c>
      <c r="C18" s="194">
        <f>'Entrada de Dados'!O245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Dados'!P219</f>
        <v/>
      </c>
      <c r="C19" s="194">
        <f>'Entrada de Dados'!P245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Dados'!Q219</f>
        <v/>
      </c>
      <c r="C20" s="194">
        <f>'Entrada de Dados'!Q245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Dados'!R219</f>
        <v/>
      </c>
      <c r="C21" s="194">
        <f>'Entrada de Dados'!R245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Dados'!S219</f>
        <v/>
      </c>
      <c r="C22" s="194">
        <f>'Entrada de Dados'!S245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Dados'!T219</f>
        <v/>
      </c>
      <c r="C23" s="194">
        <f>'Entrada de Dados'!T245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Dados'!U219</f>
        <v/>
      </c>
      <c r="C24" s="194">
        <f>'Entrada de Dados'!U245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Nilson Ferreira da Silva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Dados'!C220</f>
        <v/>
      </c>
      <c r="C6" s="194">
        <f>'Entrada de Dados'!C246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Dados'!D220</f>
        <v/>
      </c>
      <c r="C7" s="194">
        <f>'Entrada de Dados'!D246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Dados'!E220</f>
        <v/>
      </c>
      <c r="C8" s="194">
        <f>'Entrada de Dados'!E246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Dados'!F220</f>
        <v/>
      </c>
      <c r="C9" s="194">
        <f>'Entrada de Dados'!F246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Dados'!G220</f>
        <v/>
      </c>
      <c r="C10" s="194">
        <f>'Entrada de Dados'!G246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Dados'!H220</f>
        <v/>
      </c>
      <c r="C11" s="194">
        <f>'Entrada de Dados'!H246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Dados'!I220</f>
        <v/>
      </c>
      <c r="C12" s="194">
        <f>'Entrada de Dados'!I246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Dados'!J220</f>
        <v/>
      </c>
      <c r="C13" s="194">
        <f>'Entrada de Dados'!J246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Dados'!K220</f>
        <v/>
      </c>
      <c r="C14" s="194">
        <f>'Entrada de Dados'!K246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Dados'!L220</f>
        <v/>
      </c>
      <c r="C15" s="194">
        <f>'Entrada de Dados'!L246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Dados'!M220</f>
        <v/>
      </c>
      <c r="C16" s="194">
        <f>'Entrada de Dados'!M246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Dados'!N220</f>
        <v/>
      </c>
      <c r="C17" s="194">
        <f>'Entrada de Dados'!N246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Dados'!O220</f>
        <v/>
      </c>
      <c r="C18" s="194">
        <f>'Entrada de Dados'!O246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Dados'!P220</f>
        <v/>
      </c>
      <c r="C19" s="194">
        <f>'Entrada de Dados'!P246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Dados'!Q220</f>
        <v/>
      </c>
      <c r="C20" s="194">
        <f>'Entrada de Dados'!Q246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Dados'!R220</f>
        <v/>
      </c>
      <c r="C21" s="194">
        <f>'Entrada de Dados'!R246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Dados'!S220</f>
        <v/>
      </c>
      <c r="C22" s="194">
        <f>'Entrada de Dados'!S246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Dados'!T220</f>
        <v/>
      </c>
      <c r="C23" s="194">
        <f>'Entrada de Dados'!T246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Dados'!U220</f>
        <v/>
      </c>
      <c r="C24" s="194">
        <f>'Entrada de Dados'!U246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Renato Jose da Silva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Dados'!C221</f>
        <v/>
      </c>
      <c r="C6" s="194">
        <f>'Entrada de Dados'!C247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Dados'!D221</f>
        <v/>
      </c>
      <c r="C7" s="194">
        <f>'Entrada de Dados'!D247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Dados'!E221</f>
        <v/>
      </c>
      <c r="C8" s="194">
        <f>'Entrada de Dados'!E247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Dados'!F221</f>
        <v/>
      </c>
      <c r="C9" s="194">
        <f>'Entrada de Dados'!F247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Dados'!G221</f>
        <v/>
      </c>
      <c r="C10" s="194">
        <f>'Entrada de Dados'!G247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Dados'!H221</f>
        <v/>
      </c>
      <c r="C11" s="194">
        <f>'Entrada de Dados'!H247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Dados'!I221</f>
        <v/>
      </c>
      <c r="C12" s="194">
        <f>'Entrada de Dados'!I247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Dados'!J221</f>
        <v/>
      </c>
      <c r="C13" s="194">
        <f>'Entrada de Dados'!J247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Dados'!K221</f>
        <v/>
      </c>
      <c r="C14" s="194">
        <f>'Entrada de Dados'!K247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Dados'!L221</f>
        <v/>
      </c>
      <c r="C15" s="194">
        <f>'Entrada de Dados'!L247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Dados'!M221</f>
        <v/>
      </c>
      <c r="C16" s="194">
        <f>'Entrada de Dados'!M247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Dados'!N221</f>
        <v/>
      </c>
      <c r="C17" s="194">
        <f>'Entrada de Dados'!N247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Dados'!O221</f>
        <v/>
      </c>
      <c r="C18" s="194">
        <f>'Entrada de Dados'!O247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Dados'!P221</f>
        <v/>
      </c>
      <c r="C19" s="194">
        <f>'Entrada de Dados'!P247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Dados'!Q221</f>
        <v/>
      </c>
      <c r="C20" s="194">
        <f>'Entrada de Dados'!Q247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Dados'!R221</f>
        <v/>
      </c>
      <c r="C21" s="194">
        <f>'Entrada de Dados'!R247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Dados'!S221</f>
        <v/>
      </c>
      <c r="C22" s="194">
        <f>'Entrada de Dados'!S247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Dados'!T221</f>
        <v/>
      </c>
      <c r="C23" s="194">
        <f>'Entrada de Dados'!T247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Dados'!U221</f>
        <v/>
      </c>
      <c r="C24" s="194">
        <f>'Entrada de Dados'!U247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 filterMode="1">
    <outlinePr summaryBelow="1" summaryRight="1"/>
    <pageSetUpPr fitToPage="1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" customWidth="1" style="106" min="1" max="2"/>
    <col width="15" customWidth="1" style="106" min="3" max="6"/>
    <col width="14" customWidth="1" style="106" min="7" max="7"/>
    <col width="30" customWidth="1" style="106" min="8" max="8"/>
  </cols>
  <sheetData>
    <row r="1" ht="25.5" customHeight="1" s="107">
      <c r="A1" s="170" t="inlineStr">
        <is>
          <t>CONTROLE DE ENTREGA — PRODUTOR</t>
        </is>
      </c>
      <c r="G1" s="141" t="n"/>
      <c r="H1" s="141" t="n"/>
      <c r="I1" s="141">
        <f>HYPERLINK("#'ÍNDICE'!A1","◄ Voltar ao Índice")</f>
        <v/>
      </c>
    </row>
    <row r="2" ht="19.5" customHeight="1" s="107">
      <c r="A2" s="171" t="inlineStr">
        <is>
          <t>NOME DO PRODUTOR</t>
        </is>
      </c>
      <c r="B2" s="187" t="inlineStr">
        <is>
          <t>Rodolfo Azevedo de Andrade</t>
        </is>
      </c>
      <c r="C2" s="188" t="n"/>
      <c r="D2" s="188" t="n"/>
      <c r="E2" s="189" t="n"/>
    </row>
    <row r="3" ht="19.5" customHeight="1" s="107">
      <c r="A3" s="171" t="inlineStr">
        <is>
          <t>TELEFONE</t>
        </is>
      </c>
      <c r="B3" s="172" t="n"/>
      <c r="C3" s="190" t="n"/>
      <c r="D3" s="190" t="n"/>
      <c r="E3" s="173" t="n"/>
    </row>
    <row r="4" ht="7.5" customHeight="1" s="107"/>
    <row r="5" ht="33.75" customHeight="1" s="107">
      <c r="A5" s="191" t="inlineStr">
        <is>
          <t>PRODUTO</t>
        </is>
      </c>
      <c r="B5" s="191" t="inlineStr">
        <is>
          <t>PEDIDO (kg)</t>
        </is>
      </c>
      <c r="C5" s="192" t="inlineStr">
        <is>
          <t>ENTREGA (kg)</t>
        </is>
      </c>
      <c r="D5" s="191" t="inlineStr">
        <is>
          <t>DEVOLUÇÃO (kg)</t>
        </is>
      </c>
      <c r="E5" s="191" t="inlineStr">
        <is>
          <t>PREÇO LÍQUIDO</t>
        </is>
      </c>
      <c r="F5" s="191" t="inlineStr">
        <is>
          <t>PREÇO TOTAL</t>
        </is>
      </c>
      <c r="G5" s="191" t="inlineStr">
        <is>
          <t>CÓD. MOTIVO</t>
        </is>
      </c>
      <c r="H5" s="191" t="inlineStr">
        <is>
          <t>MOTIVO DA DEVOLUÇÃO</t>
        </is>
      </c>
    </row>
    <row r="6" ht="24" customHeight="1" s="107">
      <c r="A6" s="193" t="inlineStr">
        <is>
          <t>Abacate</t>
        </is>
      </c>
      <c r="B6" s="194">
        <f>'Entrada de Dados'!C222</f>
        <v/>
      </c>
      <c r="C6" s="194">
        <f>'Entrada de Dados'!C248</f>
        <v/>
      </c>
      <c r="D6" s="195" t="n"/>
      <c r="E6" s="194">
        <f>'Entrada de Dados'!C2-3.67</f>
        <v/>
      </c>
      <c r="F6" s="194">
        <f>(C6-D6)*E6</f>
        <v/>
      </c>
      <c r="G6" s="196" t="n"/>
      <c r="H6" s="197">
        <f>IF(G6="","",LOOKUP(G6,MOTIVO!$A$4:$A$23,MOTIVO!$B$4:$B$23))</f>
        <v/>
      </c>
    </row>
    <row r="7" ht="24" customHeight="1" s="107">
      <c r="A7" s="198" t="inlineStr">
        <is>
          <t>Abobrinha</t>
        </is>
      </c>
      <c r="B7" s="194">
        <f>'Entrada de Dados'!D222</f>
        <v/>
      </c>
      <c r="C7" s="194">
        <f>'Entrada de Dados'!D248</f>
        <v/>
      </c>
      <c r="D7" s="195" t="n"/>
      <c r="E7" s="194">
        <f>'Entrada de Dados'!D2-3.67</f>
        <v/>
      </c>
      <c r="F7" s="194">
        <f>(C7-D7)*E7</f>
        <v/>
      </c>
      <c r="G7" s="196" t="n"/>
      <c r="H7" s="197">
        <f>IF(G7="","",LOOKUP(G7,MOTIVO!$A$4:$A$23,MOTIVO!$B$4:$B$23))</f>
        <v/>
      </c>
    </row>
    <row r="8" ht="24" customHeight="1" s="107">
      <c r="A8" s="193" t="inlineStr">
        <is>
          <t>Agrião</t>
        </is>
      </c>
      <c r="B8" s="194">
        <f>'Entrada de Dados'!E222</f>
        <v/>
      </c>
      <c r="C8" s="194">
        <f>'Entrada de Dados'!E248</f>
        <v/>
      </c>
      <c r="D8" s="195" t="n"/>
      <c r="E8" s="194">
        <f>'Entrada de Dados'!E2-3.67</f>
        <v/>
      </c>
      <c r="F8" s="194">
        <f>(C8-D8)*E8</f>
        <v/>
      </c>
      <c r="G8" s="196" t="n"/>
      <c r="H8" s="197">
        <f>IF(G8="","",LOOKUP(G8,MOTIVO!$A$4:$A$23,MOTIVO!$B$4:$B$23))</f>
        <v/>
      </c>
    </row>
    <row r="9" ht="24" customHeight="1" s="107">
      <c r="A9" s="198" t="inlineStr">
        <is>
          <t>Alface lisa</t>
        </is>
      </c>
      <c r="B9" s="194">
        <f>'Entrada de Dados'!F222</f>
        <v/>
      </c>
      <c r="C9" s="194">
        <f>'Entrada de Dados'!F248</f>
        <v/>
      </c>
      <c r="D9" s="195" t="n"/>
      <c r="E9" s="194">
        <f>'Entrada de Dados'!F2-3.67</f>
        <v/>
      </c>
      <c r="F9" s="194">
        <f>(C9-D9)*E9</f>
        <v/>
      </c>
      <c r="G9" s="196" t="n"/>
      <c r="H9" s="197">
        <f>IF(G9="","",LOOKUP(G9,MOTIVO!$A$4:$A$23,MOTIVO!$B$4:$B$23))</f>
        <v/>
      </c>
    </row>
    <row r="10" ht="24" customHeight="1" s="107">
      <c r="A10" s="193" t="inlineStr">
        <is>
          <t>Banana prata</t>
        </is>
      </c>
      <c r="B10" s="194">
        <f>'Entrada de Dados'!G222</f>
        <v/>
      </c>
      <c r="C10" s="194">
        <f>'Entrada de Dados'!G248</f>
        <v/>
      </c>
      <c r="D10" s="195" t="n"/>
      <c r="E10" s="194">
        <f>'Entrada de Dados'!G2-3.67</f>
        <v/>
      </c>
      <c r="F10" s="194">
        <f>(C10-D10)*E10</f>
        <v/>
      </c>
      <c r="G10" s="196" t="n"/>
      <c r="H10" s="197">
        <f>IF(G10="","",LOOKUP(G10,MOTIVO!$A$4:$A$23,MOTIVO!$B$4:$B$23))</f>
        <v/>
      </c>
    </row>
    <row r="11" ht="24" customHeight="1" s="107">
      <c r="A11" s="198" t="inlineStr">
        <is>
          <t>Batata inglesa</t>
        </is>
      </c>
      <c r="B11" s="194">
        <f>'Entrada de Dados'!H222</f>
        <v/>
      </c>
      <c r="C11" s="194">
        <f>'Entrada de Dados'!H248</f>
        <v/>
      </c>
      <c r="D11" s="195" t="n"/>
      <c r="E11" s="194">
        <f>'Entrada de Dados'!H2-3.67</f>
        <v/>
      </c>
      <c r="F11" s="194">
        <f>(C11-D11)*E11</f>
        <v/>
      </c>
      <c r="G11" s="196" t="n"/>
      <c r="H11" s="197">
        <f>IF(G11="","",LOOKUP(G11,MOTIVO!$A$4:$A$23,MOTIVO!$B$4:$B$23))</f>
        <v/>
      </c>
    </row>
    <row r="12" ht="24" customHeight="1" s="107">
      <c r="A12" s="193" t="inlineStr">
        <is>
          <t>Beterraba</t>
        </is>
      </c>
      <c r="B12" s="194">
        <f>'Entrada de Dados'!I222</f>
        <v/>
      </c>
      <c r="C12" s="194">
        <f>'Entrada de Dados'!I248</f>
        <v/>
      </c>
      <c r="D12" s="195" t="n"/>
      <c r="E12" s="194">
        <f>'Entrada de Dados'!I2-3.67</f>
        <v/>
      </c>
      <c r="F12" s="194">
        <f>(C12-D12)*E12</f>
        <v/>
      </c>
      <c r="G12" s="196" t="n"/>
      <c r="H12" s="197">
        <f>IF(G12="","",LOOKUP(G12,MOTIVO!$A$4:$A$23,MOTIVO!$B$4:$B$23))</f>
        <v/>
      </c>
    </row>
    <row r="13" ht="24" customHeight="1" s="107">
      <c r="A13" s="198" t="inlineStr">
        <is>
          <t>Brócolis</t>
        </is>
      </c>
      <c r="B13" s="194">
        <f>'Entrada de Dados'!J222</f>
        <v/>
      </c>
      <c r="C13" s="194">
        <f>'Entrada de Dados'!J248</f>
        <v/>
      </c>
      <c r="D13" s="195" t="n"/>
      <c r="E13" s="194">
        <f>'Entrada de Dados'!J2-3.67</f>
        <v/>
      </c>
      <c r="F13" s="194">
        <f>(C13-D13)*E13</f>
        <v/>
      </c>
      <c r="G13" s="196" t="n"/>
      <c r="H13" s="197">
        <f>IF(G13="","",LOOKUP(G13,MOTIVO!$A$4:$A$23,MOTIVO!$B$4:$B$23))</f>
        <v/>
      </c>
    </row>
    <row r="14" ht="24" customHeight="1" s="107">
      <c r="A14" s="193" t="inlineStr">
        <is>
          <t>Cenoura</t>
        </is>
      </c>
      <c r="B14" s="194">
        <f>'Entrada de Dados'!K222</f>
        <v/>
      </c>
      <c r="C14" s="194">
        <f>'Entrada de Dados'!K248</f>
        <v/>
      </c>
      <c r="D14" s="195" t="n"/>
      <c r="E14" s="194">
        <f>'Entrada de Dados'!K2-3.67</f>
        <v/>
      </c>
      <c r="F14" s="194">
        <f>(C14-D14)*E14</f>
        <v/>
      </c>
      <c r="G14" s="196" t="n"/>
      <c r="H14" s="197">
        <f>IF(G14="","",LOOKUP(G14,MOTIVO!$A$4:$A$23,MOTIVO!$B$4:$B$23))</f>
        <v/>
      </c>
    </row>
    <row r="15" ht="24" customHeight="1" s="107">
      <c r="A15" s="198" t="inlineStr">
        <is>
          <t>Cheiro verde</t>
        </is>
      </c>
      <c r="B15" s="194">
        <f>'Entrada de Dados'!L222</f>
        <v/>
      </c>
      <c r="C15" s="194">
        <f>'Entrada de Dados'!L248</f>
        <v/>
      </c>
      <c r="D15" s="195" t="n"/>
      <c r="E15" s="194">
        <f>'Entrada de Dados'!L2-3.67</f>
        <v/>
      </c>
      <c r="F15" s="194">
        <f>(C15-D15)*E15</f>
        <v/>
      </c>
      <c r="G15" s="196" t="n"/>
      <c r="H15" s="197">
        <f>IF(G15="","",LOOKUP(G15,MOTIVO!$A$4:$A$23,MOTIVO!$B$4:$B$23))</f>
        <v/>
      </c>
    </row>
    <row r="16" ht="24" customHeight="1" s="107">
      <c r="A16" s="193" t="inlineStr">
        <is>
          <t>Chuchu</t>
        </is>
      </c>
      <c r="B16" s="194">
        <f>'Entrada de Dados'!M222</f>
        <v/>
      </c>
      <c r="C16" s="194">
        <f>'Entrada de Dados'!M248</f>
        <v/>
      </c>
      <c r="D16" s="195" t="n"/>
      <c r="E16" s="194">
        <f>'Entrada de Dados'!M2-3.67</f>
        <v/>
      </c>
      <c r="F16" s="194">
        <f>(C16-D16)*E16</f>
        <v/>
      </c>
      <c r="G16" s="196" t="n"/>
      <c r="H16" s="197">
        <f>IF(G16="","",LOOKUP(G16,MOTIVO!$A$4:$A$23,MOTIVO!$B$4:$B$23))</f>
        <v/>
      </c>
    </row>
    <row r="17" ht="24" customHeight="1" s="107">
      <c r="A17" s="198" t="inlineStr">
        <is>
          <t>Couve manteiga</t>
        </is>
      </c>
      <c r="B17" s="194">
        <f>'Entrada de Dados'!N222</f>
        <v/>
      </c>
      <c r="C17" s="194">
        <f>'Entrada de Dados'!N248</f>
        <v/>
      </c>
      <c r="D17" s="195" t="n"/>
      <c r="E17" s="194">
        <f>'Entrada de Dados'!N2-3.67</f>
        <v/>
      </c>
      <c r="F17" s="194">
        <f>(C17-D17)*E17</f>
        <v/>
      </c>
      <c r="G17" s="196" t="n"/>
      <c r="H17" s="197">
        <f>IF(G17="","",LOOKUP(G17,MOTIVO!$A$4:$A$23,MOTIVO!$B$4:$B$23))</f>
        <v/>
      </c>
    </row>
    <row r="18" ht="24" customHeight="1" s="107">
      <c r="A18" s="193" t="inlineStr">
        <is>
          <t>Couve-flor</t>
        </is>
      </c>
      <c r="B18" s="194">
        <f>'Entrada de Dados'!O222</f>
        <v/>
      </c>
      <c r="C18" s="194">
        <f>'Entrada de Dados'!O248</f>
        <v/>
      </c>
      <c r="D18" s="195" t="n"/>
      <c r="E18" s="194">
        <f>'Entrada de Dados'!O2-3.67</f>
        <v/>
      </c>
      <c r="F18" s="194">
        <f>(C18-D18)*E18</f>
        <v/>
      </c>
      <c r="G18" s="196" t="n"/>
      <c r="H18" s="197">
        <f>IF(G18="","",LOOKUP(G18,MOTIVO!$A$4:$A$23,MOTIVO!$B$4:$B$23))</f>
        <v/>
      </c>
    </row>
    <row r="19" ht="24" customHeight="1" s="107">
      <c r="A19" s="198" t="inlineStr">
        <is>
          <t>Espinafre</t>
        </is>
      </c>
      <c r="B19" s="194">
        <f>'Entrada de Dados'!P222</f>
        <v/>
      </c>
      <c r="C19" s="194">
        <f>'Entrada de Dados'!P248</f>
        <v/>
      </c>
      <c r="D19" s="195" t="n"/>
      <c r="E19" s="194">
        <f>'Entrada de Dados'!P2-3.67</f>
        <v/>
      </c>
      <c r="F19" s="194">
        <f>(C19-D19)*E19</f>
        <v/>
      </c>
      <c r="G19" s="196" t="n"/>
      <c r="H19" s="197">
        <f>IF(G19="","",LOOKUP(G19,MOTIVO!$A$4:$A$23,MOTIVO!$B$4:$B$23))</f>
        <v/>
      </c>
    </row>
    <row r="20" ht="24" customHeight="1" s="107">
      <c r="A20" s="193" t="inlineStr">
        <is>
          <t>Maçã gala</t>
        </is>
      </c>
      <c r="B20" s="194">
        <f>'Entrada de Dados'!Q222</f>
        <v/>
      </c>
      <c r="C20" s="194">
        <f>'Entrada de Dados'!Q248</f>
        <v/>
      </c>
      <c r="D20" s="195" t="n"/>
      <c r="E20" s="194">
        <f>'Entrada de Dados'!Q2-3.67</f>
        <v/>
      </c>
      <c r="F20" s="194">
        <f>(C20-D20)*E20</f>
        <v/>
      </c>
      <c r="G20" s="196" t="n"/>
      <c r="H20" s="197">
        <f>IF(G20="","",LOOKUP(G20,MOTIVO!$A$4:$A$23,MOTIVO!$B$4:$B$23))</f>
        <v/>
      </c>
    </row>
    <row r="21" ht="24" customHeight="1" s="107">
      <c r="A21" s="198" t="inlineStr">
        <is>
          <t>Mel</t>
        </is>
      </c>
      <c r="B21" s="194">
        <f>'Entrada de Dados'!R222</f>
        <v/>
      </c>
      <c r="C21" s="194">
        <f>'Entrada de Dados'!R248</f>
        <v/>
      </c>
      <c r="D21" s="195" t="n"/>
      <c r="E21" s="194">
        <f>'Entrada de Dados'!R2-3.67</f>
        <v/>
      </c>
      <c r="F21" s="194">
        <f>(C21-D21)*E21</f>
        <v/>
      </c>
      <c r="G21" s="196" t="n"/>
      <c r="H21" s="197">
        <f>IF(G21="","",LOOKUP(G21,MOTIVO!$A$4:$A$23,MOTIVO!$B$4:$B$23))</f>
        <v/>
      </c>
    </row>
    <row r="22" ht="24" customHeight="1" s="107">
      <c r="A22" s="193" t="inlineStr">
        <is>
          <t>Ovos (dz)</t>
        </is>
      </c>
      <c r="B22" s="194">
        <f>'Entrada de Dados'!S222</f>
        <v/>
      </c>
      <c r="C22" s="194">
        <f>'Entrada de Dados'!S248</f>
        <v/>
      </c>
      <c r="D22" s="195" t="n"/>
      <c r="E22" s="194">
        <f>'Entrada de Dados'!S2-3.67</f>
        <v/>
      </c>
      <c r="F22" s="194">
        <f>(C22-D22)*E22</f>
        <v/>
      </c>
      <c r="G22" s="196" t="n"/>
      <c r="H22" s="197">
        <f>IF(G22="","",LOOKUP(G22,MOTIVO!$A$4:$A$23,MOTIVO!$B$4:$B$23))</f>
        <v/>
      </c>
    </row>
    <row r="23" ht="24" customHeight="1" s="107">
      <c r="A23" s="198" t="inlineStr">
        <is>
          <t>Repolho</t>
        </is>
      </c>
      <c r="B23" s="194">
        <f>'Entrada de Dados'!T222</f>
        <v/>
      </c>
      <c r="C23" s="194">
        <f>'Entrada de Dados'!T248</f>
        <v/>
      </c>
      <c r="D23" s="195" t="n"/>
      <c r="E23" s="194">
        <f>'Entrada de Dados'!T2-3.67</f>
        <v/>
      </c>
      <c r="F23" s="194">
        <f>(C23-D23)*E23</f>
        <v/>
      </c>
      <c r="G23" s="196" t="n"/>
      <c r="H23" s="197">
        <f>IF(G23="","",LOOKUP(G23,MOTIVO!$A$4:$A$23,MOTIVO!$B$4:$B$23))</f>
        <v/>
      </c>
    </row>
    <row r="24" ht="24" customHeight="1" s="107">
      <c r="A24" s="193" t="inlineStr">
        <is>
          <t>Tangerina ponkan</t>
        </is>
      </c>
      <c r="B24" s="194">
        <f>'Entrada de Dados'!U222</f>
        <v/>
      </c>
      <c r="C24" s="194">
        <f>'Entrada de Dados'!U248</f>
        <v/>
      </c>
      <c r="D24" s="195" t="n"/>
      <c r="E24" s="194">
        <f>'Entrada de Dados'!U2-3.67</f>
        <v/>
      </c>
      <c r="F24" s="194">
        <f>(C24-D24)*E24</f>
        <v/>
      </c>
      <c r="G24" s="196" t="n"/>
      <c r="H24" s="197">
        <f>IF(G24="","",LOOKUP(G24,MOTIVO!$A$4:$A$23,MOTIVO!$B$4:$B$23))</f>
        <v/>
      </c>
    </row>
    <row r="25" ht="24" customHeight="1" s="107">
      <c r="A25" s="199" t="n"/>
      <c r="B25" s="199" t="n"/>
      <c r="C25" s="199" t="n"/>
      <c r="D25" s="200" t="inlineStr">
        <is>
          <t>TOTAL A PAGAR</t>
        </is>
      </c>
      <c r="E25" s="201" t="n"/>
      <c r="F25" s="201">
        <f>SUM(F6:F24)</f>
        <v/>
      </c>
      <c r="G25" s="202" t="n"/>
      <c r="H25" s="202" t="n"/>
    </row>
    <row r="26" ht="24" customHeight="1" s="107">
      <c r="A26" s="202" t="n"/>
      <c r="B26" s="202" t="n"/>
      <c r="C26" s="202" t="n"/>
      <c r="D26" s="202" t="n"/>
      <c r="E26" s="202" t="n"/>
      <c r="F26" s="202" t="n"/>
      <c r="G26" s="202" t="n"/>
      <c r="H26" s="202" t="n"/>
    </row>
    <row r="27" ht="15" customHeight="1" s="107">
      <c r="A27" s="10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C5:C24">
    <filterColumn colId="0" hiddenButton="1" showButton="1"/>
    <filterColumn colId="1" hiddenButton="1" showButton="1"/>
    <filterColumn colId="2" hiddenButton="1" showButton="1"/>
  </autoFilter>
  <mergeCells count="4">
    <mergeCell ref="A1:E1"/>
    <mergeCell ref="B3:E3"/>
    <mergeCell ref="B2:E2"/>
    <mergeCell ref="A27:E27"/>
  </mergeCells>
  <dataValidations count="1">
    <dataValidation sqref="D6:D24" showDropDown="0" showInputMessage="0" showErrorMessage="1" allowBlank="0" errorTitle="Devolução maior que a entrega" error="A devolução não pode ser maior do que a quantidade entregue. Confira o valor digitado." type="custom" errorStyle="stop">
      <formula1>D6&lt;=C6</formula1>
    </dataValidation>
  </dataValidations>
  <printOptions horizontalCentered="0" verticalCentered="0" headings="0" gridLines="0" gridLinesSet="1"/>
  <pageMargins left="0.5" right="0.5" top="0.9" bottom="0.6" header="0.4" footer="0.511811023622047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&amp;C&amp;"Cambria,Bold"&amp;16 &amp;K2e7d32COOPERATIVA DOS PRODUTORES RURAIS DE PETRÓPOLIS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0" customWidth="1" style="106" min="1" max="4"/>
  </cols>
  <sheetData>
    <row r="1" ht="15" customHeight="1" s="107">
      <c r="A1" s="208" t="inlineStr">
        <is>
          <t>PRODUTO</t>
        </is>
      </c>
      <c r="B1" s="208" t="inlineStr">
        <is>
          <t>TOTAL ENTREGUE (KG)</t>
        </is>
      </c>
    </row>
    <row r="2" ht="15" customHeight="1" s="107">
      <c r="A2" s="209" t="inlineStr">
        <is>
          <t>Abacate</t>
        </is>
      </c>
      <c r="B2" s="210">
        <f>'Entrada de Dados'!C252</f>
        <v/>
      </c>
    </row>
    <row r="3" ht="15" customHeight="1" s="107">
      <c r="A3" s="211" t="inlineStr">
        <is>
          <t>Abobrinha</t>
        </is>
      </c>
      <c r="B3" s="212">
        <f>'Entrada de Dados'!D252</f>
        <v/>
      </c>
    </row>
    <row r="4" ht="15" customHeight="1" s="107">
      <c r="A4" s="209" t="inlineStr">
        <is>
          <t>Agrião</t>
        </is>
      </c>
      <c r="B4" s="210">
        <f>'Entrada de Dados'!E252</f>
        <v/>
      </c>
    </row>
    <row r="5" ht="15" customHeight="1" s="107">
      <c r="A5" s="211" t="inlineStr">
        <is>
          <t>Alface lisa</t>
        </is>
      </c>
      <c r="B5" s="212">
        <f>'Entrada de Dados'!F252</f>
        <v/>
      </c>
    </row>
    <row r="6" ht="15" customHeight="1" s="107">
      <c r="A6" s="209" t="inlineStr">
        <is>
          <t>Banana prata</t>
        </is>
      </c>
      <c r="B6" s="210">
        <f>'Entrada de Dados'!G252</f>
        <v/>
      </c>
    </row>
    <row r="7" ht="15" customHeight="1" s="107">
      <c r="A7" s="211" t="inlineStr">
        <is>
          <t>Batata inglesa</t>
        </is>
      </c>
      <c r="B7" s="212">
        <f>'Entrada de Dados'!H252</f>
        <v/>
      </c>
    </row>
    <row r="8" ht="15" customHeight="1" s="107">
      <c r="A8" s="209" t="inlineStr">
        <is>
          <t>Beterraba</t>
        </is>
      </c>
      <c r="B8" s="210">
        <f>'Entrada de Dados'!I252</f>
        <v/>
      </c>
    </row>
    <row r="9" ht="15" customHeight="1" s="107">
      <c r="A9" s="211" t="inlineStr">
        <is>
          <t>Brócolis</t>
        </is>
      </c>
      <c r="B9" s="212">
        <f>'Entrada de Dados'!J252</f>
        <v/>
      </c>
    </row>
    <row r="10" ht="15" customHeight="1" s="107">
      <c r="A10" s="209" t="inlineStr">
        <is>
          <t>Cenoura</t>
        </is>
      </c>
      <c r="B10" s="210">
        <f>'Entrada de Dados'!K252</f>
        <v/>
      </c>
    </row>
    <row r="11" ht="15" customHeight="1" s="107">
      <c r="A11" s="211" t="inlineStr">
        <is>
          <t>Cheiro verde</t>
        </is>
      </c>
      <c r="B11" s="212">
        <f>'Entrada de Dados'!L252</f>
        <v/>
      </c>
    </row>
    <row r="12" ht="15" customHeight="1" s="107">
      <c r="A12" s="209" t="inlineStr">
        <is>
          <t>Chuchu</t>
        </is>
      </c>
      <c r="B12" s="210">
        <f>'Entrada de Dados'!M252</f>
        <v/>
      </c>
    </row>
    <row r="13" ht="15" customHeight="1" s="107">
      <c r="A13" s="211" t="inlineStr">
        <is>
          <t>Couve manteiga</t>
        </is>
      </c>
      <c r="B13" s="212">
        <f>'Entrada de Dados'!N252</f>
        <v/>
      </c>
    </row>
    <row r="14" ht="15" customHeight="1" s="107">
      <c r="A14" s="209" t="inlineStr">
        <is>
          <t>Couve-flor</t>
        </is>
      </c>
      <c r="B14" s="210">
        <f>'Entrada de Dados'!O252</f>
        <v/>
      </c>
    </row>
    <row r="15" ht="15" customHeight="1" s="107">
      <c r="A15" s="211" t="inlineStr">
        <is>
          <t>Espinafre</t>
        </is>
      </c>
      <c r="B15" s="212">
        <f>'Entrada de Dados'!P252</f>
        <v/>
      </c>
    </row>
    <row r="16" ht="15" customHeight="1" s="107">
      <c r="A16" s="209" t="inlineStr">
        <is>
          <t>Maçã gala</t>
        </is>
      </c>
      <c r="B16" s="210">
        <f>'Entrada de Dados'!Q252</f>
        <v/>
      </c>
    </row>
    <row r="17" ht="15" customHeight="1" s="107">
      <c r="A17" s="211" t="inlineStr">
        <is>
          <t>Mel</t>
        </is>
      </c>
      <c r="B17" s="212">
        <f>'Entrada de Dados'!R252</f>
        <v/>
      </c>
    </row>
    <row r="18" ht="15" customHeight="1" s="107">
      <c r="A18" s="209" t="inlineStr">
        <is>
          <t>Ovos (dz)</t>
        </is>
      </c>
      <c r="B18" s="210">
        <f>'Entrada de Dados'!S252</f>
        <v/>
      </c>
    </row>
    <row r="19" ht="15" customHeight="1" s="107">
      <c r="A19" s="211" t="inlineStr">
        <is>
          <t>Repolho</t>
        </is>
      </c>
      <c r="B19" s="212">
        <f>'Entrada de Dados'!T252</f>
        <v/>
      </c>
    </row>
    <row r="20" ht="15" customHeight="1" s="107">
      <c r="A20" s="209" t="inlineStr">
        <is>
          <t>Tangerina ponkan</t>
        </is>
      </c>
      <c r="B20" s="210">
        <f>'Entrada de Dados'!U252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3.xml><?xml version="1.0" encoding="utf-8"?>
<worksheet xmlns="http://schemas.openxmlformats.org/spreadsheetml/2006/main">
  <sheetPr filterMode="0">
    <outlinePr summaryBelow="1" summaryRight="1"/>
    <pageSetUpPr fitToPage="0"/>
  </sheetPr>
  <dimension ref="A1:J19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24" customWidth="1" style="106" min="1" max="1"/>
    <col width="14" customWidth="1" style="106" min="2" max="2"/>
    <col width="36" customWidth="1" style="106" min="4" max="4"/>
    <col width="55" customWidth="1" style="106" min="6" max="6"/>
    <col width="25" customWidth="1" style="106" min="7" max="7"/>
    <col width="12" customWidth="1" style="106" min="8" max="8"/>
    <col width="60" customWidth="1" style="106" min="9" max="9"/>
    <col width="30" customWidth="1" style="106" min="10" max="10"/>
  </cols>
  <sheetData>
    <row r="1" ht="15" customHeight="1" s="107">
      <c r="A1" s="213" t="inlineStr">
        <is>
          <t>PRODUTO</t>
        </is>
      </c>
      <c r="B1" s="213" t="inlineStr">
        <is>
          <t>PREÇO/KG</t>
        </is>
      </c>
      <c r="C1" s="213" t="n"/>
      <c r="D1" s="213" t="inlineStr">
        <is>
          <t>PRODUTOR</t>
        </is>
      </c>
      <c r="E1" s="213" t="n"/>
      <c r="F1" s="213" t="inlineStr">
        <is>
          <t>ESCOLA</t>
        </is>
      </c>
      <c r="G1" s="213" t="inlineStr">
        <is>
          <t>BAIRRO</t>
        </is>
      </c>
      <c r="H1" s="213" t="inlineStr">
        <is>
          <t>CÓDIGO</t>
        </is>
      </c>
      <c r="I1" s="213" t="inlineStr">
        <is>
          <t>ENDEREÇO</t>
        </is>
      </c>
      <c r="J1" s="213" t="inlineStr">
        <is>
          <t>TELEFONE</t>
        </is>
      </c>
    </row>
    <row r="2" ht="15" customHeight="1" s="107">
      <c r="A2" s="106" t="inlineStr">
        <is>
          <t>Abacate</t>
        </is>
      </c>
      <c r="B2" s="214" t="n">
        <v>15.57</v>
      </c>
      <c r="D2" s="106" t="inlineStr">
        <is>
          <t>Ana Claudia Correa Ruas de Souza</t>
        </is>
      </c>
      <c r="F2" s="106" t="inlineStr">
        <is>
          <t>E M ROTARY</t>
        </is>
      </c>
      <c r="G2" s="106" t="inlineStr">
        <is>
          <t>CENTRO</t>
        </is>
      </c>
      <c r="H2" s="106" t="inlineStr">
        <is>
          <t>1021</t>
        </is>
      </c>
      <c r="I2" s="106" t="inlineStr">
        <is>
          <t>RUA BARÃO DO RIO BRANCO, 1967 - CEP 25680-275</t>
        </is>
      </c>
      <c r="J2" s="106" t="inlineStr">
        <is>
          <t>(24) 2244-9148, (24) 98817-7903</t>
        </is>
      </c>
    </row>
    <row r="3" ht="15" customHeight="1" s="107">
      <c r="A3" s="106" t="inlineStr">
        <is>
          <t>Abobrinha</t>
        </is>
      </c>
      <c r="B3" s="214" t="n">
        <v>7.7</v>
      </c>
      <c r="D3" s="106" t="inlineStr">
        <is>
          <t>Anderson de Mello Quimas</t>
        </is>
      </c>
      <c r="F3" s="106" t="inlineStr">
        <is>
          <t>E M DE EDUCAÇÃO ESPECIAL SANTOS DUMONT</t>
        </is>
      </c>
      <c r="G3" s="106" t="inlineStr">
        <is>
          <t>CENTRO</t>
        </is>
      </c>
      <c r="H3" s="106" t="inlineStr">
        <is>
          <t>1023</t>
        </is>
      </c>
      <c r="I3" s="106" t="inlineStr">
        <is>
          <t>RUA MONTECASEROS, 520 - CEP 25685-080</t>
        </is>
      </c>
      <c r="J3" s="106" t="inlineStr">
        <is>
          <t>(24) 2242-5906, (24) 98829-6926</t>
        </is>
      </c>
    </row>
    <row r="4" ht="15" customHeight="1" s="107">
      <c r="A4" s="106" t="inlineStr">
        <is>
          <t>Agrião</t>
        </is>
      </c>
      <c r="B4" s="214" t="n">
        <v>16.94</v>
      </c>
      <c r="D4" s="106" t="inlineStr">
        <is>
          <t>Armando Jose da Silva</t>
        </is>
      </c>
      <c r="F4" s="106" t="inlineStr">
        <is>
          <t>LICEU MUN PREFEITO CORDOLINO AMBROSIO</t>
        </is>
      </c>
      <c r="G4" s="106" t="inlineStr">
        <is>
          <t>CENTRO</t>
        </is>
      </c>
      <c r="H4" s="106" t="inlineStr">
        <is>
          <t>1026</t>
        </is>
      </c>
      <c r="I4" s="106" t="inlineStr">
        <is>
          <t>RUA MONTECASEROS, 240 - CEP 25680-004</t>
        </is>
      </c>
      <c r="J4" s="106" t="inlineStr">
        <is>
          <t>(24) 2017-9500, (24) 2019-2187</t>
        </is>
      </c>
    </row>
    <row r="5" ht="15" customHeight="1" s="107">
      <c r="A5" s="106" t="inlineStr">
        <is>
          <t>Alface lisa</t>
        </is>
      </c>
      <c r="B5" s="214" t="n">
        <v>14.62</v>
      </c>
      <c r="D5" s="106" t="inlineStr">
        <is>
          <t>Arnaldo da Silva</t>
        </is>
      </c>
      <c r="F5" s="106" t="inlineStr">
        <is>
          <t>E M PREFEITO JAMIL SABRÁ</t>
        </is>
      </c>
      <c r="G5" s="106" t="inlineStr">
        <is>
          <t>CENTRO</t>
        </is>
      </c>
      <c r="H5" s="106" t="inlineStr">
        <is>
          <t>1080</t>
        </is>
      </c>
      <c r="I5" s="106" t="inlineStr">
        <is>
          <t>RUA CORONEL VEIGA, 1130 - CEP 25655-171</t>
        </is>
      </c>
      <c r="J5" s="106" t="inlineStr">
        <is>
          <t>(24) 2019-0494</t>
        </is>
      </c>
    </row>
    <row r="6" ht="15" customHeight="1" s="107">
      <c r="A6" s="106" t="inlineStr">
        <is>
          <t>Banana prata</t>
        </is>
      </c>
      <c r="B6" s="214" t="n">
        <v>12.05</v>
      </c>
      <c r="D6" s="106" t="inlineStr">
        <is>
          <t>Claudeni Rodrigues Xavier</t>
        </is>
      </c>
      <c r="F6" s="106" t="inlineStr">
        <is>
          <t>LICEU MUNICIPAL CARLOS CHAGAS FILHO</t>
        </is>
      </c>
      <c r="G6" s="106" t="inlineStr">
        <is>
          <t>CENTRO</t>
        </is>
      </c>
      <c r="H6" s="106" t="inlineStr">
        <is>
          <t>1081</t>
        </is>
      </c>
      <c r="I6" s="106" t="inlineStr">
        <is>
          <t>RUA BARÃO DO RIO BRANCO, 2053 - CEP 25680-275</t>
        </is>
      </c>
      <c r="J6" s="106" t="inlineStr">
        <is>
          <t>(24) 2242-1062</t>
        </is>
      </c>
    </row>
    <row r="7" ht="15" customHeight="1" s="107">
      <c r="A7" s="106" t="inlineStr">
        <is>
          <t>Batata inglesa</t>
        </is>
      </c>
      <c r="B7" s="214" t="n">
        <v>11.59</v>
      </c>
      <c r="D7" s="106" t="inlineStr">
        <is>
          <t>Edson Jose da Silva</t>
        </is>
      </c>
      <c r="F7" s="106" t="inlineStr">
        <is>
          <t>E M PAULO FREIRE</t>
        </is>
      </c>
      <c r="G7" s="106" t="inlineStr">
        <is>
          <t>CENTRO</t>
        </is>
      </c>
      <c r="H7" s="106" t="inlineStr">
        <is>
          <t>1108</t>
        </is>
      </c>
      <c r="I7" s="106" t="inlineStr">
        <is>
          <t>RUA BUARQUE DE MACEDO, 53 - CEP 25625-290</t>
        </is>
      </c>
      <c r="J7" s="106" t="inlineStr">
        <is>
          <t>(24) 2246-1790, (24) 99258-1541</t>
        </is>
      </c>
    </row>
    <row r="8" ht="15" customHeight="1" s="107">
      <c r="A8" s="106" t="inlineStr">
        <is>
          <t>Beterraba</t>
        </is>
      </c>
      <c r="B8" s="214" t="n">
        <v>9.869999999999999</v>
      </c>
      <c r="D8" s="106" t="inlineStr">
        <is>
          <t>Gabriel Adriano de Souza</t>
        </is>
      </c>
      <c r="F8" s="106" t="inlineStr">
        <is>
          <t>E M PROFª MARIA CAMPOS DA SILVA</t>
        </is>
      </c>
      <c r="G8" s="106" t="inlineStr">
        <is>
          <t>CENTRO</t>
        </is>
      </c>
      <c r="H8" s="106" t="inlineStr">
        <is>
          <t>1109</t>
        </is>
      </c>
      <c r="I8" s="106" t="inlineStr">
        <is>
          <t>RUA BUENOS AIRES, 108 - CEP 25610-141</t>
        </is>
      </c>
      <c r="J8" s="106" t="inlineStr">
        <is>
          <t>(24) 2246-8649, (24) 2231-6398</t>
        </is>
      </c>
    </row>
    <row r="9" ht="15" customHeight="1" s="107">
      <c r="A9" s="106" t="inlineStr">
        <is>
          <t>Brócolis</t>
        </is>
      </c>
      <c r="B9" s="214" t="n">
        <v>13.67</v>
      </c>
      <c r="D9" s="106" t="inlineStr">
        <is>
          <t>Gustavo de Mello Rodrigues</t>
        </is>
      </c>
      <c r="F9" s="106" t="inlineStr">
        <is>
          <t>CASA DA EDUCAÇÃO VISCONDE DE MAUÁ</t>
        </is>
      </c>
      <c r="G9" s="106" t="inlineStr">
        <is>
          <t>CENTRO</t>
        </is>
      </c>
      <c r="H9" s="106" t="inlineStr">
        <is>
          <t>1114</t>
        </is>
      </c>
      <c r="I9" s="106" t="inlineStr">
        <is>
          <t>RUA BARÃO DO RIO BRANCO, 3 - CEP 25680-150</t>
        </is>
      </c>
      <c r="J9" s="106" t="inlineStr">
        <is>
          <t>(24) 2246-8661, (24) 2291-3799</t>
        </is>
      </c>
    </row>
    <row r="10" ht="15" customHeight="1" s="107">
      <c r="A10" s="106" t="inlineStr">
        <is>
          <t>Cenoura</t>
        </is>
      </c>
      <c r="B10" s="214" t="n">
        <v>10.2</v>
      </c>
      <c r="D10" s="106" t="inlineStr">
        <is>
          <t>Joaquim Sergio Lage</t>
        </is>
      </c>
      <c r="F10" s="106" t="inlineStr">
        <is>
          <t>CENTRO DE REFERÊNCIA EM EDUCAÇÃO INCLUSIVA JOÃO PEDRO DE SOUZA ROSA</t>
        </is>
      </c>
      <c r="G10" s="106" t="inlineStr">
        <is>
          <t>CENTRO</t>
        </is>
      </c>
      <c r="H10" s="106" t="inlineStr">
        <is>
          <t>1115</t>
        </is>
      </c>
      <c r="I10" s="106" t="inlineStr">
        <is>
          <t>RUA BUENOS AIRES, 155 - CEP 25685-350</t>
        </is>
      </c>
      <c r="J10" s="106" t="inlineStr">
        <is>
          <t>(24) 2242-9531, (24) 2246-3169</t>
        </is>
      </c>
    </row>
    <row r="11" ht="15" customHeight="1" s="107">
      <c r="A11" s="106" t="inlineStr">
        <is>
          <t>Cheiro verde</t>
        </is>
      </c>
      <c r="B11" s="214" t="n">
        <v>25.1</v>
      </c>
      <c r="D11" s="106" t="inlineStr">
        <is>
          <t>Jorge Gabriel Pereira Diniz</t>
        </is>
      </c>
      <c r="F11" s="106" t="inlineStr">
        <is>
          <t>ESCOLA SANTA LUIZA DE MARILLAC</t>
        </is>
      </c>
      <c r="G11" s="106" t="inlineStr">
        <is>
          <t>CENTRO</t>
        </is>
      </c>
      <c r="H11" s="106" t="inlineStr">
        <is>
          <t>1120</t>
        </is>
      </c>
      <c r="I11" s="106" t="inlineStr">
        <is>
          <t>RUA BUENOS AIRES, 71 - CEP 25610-141</t>
        </is>
      </c>
      <c r="J11" s="106" t="inlineStr">
        <is>
          <t>(24) 2244-9546</t>
        </is>
      </c>
    </row>
    <row r="12" ht="15" customHeight="1" s="107">
      <c r="A12" s="106" t="inlineStr">
        <is>
          <t>Chuchu</t>
        </is>
      </c>
      <c r="B12" s="214" t="n">
        <v>8.56</v>
      </c>
      <c r="D12" s="106" t="inlineStr">
        <is>
          <t>Jose Gilmar Santana de Mello</t>
        </is>
      </c>
      <c r="F12" s="106" t="inlineStr">
        <is>
          <t>ESCOLA DOMÉSTICA NOSSA SENHORA DO AMPARO</t>
        </is>
      </c>
      <c r="G12" s="106" t="inlineStr">
        <is>
          <t>CENTRO</t>
        </is>
      </c>
      <c r="H12" s="106" t="inlineStr">
        <is>
          <t>2010</t>
        </is>
      </c>
      <c r="I12" s="106" t="inlineStr">
        <is>
          <t>AVENIDA ROBERTO SILVEIRA, 150 - CEP 25685-040</t>
        </is>
      </c>
      <c r="J12" s="106" t="inlineStr">
        <is>
          <t>(24) 2242-0868</t>
        </is>
      </c>
    </row>
    <row r="13" ht="15" customHeight="1" s="107">
      <c r="A13" s="106" t="inlineStr">
        <is>
          <t>Couve manteiga</t>
        </is>
      </c>
      <c r="B13" s="214" t="n">
        <v>14.6</v>
      </c>
      <c r="D13" s="106" t="inlineStr">
        <is>
          <t>Jose Rodrigues de Melo</t>
        </is>
      </c>
      <c r="F13" s="106" t="inlineStr">
        <is>
          <t>ESCOLA MONSENHOR GENTIL</t>
        </is>
      </c>
      <c r="G13" s="106" t="inlineStr">
        <is>
          <t>CENTRO</t>
        </is>
      </c>
      <c r="H13" s="106" t="inlineStr">
        <is>
          <t>2014</t>
        </is>
      </c>
      <c r="I13" s="106" t="inlineStr">
        <is>
          <t>RUA MARECHAL FLORIANO PEIXOTO, S/N - CEP 25610-970</t>
        </is>
      </c>
      <c r="J13" s="106" t="inlineStr">
        <is>
          <t>(24) 2244-9156</t>
        </is>
      </c>
    </row>
    <row r="14" ht="15" customHeight="1" s="107">
      <c r="A14" s="106" t="inlineStr">
        <is>
          <t>Couve-flor</t>
        </is>
      </c>
      <c r="B14" s="214" t="n">
        <v>19.11</v>
      </c>
      <c r="D14" s="106" t="inlineStr">
        <is>
          <t>Lucio Mauro Felix da Silva</t>
        </is>
      </c>
      <c r="F14" s="106" t="inlineStr">
        <is>
          <t>ESCOLA PAROQUIAL NOSSA SENHORA DO CARMO</t>
        </is>
      </c>
      <c r="G14" s="106" t="inlineStr">
        <is>
          <t>CENTRO</t>
        </is>
      </c>
      <c r="H14" s="106" t="inlineStr">
        <is>
          <t>2018</t>
        </is>
      </c>
      <c r="I14" s="106" t="inlineStr">
        <is>
          <t>RUA BARÃO DO RIO BRANCO, 2053 - CEP 25680-275</t>
        </is>
      </c>
      <c r="J14" s="106" t="inlineStr">
        <is>
          <t>(24) 2245-6119</t>
        </is>
      </c>
    </row>
    <row r="15" ht="15" customHeight="1" s="107">
      <c r="A15" s="106" t="inlineStr">
        <is>
          <t>Espinafre</t>
        </is>
      </c>
      <c r="B15" s="214" t="n">
        <v>11.22</v>
      </c>
      <c r="D15" s="106" t="inlineStr">
        <is>
          <t>Luiz Ailton de Oliveira Pinto</t>
        </is>
      </c>
      <c r="F15" s="106" t="inlineStr">
        <is>
          <t>ESCOLA PAROQUIAL SÃO PEDRO DE ALCÂNTARA</t>
        </is>
      </c>
      <c r="G15" s="106" t="inlineStr">
        <is>
          <t>CENTRO</t>
        </is>
      </c>
      <c r="H15" s="106" t="inlineStr">
        <is>
          <t>2019</t>
        </is>
      </c>
      <c r="I15" s="106" t="inlineStr">
        <is>
          <t>RUA IPIRANGA, 182 - CEP 25685-250</t>
        </is>
      </c>
      <c r="J15" s="106" t="inlineStr">
        <is>
          <t>(24) 2245-6599</t>
        </is>
      </c>
    </row>
    <row r="16" ht="15" customHeight="1" s="107">
      <c r="A16" s="106" t="inlineStr">
        <is>
          <t>Maçã gala</t>
        </is>
      </c>
      <c r="B16" s="214" t="n">
        <v>16.63</v>
      </c>
      <c r="D16" s="106" t="inlineStr">
        <is>
          <t>Marcelo Marcos Delgado</t>
        </is>
      </c>
      <c r="F16" s="106" t="inlineStr">
        <is>
          <t>CEI TERRA SANTA</t>
        </is>
      </c>
      <c r="G16" s="106" t="inlineStr">
        <is>
          <t>CENTRO</t>
        </is>
      </c>
      <c r="H16" s="106" t="inlineStr">
        <is>
          <t>3037</t>
        </is>
      </c>
      <c r="I16" s="106" t="inlineStr">
        <is>
          <t>RUA MONSENHOR BACELAR, 590 - CEP 25685-113</t>
        </is>
      </c>
      <c r="J16" s="106" t="inlineStr">
        <is>
          <t>(24) 2231-1403, (24) 98854-7557</t>
        </is>
      </c>
    </row>
    <row r="17" ht="15" customHeight="1" s="107">
      <c r="A17" s="106" t="inlineStr">
        <is>
          <t>Mel</t>
        </is>
      </c>
      <c r="B17" s="214" t="n">
        <v>65.68000000000001</v>
      </c>
      <c r="D17" s="106" t="inlineStr">
        <is>
          <t>Marcio Azevedo de Souza</t>
        </is>
      </c>
      <c r="F17" s="106" t="inlineStr">
        <is>
          <t>CEI PRIMEIRA INFÂNCIA</t>
        </is>
      </c>
      <c r="G17" s="106" t="inlineStr">
        <is>
          <t>CENTRO</t>
        </is>
      </c>
      <c r="H17" s="106" t="inlineStr">
        <is>
          <t>3052</t>
        </is>
      </c>
      <c r="I17" s="106" t="inlineStr">
        <is>
          <t>RUA BUARQUE DE MACEDO, 63 - CEP 25625-290</t>
        </is>
      </c>
      <c r="J17" s="106" t="inlineStr">
        <is>
          <t>(24) 2244-7492</t>
        </is>
      </c>
    </row>
    <row r="18" ht="15" customHeight="1" s="107">
      <c r="A18" s="106" t="inlineStr">
        <is>
          <t>Ovos</t>
        </is>
      </c>
      <c r="B18" s="214" t="n">
        <v>15.45</v>
      </c>
      <c r="D18" s="106" t="inlineStr">
        <is>
          <t>Marco Antonio Coelho</t>
        </is>
      </c>
      <c r="F18" s="106" t="inlineStr">
        <is>
          <t>CEI PROFª PATRÍCIA FERREIRA E SILVA FREITAS</t>
        </is>
      </c>
      <c r="G18" s="106" t="inlineStr">
        <is>
          <t>CENTRO</t>
        </is>
      </c>
      <c r="H18" s="106" t="inlineStr">
        <is>
          <t>3054</t>
        </is>
      </c>
      <c r="I18" s="106" t="inlineStr">
        <is>
          <t>CASIMIRO DE ABREU, 26 - CEP 25615-002</t>
        </is>
      </c>
      <c r="J18" s="106" t="inlineStr">
        <is>
          <t>(24) 2243-7762, (24) 2019-0962</t>
        </is>
      </c>
    </row>
    <row r="19" ht="15" customHeight="1" s="107">
      <c r="A19" s="106" t="inlineStr">
        <is>
          <t>Repolho</t>
        </is>
      </c>
      <c r="B19" s="214" t="n">
        <v>10.24</v>
      </c>
      <c r="D19" s="106" t="inlineStr">
        <is>
          <t>Marcos Marcelo Delgado</t>
        </is>
      </c>
      <c r="F19" s="106" t="inlineStr">
        <is>
          <t>CEI DRA ZILDA ARNS NEUMANN</t>
        </is>
      </c>
      <c r="G19" s="106" t="inlineStr">
        <is>
          <t>CENTRO</t>
        </is>
      </c>
      <c r="H19" s="106" t="inlineStr">
        <is>
          <t>3055</t>
        </is>
      </c>
      <c r="I19" s="106" t="inlineStr">
        <is>
          <t>SANTOS DUMONT, 786 - CEP 25625-090</t>
        </is>
      </c>
      <c r="J19" s="106" t="inlineStr">
        <is>
          <t>(24) 2245-6869</t>
        </is>
      </c>
    </row>
    <row r="20" ht="15" customHeight="1" s="107">
      <c r="A20" s="106" t="inlineStr">
        <is>
          <t>Tangerina ponkan</t>
        </is>
      </c>
      <c r="B20" s="214" t="n">
        <v>13.55</v>
      </c>
      <c r="D20" s="106" t="inlineStr">
        <is>
          <t>Miguel Fernando de Almeida</t>
        </is>
      </c>
      <c r="F20" s="106" t="inlineStr">
        <is>
          <t>CENTRO DE EDUCAÇÃO INFANTIL PROFESSORA TINA GRAZINOLI</t>
        </is>
      </c>
      <c r="G20" s="106" t="inlineStr">
        <is>
          <t>CENTRO</t>
        </is>
      </c>
      <c r="H20" s="106" t="inlineStr">
        <is>
          <t>3066</t>
        </is>
      </c>
      <c r="I20" s="106" t="inlineStr">
        <is>
          <t>RUA VISCONDE DO BOM RETIRO, 165 - CEP 25625-023</t>
        </is>
      </c>
      <c r="J20" s="106" t="inlineStr">
        <is>
          <t>(24) 2246-3494</t>
        </is>
      </c>
    </row>
    <row r="21" ht="15" customHeight="1" s="107">
      <c r="D21" s="106" t="inlineStr">
        <is>
          <t>Nilson Ferreira da Silva</t>
        </is>
      </c>
      <c r="F21" s="106" t="inlineStr">
        <is>
          <t>CEI MONSENHOR PAULO ELIAS DAHER CHÉDIER</t>
        </is>
      </c>
      <c r="G21" s="106" t="inlineStr">
        <is>
          <t>CENTRO</t>
        </is>
      </c>
      <c r="H21" s="106" t="inlineStr">
        <is>
          <t>3068</t>
        </is>
      </c>
      <c r="I21" s="106" t="inlineStr">
        <is>
          <t>RUA BENJAMIN CONSTANT, 272 - CEP 25610-130</t>
        </is>
      </c>
      <c r="J21" s="106" t="inlineStr">
        <is>
          <t>(24) 2020-9441, (24) 99974-9662</t>
        </is>
      </c>
    </row>
    <row r="22" ht="15" customHeight="1" s="107">
      <c r="D22" s="106" t="inlineStr">
        <is>
          <t>Renato Jose da Silva</t>
        </is>
      </c>
      <c r="F22" s="106" t="inlineStr">
        <is>
          <t>COLÉGIO GUNNAR VINGREN DE PETRÓPOLIS</t>
        </is>
      </c>
      <c r="G22" s="106" t="inlineStr">
        <is>
          <t>VALPARAÍSO</t>
        </is>
      </c>
      <c r="H22" s="106" t="inlineStr">
        <is>
          <t>1117</t>
        </is>
      </c>
      <c r="I22" s="106" t="inlineStr">
        <is>
          <t>RUA PADRE MOREIRA, 65 - CEP 25685-132</t>
        </is>
      </c>
      <c r="J22" s="106" t="inlineStr">
        <is>
          <t>(24) 2249-2781</t>
        </is>
      </c>
    </row>
    <row r="23" ht="15" customHeight="1" s="107">
      <c r="D23" s="106" t="inlineStr">
        <is>
          <t>Rodolfo Azevedo de Andrade</t>
        </is>
      </c>
      <c r="F23" s="106" t="inlineStr">
        <is>
          <t>EDUCANDÁRIO TERRA SANTA</t>
        </is>
      </c>
      <c r="G23" s="106" t="inlineStr">
        <is>
          <t>VALPARAÍSO</t>
        </is>
      </c>
      <c r="H23" s="106" t="inlineStr">
        <is>
          <t>2005</t>
        </is>
      </c>
      <c r="I23" s="106" t="inlineStr">
        <is>
          <t>RUA MONSENHOR BACELAR, 590 - CEP 25685-113</t>
        </is>
      </c>
      <c r="J23" s="106" t="inlineStr">
        <is>
          <t>(24) 2245-3474</t>
        </is>
      </c>
    </row>
    <row r="24" ht="15" customHeight="1" s="107">
      <c r="F24" s="106" t="inlineStr">
        <is>
          <t>CEI LIONS CLUBE DE PETRÓPOLIS</t>
        </is>
      </c>
      <c r="G24" s="106" t="inlineStr">
        <is>
          <t>VALPARAÍSO</t>
        </is>
      </c>
      <c r="H24" s="106" t="inlineStr">
        <is>
          <t>3041</t>
        </is>
      </c>
      <c r="I24" s="106" t="inlineStr">
        <is>
          <t>RUA ROCKFELLER, 243 - CEP 25655-090</t>
        </is>
      </c>
      <c r="J24" s="106" t="inlineStr">
        <is>
          <t>(24) 2243-2886, (24) 98182-7588</t>
        </is>
      </c>
    </row>
    <row r="25" ht="15" customHeight="1" s="107">
      <c r="F25" s="106" t="inlineStr">
        <is>
          <t>ESCOLA PAROQUIAL NOSSA SENHORA DAS GRAÇAS</t>
        </is>
      </c>
      <c r="G25" s="106" t="inlineStr">
        <is>
          <t>QUARTEIRÃO BRASILEIRO</t>
        </is>
      </c>
      <c r="H25" s="106" t="inlineStr">
        <is>
          <t>2017</t>
        </is>
      </c>
      <c r="I25" s="106" t="inlineStr">
        <is>
          <t>RUA PROFESSOR JOÃO DE DEUS, 345 - CEP 25680-192</t>
        </is>
      </c>
      <c r="J25" s="106" t="inlineStr">
        <is>
          <t>(24) 2248-4534, (24) 98847-1980</t>
        </is>
      </c>
    </row>
    <row r="26" ht="15" customHeight="1" s="107">
      <c r="F26" s="106" t="inlineStr">
        <is>
          <t>CENTRO DE EDUCAÇÃO INFANTIL IRMÃ DULCE</t>
        </is>
      </c>
      <c r="G26" s="106" t="inlineStr">
        <is>
          <t>QUARTEIRÃO BRASILEIRO</t>
        </is>
      </c>
      <c r="H26" s="106" t="inlineStr">
        <is>
          <t>3015</t>
        </is>
      </c>
      <c r="I26" s="106" t="inlineStr">
        <is>
          <t>RUA ATÍLIO MAROTTI, 1011 - CEP 25680-290</t>
        </is>
      </c>
      <c r="J26" s="106" t="inlineStr">
        <is>
          <t>(24) 2017-5664</t>
        </is>
      </c>
    </row>
    <row r="27" ht="15" customHeight="1" s="107">
      <c r="F27" s="106" t="inlineStr">
        <is>
          <t>E M LUIZ CARLOS SOARES</t>
        </is>
      </c>
      <c r="G27" s="106" t="inlineStr">
        <is>
          <t>MORIN</t>
        </is>
      </c>
      <c r="H27" s="106" t="inlineStr">
        <is>
          <t>1009</t>
        </is>
      </c>
      <c r="I27" s="106" t="inlineStr">
        <is>
          <t>RUA EUVALDO LODDI, S/N - CEP 25630-110</t>
        </is>
      </c>
      <c r="J27" s="106" t="inlineStr">
        <is>
          <t>(24) 2231-9813</t>
        </is>
      </c>
    </row>
    <row r="28" ht="15" customHeight="1" s="107">
      <c r="F28" s="106" t="inlineStr">
        <is>
          <t>ESCOLA GERMANO VALENTE</t>
        </is>
      </c>
      <c r="G28" s="106" t="inlineStr">
        <is>
          <t>MORIN</t>
        </is>
      </c>
      <c r="H28" s="106" t="inlineStr">
        <is>
          <t>2008</t>
        </is>
      </c>
      <c r="I28" s="106" t="inlineStr">
        <is>
          <t>RUA DR. SÁ EARP, 88 - CEP 25625-073</t>
        </is>
      </c>
      <c r="J28" s="106" t="inlineStr">
        <is>
          <t>(24) 2231-6831, (24) 2242-5196</t>
        </is>
      </c>
    </row>
    <row r="29" ht="15" customHeight="1" s="107">
      <c r="F29" s="106" t="inlineStr">
        <is>
          <t>ESCOLA PAROQUIAL NOSSA SENHORA DA GLÓRIA</t>
        </is>
      </c>
      <c r="G29" s="106" t="inlineStr">
        <is>
          <t>MORIN</t>
        </is>
      </c>
      <c r="H29" s="106" t="inlineStr">
        <is>
          <t>2013</t>
        </is>
      </c>
      <c r="I29" s="106" t="inlineStr">
        <is>
          <t>RUA AUGUSTO SEVERO, - CEP 25630-050</t>
        </is>
      </c>
      <c r="J29" s="106" t="inlineStr">
        <is>
          <t>(24) 2245-8243</t>
        </is>
      </c>
    </row>
    <row r="30" ht="15" customHeight="1" s="107">
      <c r="F30" s="106" t="inlineStr">
        <is>
          <t>CEI JORGE ROLANDO DA SILVA</t>
        </is>
      </c>
      <c r="G30" s="106" t="inlineStr">
        <is>
          <t>MORIN</t>
        </is>
      </c>
      <c r="H30" s="106" t="inlineStr">
        <is>
          <t>3038</t>
        </is>
      </c>
      <c r="I30" s="106" t="inlineStr">
        <is>
          <t>RUA ANÉSIO DE OLIVEIRA, 111 - CEP 25630-080</t>
        </is>
      </c>
      <c r="J30" s="106" t="inlineStr">
        <is>
          <t>(24) 2249-2571, (24) 98803-4864</t>
        </is>
      </c>
    </row>
    <row r="31" ht="15" customHeight="1" s="107">
      <c r="F31" s="106" t="inlineStr">
        <is>
          <t>E M CLEMENTE FERNANDES</t>
        </is>
      </c>
      <c r="G31" s="106" t="inlineStr">
        <is>
          <t>ALTO DA SERRA</t>
        </is>
      </c>
      <c r="H31" s="106" t="inlineStr">
        <is>
          <t>1005</t>
        </is>
      </c>
      <c r="I31" s="106" t="inlineStr">
        <is>
          <t>24 DE MAIO, 517 - CEP 25640-550</t>
        </is>
      </c>
      <c r="J31" s="106" t="inlineStr">
        <is>
          <t>(24) 2246-3970, (24) 99952-1663</t>
        </is>
      </c>
    </row>
    <row r="32" ht="15" customHeight="1" s="107">
      <c r="F32" s="106" t="inlineStr">
        <is>
          <t>E M GERALDO VENTURA DIAS</t>
        </is>
      </c>
      <c r="G32" s="106" t="inlineStr">
        <is>
          <t>ALTO DA SERRA</t>
        </is>
      </c>
      <c r="H32" s="106" t="inlineStr">
        <is>
          <t>1078</t>
        </is>
      </c>
      <c r="I32" s="106" t="inlineStr">
        <is>
          <t>ESTRADA VELHA DA ESTRELA, 3100 - CEP 25635-114</t>
        </is>
      </c>
      <c r="J32" s="106" t="inlineStr">
        <is>
          <t>(24) 2247-6112, (24) 93300-1607</t>
        </is>
      </c>
    </row>
    <row r="33" ht="15" customHeight="1" s="107">
      <c r="F33" s="106" t="inlineStr">
        <is>
          <t>ESCOLA DAS COMUNIDADES SANTO ANTÔNIO</t>
        </is>
      </c>
      <c r="G33" s="106" t="inlineStr">
        <is>
          <t>ALTO DA SERRA</t>
        </is>
      </c>
      <c r="H33" s="106" t="inlineStr">
        <is>
          <t>2009</t>
        </is>
      </c>
      <c r="I33" s="106" t="inlineStr">
        <is>
          <t>RUA CORONEL ALBINO SIQUEIRA, 197 - CEP 25635-130</t>
        </is>
      </c>
      <c r="J33" s="106" t="inlineStr">
        <is>
          <t>(24) 2245-9634, (24) 2242-4802</t>
        </is>
      </c>
    </row>
    <row r="34" ht="15" customHeight="1" s="107">
      <c r="F34" s="106" t="inlineStr">
        <is>
          <t>CEI PROFª ROSANGELA DA SILVA LEONARDO</t>
        </is>
      </c>
      <c r="G34" s="106" t="inlineStr">
        <is>
          <t>ALTO DA SERRA</t>
        </is>
      </c>
      <c r="H34" s="106" t="inlineStr">
        <is>
          <t>3019</t>
        </is>
      </c>
      <c r="I34" s="106" t="inlineStr">
        <is>
          <t>ESTRADA VELHA DA ESTRELA, 3100 - CEP 25635-114</t>
        </is>
      </c>
      <c r="J34" s="106" t="inlineStr">
        <is>
          <t>(24) 98832-2147, (24) 2020-7337</t>
        </is>
      </c>
    </row>
    <row r="35" ht="15" customHeight="1" s="107">
      <c r="F35" s="106" t="inlineStr">
        <is>
          <t>CEI DEISE ELOY GOMES</t>
        </is>
      </c>
      <c r="G35" s="106" t="inlineStr">
        <is>
          <t>ALTO DA SERRA</t>
        </is>
      </c>
      <c r="H35" s="106" t="inlineStr">
        <is>
          <t>3022</t>
        </is>
      </c>
      <c r="I35" s="106" t="inlineStr">
        <is>
          <t>CARMEM DA PONTE MARCOLINO, 823 - CEP 25635-240</t>
        </is>
      </c>
      <c r="J35" s="106" t="inlineStr">
        <is>
          <t>(24) 2243-9459</t>
        </is>
      </c>
    </row>
    <row r="36" ht="15" customHeight="1" s="107">
      <c r="F36" s="106" t="inlineStr">
        <is>
          <t>CEI PROFª SONIA REGINA SCUDESE DESSIMONI PINTO</t>
        </is>
      </c>
      <c r="G36" s="106" t="inlineStr">
        <is>
          <t>ALTO DA SERRA</t>
        </is>
      </c>
      <c r="H36" s="106" t="inlineStr">
        <is>
          <t>3031</t>
        </is>
      </c>
      <c r="I36" s="106" t="inlineStr">
        <is>
          <t>IRINEU CORREA, 48 - CEP 25635-070</t>
        </is>
      </c>
      <c r="J36" s="106" t="inlineStr">
        <is>
          <t>(24) 2019-0860</t>
        </is>
      </c>
    </row>
    <row r="37" ht="15" customHeight="1" s="107">
      <c r="F37" s="106" t="inlineStr">
        <is>
          <t>CEI TIA ALICE</t>
        </is>
      </c>
      <c r="G37" s="106" t="inlineStr">
        <is>
          <t>ALTO DA SERRA</t>
        </is>
      </c>
      <c r="H37" s="106" t="inlineStr">
        <is>
          <t>3036</t>
        </is>
      </c>
      <c r="I37" s="106" t="inlineStr">
        <is>
          <t>RUA CORONEL ALBINO SIQUEIRA, 114 - CEP 25635-130</t>
        </is>
      </c>
      <c r="J37" s="106" t="inlineStr">
        <is>
          <t>(24) 2246-1815, (24) 98801-6690</t>
        </is>
      </c>
    </row>
    <row r="38" ht="15" customHeight="1" s="107">
      <c r="F38" s="106" t="inlineStr">
        <is>
          <t>E M BATAILLARD</t>
        </is>
      </c>
      <c r="G38" s="106" t="inlineStr">
        <is>
          <t>MOSELA</t>
        </is>
      </c>
      <c r="H38" s="106" t="inlineStr">
        <is>
          <t>1003</t>
        </is>
      </c>
      <c r="I38" s="106" t="inlineStr">
        <is>
          <t>RUA BATAILLARD, S/N - CEP 25675-160</t>
        </is>
      </c>
      <c r="J38" s="106" t="inlineStr">
        <is>
          <t>(24) 2248-7603</t>
        </is>
      </c>
    </row>
    <row r="39" ht="15" customHeight="1" s="107">
      <c r="F39" s="106" t="inlineStr">
        <is>
          <t>E M SOROPTIMISTA</t>
        </is>
      </c>
      <c r="G39" s="106" t="inlineStr">
        <is>
          <t>MOSELA</t>
        </is>
      </c>
      <c r="H39" s="106" t="inlineStr">
        <is>
          <t>1024</t>
        </is>
      </c>
      <c r="I39" s="106" t="inlineStr">
        <is>
          <t>TEOFILO JOSE DA SILVA, S/N - CEP 25670-020</t>
        </is>
      </c>
      <c r="J39" s="106" t="inlineStr">
        <is>
          <t>(24) 2246-5708</t>
        </is>
      </c>
    </row>
    <row r="40" ht="15" customHeight="1" s="107">
      <c r="F40" s="106" t="inlineStr">
        <is>
          <t>E M SALVADOR KLING</t>
        </is>
      </c>
      <c r="G40" s="106" t="inlineStr">
        <is>
          <t>MOSELA</t>
        </is>
      </c>
      <c r="H40" s="106" t="inlineStr">
        <is>
          <t>1079</t>
        </is>
      </c>
      <c r="I40" s="106" t="inlineStr">
        <is>
          <t>RUA MOSELA, 995 - CEP 25675-016</t>
        </is>
      </c>
      <c r="J40" s="106" t="inlineStr">
        <is>
          <t>(24) 2231-3651</t>
        </is>
      </c>
    </row>
    <row r="41" ht="15" customHeight="1" s="107">
      <c r="F41" s="106" t="inlineStr">
        <is>
          <t>ESCOLA MUNICIPALIZADA FREI ANICETO</t>
        </is>
      </c>
      <c r="G41" s="106" t="inlineStr">
        <is>
          <t>MOSELA</t>
        </is>
      </c>
      <c r="H41" s="106" t="inlineStr">
        <is>
          <t>1086</t>
        </is>
      </c>
      <c r="I41" s="106" t="inlineStr">
        <is>
          <t>RUA MOSELA, 1445 - CEP 25675-017</t>
        </is>
      </c>
      <c r="J41" s="106" t="inlineStr">
        <is>
          <t>(24) 2291-7304</t>
        </is>
      </c>
    </row>
    <row r="42" ht="15" customHeight="1" s="107">
      <c r="F42" s="106" t="inlineStr">
        <is>
          <t>ESCOLA SÃO JUDAS TADEU</t>
        </is>
      </c>
      <c r="G42" s="106" t="inlineStr">
        <is>
          <t>MOSELA</t>
        </is>
      </c>
      <c r="H42" s="106" t="inlineStr">
        <is>
          <t>2029</t>
        </is>
      </c>
      <c r="I42" s="106" t="inlineStr">
        <is>
          <t>RUA MOSELA, 1445 - CEP 25675-012</t>
        </is>
      </c>
      <c r="J42" s="106" t="inlineStr">
        <is>
          <t>(24) 2231-6934, (24) 99276-8304</t>
        </is>
      </c>
    </row>
    <row r="43" ht="15" customHeight="1" s="107">
      <c r="F43" s="106" t="inlineStr">
        <is>
          <t>CEI PEDRAS BRANCAS</t>
        </is>
      </c>
      <c r="G43" s="106" t="inlineStr">
        <is>
          <t>MOSELA</t>
        </is>
      </c>
      <c r="H43" s="106" t="inlineStr">
        <is>
          <t>3016</t>
        </is>
      </c>
      <c r="I43" s="106" t="inlineStr">
        <is>
          <t>RUA PEDRAS BRANCAS, S/N - CEP 25670-221</t>
        </is>
      </c>
      <c r="J43" s="106" t="inlineStr">
        <is>
          <t>(24) 2019-0042</t>
        </is>
      </c>
    </row>
    <row r="44" ht="15" customHeight="1" s="107">
      <c r="F44" s="106" t="inlineStr">
        <is>
          <t>CEI MARIA THEREZA KLING DO VALLE</t>
        </is>
      </c>
      <c r="G44" s="106" t="inlineStr">
        <is>
          <t>MOSELA</t>
        </is>
      </c>
      <c r="H44" s="106" t="inlineStr">
        <is>
          <t>3021</t>
        </is>
      </c>
      <c r="I44" s="106" t="inlineStr">
        <is>
          <t>RUA CANDIDO PORTINARI, 56 - CEP 25675-130</t>
        </is>
      </c>
      <c r="J44" s="106" t="inlineStr">
        <is>
          <t>(24) 2237-4037</t>
        </is>
      </c>
    </row>
    <row r="45" ht="15" customHeight="1" s="107">
      <c r="F45" s="106" t="inlineStr">
        <is>
          <t>CEI DONA ESPERANZA DE BOURBON DE ORLEANS E BRAGANÇA</t>
        </is>
      </c>
      <c r="G45" s="106" t="inlineStr">
        <is>
          <t>MOSELA</t>
        </is>
      </c>
      <c r="H45" s="106" t="inlineStr">
        <is>
          <t>3032</t>
        </is>
      </c>
      <c r="I45" s="106" t="inlineStr">
        <is>
          <t>PARQUE RESIDENCIAL MOSELA, S/N - CEP 25675-160</t>
        </is>
      </c>
      <c r="J45" s="106" t="inlineStr">
        <is>
          <t>(24) 2019-2325</t>
        </is>
      </c>
    </row>
    <row r="46" ht="15" customHeight="1" s="107">
      <c r="F46" s="106" t="inlineStr">
        <is>
          <t>CEI GIUSEPPE-NEVA VOLONTERIO</t>
        </is>
      </c>
      <c r="G46" s="106" t="inlineStr">
        <is>
          <t>MOSELA</t>
        </is>
      </c>
      <c r="H46" s="106" t="inlineStr">
        <is>
          <t>3057</t>
        </is>
      </c>
      <c r="I46" s="106" t="inlineStr">
        <is>
          <t>RUA CARLOS GOMES, 180 - CEP 25680-020</t>
        </is>
      </c>
      <c r="J46" s="106" t="inlineStr">
        <is>
          <t>(24) 2242-6607, (24) 2017-3874</t>
        </is>
      </c>
    </row>
    <row r="47" ht="15" customHeight="1" s="107">
      <c r="F47" s="106" t="inlineStr">
        <is>
          <t>CENTRO DE EDUCAÇÃO INFANTIL SÃO JUDAS TADEU</t>
        </is>
      </c>
      <c r="G47" s="106" t="inlineStr">
        <is>
          <t>MOSELA</t>
        </is>
      </c>
      <c r="H47" s="106" t="inlineStr">
        <is>
          <t>4021</t>
        </is>
      </c>
      <c r="I47" s="106" t="inlineStr">
        <is>
          <t>RUA CANDIDO PORTINARI, 230 - CEP 25675-130</t>
        </is>
      </c>
      <c r="J47" s="106" t="inlineStr">
        <is>
          <t>(24) 2291-7386, (24) 98828-0197</t>
        </is>
      </c>
    </row>
    <row r="48" ht="15" customHeight="1" s="107">
      <c r="F48" s="106" t="inlineStr">
        <is>
          <t>E M LEONARDO BOFF</t>
        </is>
      </c>
      <c r="G48" s="106" t="inlineStr">
        <is>
          <t>BINGEN</t>
        </is>
      </c>
      <c r="H48" s="106" t="inlineStr">
        <is>
          <t>1004</t>
        </is>
      </c>
      <c r="I48" s="106" t="inlineStr">
        <is>
          <t>RODOVIA BR 040 KM, 81 - CEP 25665-060</t>
        </is>
      </c>
      <c r="J48" s="106" t="inlineStr">
        <is>
          <t>(24) 98849-3570, (24) 99983-5235</t>
        </is>
      </c>
    </row>
    <row r="49" ht="15" customHeight="1" s="107">
      <c r="F49" s="106" t="inlineStr">
        <is>
          <t>E M GENERAL HEITOR BORGES</t>
        </is>
      </c>
      <c r="G49" s="106" t="inlineStr">
        <is>
          <t>BINGEN</t>
        </is>
      </c>
      <c r="H49" s="106" t="inlineStr">
        <is>
          <t>1010</t>
        </is>
      </c>
      <c r="I49" s="106" t="inlineStr">
        <is>
          <t>RUA CAPITÃO CARLOS AGOSTINI, S/N - CEP 25660-100</t>
        </is>
      </c>
      <c r="J49" s="106" t="inlineStr">
        <is>
          <t>(24) 2247-8354</t>
        </is>
      </c>
    </row>
    <row r="50" ht="15" customHeight="1" s="107">
      <c r="F50" s="106" t="inlineStr">
        <is>
          <t>E M JOHANN NOEL</t>
        </is>
      </c>
      <c r="G50" s="106" t="inlineStr">
        <is>
          <t>BINGEN</t>
        </is>
      </c>
      <c r="H50" s="106" t="inlineStr">
        <is>
          <t>1101</t>
        </is>
      </c>
      <c r="I50" s="106" t="inlineStr">
        <is>
          <t>RUA BINGEN, 843 - CEP 25660-003</t>
        </is>
      </c>
      <c r="J50" s="106" t="inlineStr">
        <is>
          <t>(24) 2246-9037</t>
        </is>
      </c>
    </row>
    <row r="51" ht="15" customHeight="1" s="107">
      <c r="F51" s="106" t="inlineStr">
        <is>
          <t>ESCOLA SANTA MARIA GORETTI</t>
        </is>
      </c>
      <c r="G51" s="106" t="inlineStr">
        <is>
          <t>BINGEN</t>
        </is>
      </c>
      <c r="H51" s="106" t="inlineStr">
        <is>
          <t>2023</t>
        </is>
      </c>
      <c r="I51" s="106" t="inlineStr">
        <is>
          <t>RUA DR. PAULO HERVÊ, 1539 - CEP 25665-135</t>
        </is>
      </c>
      <c r="J51" s="106" t="inlineStr">
        <is>
          <t>(24) 2244-8436, (24) 98818-6823</t>
        </is>
      </c>
    </row>
    <row r="52" ht="15" customHeight="1" s="107">
      <c r="F52" s="106" t="inlineStr">
        <is>
          <t>ESCOLA SANTA RITA DE CASSIA</t>
        </is>
      </c>
      <c r="G52" s="106" t="inlineStr">
        <is>
          <t>BINGEN</t>
        </is>
      </c>
      <c r="H52" s="106" t="inlineStr">
        <is>
          <t>2024</t>
        </is>
      </c>
      <c r="I52" s="106" t="inlineStr">
        <is>
          <t>RUA CORONEL DUARTE DA SILVEIRA, 940 - CEP 25665-473</t>
        </is>
      </c>
      <c r="J52" s="106" t="inlineStr">
        <is>
          <t>(24) 2247-8163</t>
        </is>
      </c>
    </row>
    <row r="53" ht="15" customHeight="1" s="107">
      <c r="F53" s="106" t="inlineStr">
        <is>
          <t>ESCOLA SÃO JOÃO BATISTA</t>
        </is>
      </c>
      <c r="G53" s="106" t="inlineStr">
        <is>
          <t>BINGEN</t>
        </is>
      </c>
      <c r="H53" s="106" t="inlineStr">
        <is>
          <t>2028</t>
        </is>
      </c>
      <c r="I53" s="106" t="inlineStr">
        <is>
          <t>RUA LUIZ WINTER, S/N - CEP 25665-431</t>
        </is>
      </c>
      <c r="J53" s="106" t="inlineStr">
        <is>
          <t>(24) 2019-1828, (24) 2019-1828</t>
        </is>
      </c>
    </row>
    <row r="54" ht="15" customHeight="1" s="107">
      <c r="F54" s="106" t="inlineStr">
        <is>
          <t>CEI CASA DA SOLIDARIEDADE DE NOSSA SENHORA APARECIDA</t>
        </is>
      </c>
      <c r="G54" s="106" t="inlineStr">
        <is>
          <t>BINGEN</t>
        </is>
      </c>
      <c r="H54" s="106" t="inlineStr">
        <is>
          <t>3003</t>
        </is>
      </c>
      <c r="I54" s="106" t="inlineStr">
        <is>
          <t>DR. MOACYR M. NETTO, S/N - CEP 25665-442</t>
        </is>
      </c>
      <c r="J54" s="106" t="inlineStr">
        <is>
          <t>(24) 2247-6344, (24) 2006-0789</t>
        </is>
      </c>
    </row>
    <row r="55" ht="15" customHeight="1" s="107">
      <c r="F55" s="106" t="inlineStr">
        <is>
          <t>CEI A SEMENTEIRA</t>
        </is>
      </c>
      <c r="G55" s="106" t="inlineStr">
        <is>
          <t>BINGEN</t>
        </is>
      </c>
      <c r="H55" s="106" t="inlineStr">
        <is>
          <t>3007</t>
        </is>
      </c>
      <c r="I55" s="106" t="inlineStr">
        <is>
          <t>RUA MANOEL TORRES, 395 - CEP 25660-313</t>
        </is>
      </c>
      <c r="J55" s="106" t="inlineStr">
        <is>
          <t>(24) 2249-7294, (24) 98854-5909</t>
        </is>
      </c>
    </row>
    <row r="56" ht="15" customHeight="1" s="107">
      <c r="F56" s="106" t="inlineStr">
        <is>
          <t>CEI VILA SAO JOSE</t>
        </is>
      </c>
      <c r="G56" s="106" t="inlineStr">
        <is>
          <t>BINGEN</t>
        </is>
      </c>
      <c r="H56" s="106" t="inlineStr">
        <is>
          <t>3020</t>
        </is>
      </c>
      <c r="I56" s="106" t="inlineStr">
        <is>
          <t>RUA PAULINO AFONSO, 267 - CEP 25680-003</t>
        </is>
      </c>
      <c r="J56" s="106" t="inlineStr">
        <is>
          <t>(24) 2249-7206</t>
        </is>
      </c>
    </row>
    <row r="57" ht="15" customHeight="1" s="107">
      <c r="F57" s="106" t="inlineStr">
        <is>
          <t>E M DR RUBENS DE CASTRO BOMTEMPO</t>
        </is>
      </c>
      <c r="G57" s="106" t="inlineStr">
        <is>
          <t>CHÁCARA FLORA</t>
        </is>
      </c>
      <c r="H57" s="106" t="inlineStr">
        <is>
          <t>1107</t>
        </is>
      </c>
      <c r="I57" s="106" t="inlineStr">
        <is>
          <t>PERMINIO SCHMITH, S/N - CEP 25635-370</t>
        </is>
      </c>
      <c r="J57" s="106" t="inlineStr">
        <is>
          <t>(24) 2246-0113, (24) 2245-8732</t>
        </is>
      </c>
    </row>
    <row r="58" ht="15" customHeight="1" s="107">
      <c r="F58" s="106" t="inlineStr">
        <is>
          <t>CEI FREI LEÃO</t>
        </is>
      </c>
      <c r="G58" s="106" t="inlineStr">
        <is>
          <t>CHÁCARA FLORA</t>
        </is>
      </c>
      <c r="H58" s="106" t="inlineStr">
        <is>
          <t>3008</t>
        </is>
      </c>
      <c r="I58" s="106" t="inlineStr">
        <is>
          <t>PERMINIO SCHMITH, S/N - CEP 25635-370</t>
        </is>
      </c>
      <c r="J58" s="106" t="inlineStr">
        <is>
          <t>(24) 2248-6005</t>
        </is>
      </c>
    </row>
    <row r="59" ht="15" customHeight="1" s="107">
      <c r="F59" s="106" t="inlineStr">
        <is>
          <t>CEI SÃO JOÃO BATISTA</t>
        </is>
      </c>
      <c r="G59" s="106" t="inlineStr">
        <is>
          <t>DUARTE DA SILVEIRA</t>
        </is>
      </c>
      <c r="H59" s="106" t="inlineStr">
        <is>
          <t>3005</t>
        </is>
      </c>
      <c r="I59" s="106" t="inlineStr">
        <is>
          <t>RUA LUIZ WINTER, 123 - CEP 25665-431</t>
        </is>
      </c>
      <c r="J59" s="106" t="inlineStr">
        <is>
          <t>(24) 2248-9959</t>
        </is>
      </c>
    </row>
    <row r="60" ht="15" customHeight="1" s="107">
      <c r="F60" s="106" t="inlineStr">
        <is>
          <t>CEI JURACI PINTO DO AMARAL DE CASTRO</t>
        </is>
      </c>
      <c r="G60" s="106" t="inlineStr">
        <is>
          <t>DUARTE DA SILVEIRA</t>
        </is>
      </c>
      <c r="H60" s="106" t="inlineStr">
        <is>
          <t>3080</t>
        </is>
      </c>
      <c r="I60" s="106" t="inlineStr">
        <is>
          <t>RUA LUIZ WINTER, 1305 - CEP 25665-430</t>
        </is>
      </c>
      <c r="J60" s="106" t="inlineStr">
        <is>
          <t>(24) 98161-0682, (24) 2019-3597</t>
        </is>
      </c>
    </row>
    <row r="61" ht="15" customHeight="1" s="107">
      <c r="F61" s="106" t="inlineStr">
        <is>
          <t>E M PEDRO AMADO</t>
        </is>
      </c>
      <c r="G61" s="106" t="inlineStr">
        <is>
          <t>MEIO DA SERRA</t>
        </is>
      </c>
      <c r="H61" s="106" t="inlineStr">
        <is>
          <t>1088</t>
        </is>
      </c>
      <c r="I61" s="106" t="inlineStr">
        <is>
          <t>ESTRADA VELHA DA ESTRELA, 436 - CEP 25635-114</t>
        </is>
      </c>
      <c r="J61" s="106" t="inlineStr">
        <is>
          <t>(24) 2235-1735</t>
        </is>
      </c>
    </row>
    <row r="62" ht="15" customHeight="1" s="107">
      <c r="F62" s="106" t="inlineStr">
        <is>
          <t>E M ABELARDO DE LAMARE</t>
        </is>
      </c>
      <c r="G62" s="106" t="inlineStr">
        <is>
          <t>CAXAMBU</t>
        </is>
      </c>
      <c r="H62" s="106" t="inlineStr">
        <is>
          <t>1001</t>
        </is>
      </c>
      <c r="I62" s="106" t="inlineStr">
        <is>
          <t>JOSÉ ALMEIDA AMADO, 1302 - CEP 25615-081</t>
        </is>
      </c>
      <c r="J62" s="106" t="inlineStr">
        <is>
          <t>(24) 2291-0223, (24) 98139-3119</t>
        </is>
      </c>
    </row>
    <row r="63" ht="15" customHeight="1" s="107">
      <c r="F63" s="106" t="inlineStr">
        <is>
          <t>E M SENADOR MARIO MARTINS</t>
        </is>
      </c>
      <c r="G63" s="106" t="inlineStr">
        <is>
          <t>CAXAMBU</t>
        </is>
      </c>
      <c r="H63" s="106" t="inlineStr">
        <is>
          <t>1106</t>
        </is>
      </c>
      <c r="I63" s="106" t="inlineStr">
        <is>
          <t>RUA FLAVIO CAVALCANTI, S/N - CEP 25615-060</t>
        </is>
      </c>
      <c r="J63" s="106" t="inlineStr">
        <is>
          <t>(24) 2235-5478</t>
        </is>
      </c>
    </row>
    <row r="64" ht="15" customHeight="1" s="107">
      <c r="F64" s="106" t="inlineStr">
        <is>
          <t>ESCOLA PAROQUIAL SÃO PIO X</t>
        </is>
      </c>
      <c r="G64" s="106" t="inlineStr">
        <is>
          <t>CAXAMBU</t>
        </is>
      </c>
      <c r="H64" s="106" t="inlineStr">
        <is>
          <t>2030</t>
        </is>
      </c>
      <c r="I64" s="106" t="inlineStr">
        <is>
          <t>RUA LUÍS IMBROISI, 107 - CEP 25610-041</t>
        </is>
      </c>
      <c r="J64" s="106" t="inlineStr">
        <is>
          <t>(24) 2235-6740, (24) 99871-2999</t>
        </is>
      </c>
    </row>
    <row r="65" ht="15" customHeight="1" s="107">
      <c r="F65" s="106" t="inlineStr">
        <is>
          <t>CEI SÃO CHARBEL</t>
        </is>
      </c>
      <c r="G65" s="106" t="inlineStr">
        <is>
          <t>CAXAMBU</t>
        </is>
      </c>
      <c r="H65" s="106" t="inlineStr">
        <is>
          <t>4004</t>
        </is>
      </c>
      <c r="I65" s="106" t="inlineStr">
        <is>
          <t>RUA FLAVIO CAVALCANTI, S/N - CEP 25615-060</t>
        </is>
      </c>
      <c r="J65" s="106" t="inlineStr">
        <is>
          <t>(24) 2242-0027</t>
        </is>
      </c>
    </row>
    <row r="66" ht="15" customHeight="1" s="107">
      <c r="F66" s="106" t="inlineStr">
        <is>
          <t>E M ROSALINA NICOLAY</t>
        </is>
      </c>
      <c r="G66" s="106" t="inlineStr">
        <is>
          <t>SIMÉRIA</t>
        </is>
      </c>
      <c r="H66" s="106" t="inlineStr">
        <is>
          <t>1022</t>
        </is>
      </c>
      <c r="I66" s="106" t="inlineStr">
        <is>
          <t>PRESIDENTE SODRE, 1026 - CEP 25645-026</t>
        </is>
      </c>
      <c r="J66" s="106" t="inlineStr">
        <is>
          <t>(24) 2020-2919</t>
        </is>
      </c>
    </row>
    <row r="67" ht="15" customHeight="1" s="107">
      <c r="F67" s="106" t="inlineStr">
        <is>
          <t>CEI INÊS BELARMINO DE SOUZA</t>
        </is>
      </c>
      <c r="G67" s="106" t="inlineStr">
        <is>
          <t>SIMÉRIA</t>
        </is>
      </c>
      <c r="H67" s="106" t="inlineStr">
        <is>
          <t>3017</t>
        </is>
      </c>
      <c r="I67" s="106" t="inlineStr">
        <is>
          <t>RUA MANOEL FRANCISCO DE PAULA, PROX AO PSF - CEP 25645-090</t>
        </is>
      </c>
      <c r="J67" s="106" t="inlineStr">
        <is>
          <t>(24) 2247-5789, (24) 98831-8813</t>
        </is>
      </c>
    </row>
    <row r="68" ht="15" customHeight="1" s="107">
      <c r="F68" s="106" t="inlineStr">
        <is>
          <t>E M PROFª MARIA DA GLÓRIA QUEIROZ DE VASCONCELLOS</t>
        </is>
      </c>
      <c r="G68" s="106" t="inlineStr">
        <is>
          <t>INDEPENDÊNCIA</t>
        </is>
      </c>
      <c r="H68" s="106" t="inlineStr">
        <is>
          <t>1089</t>
        </is>
      </c>
      <c r="I68" s="106" t="inlineStr">
        <is>
          <t>RUA A, S/N - CEP 25645-420</t>
        </is>
      </c>
      <c r="J68" s="106" t="inlineStr">
        <is>
          <t>(24) 2291-2476, (24) 2246-5803</t>
        </is>
      </c>
    </row>
    <row r="69" ht="15" customHeight="1" s="107">
      <c r="F69" s="106" t="inlineStr">
        <is>
          <t>CENTRO EDUCACIONAL COMUNIDADE SÃO JORGE</t>
        </is>
      </c>
      <c r="G69" s="106" t="inlineStr">
        <is>
          <t>INDEPENDÊNCIA</t>
        </is>
      </c>
      <c r="H69" s="106" t="inlineStr">
        <is>
          <t>2002</t>
        </is>
      </c>
      <c r="I69" s="106" t="inlineStr">
        <is>
          <t>RUA LEONOR MAIA, 99 - CEP 25645-420</t>
        </is>
      </c>
      <c r="J69" s="106" t="inlineStr">
        <is>
          <t>(24) 99221-5056</t>
        </is>
      </c>
    </row>
    <row r="70" ht="15" customHeight="1" s="107">
      <c r="F70" s="106" t="inlineStr">
        <is>
          <t>CEI ROMANO CANAVESE</t>
        </is>
      </c>
      <c r="G70" s="106" t="inlineStr">
        <is>
          <t>INDEPENDÊNCIA</t>
        </is>
      </c>
      <c r="H70" s="106" t="inlineStr">
        <is>
          <t>3011</t>
        </is>
      </c>
      <c r="I70" s="106" t="inlineStr">
        <is>
          <t>RUA JOSÉ CHAVES, S/N - CEP 25645-255</t>
        </is>
      </c>
      <c r="J70" s="106" t="inlineStr">
        <is>
          <t>(24) 2019-5360</t>
        </is>
      </c>
    </row>
    <row r="71" ht="15" customHeight="1" s="107">
      <c r="F71" s="106" t="inlineStr">
        <is>
          <t>CEI CÉLIA LÔBO PAULO</t>
        </is>
      </c>
      <c r="G71" s="106" t="inlineStr">
        <is>
          <t>INDEPENDÊNCIA</t>
        </is>
      </c>
      <c r="H71" s="106" t="inlineStr">
        <is>
          <t>3040</t>
        </is>
      </c>
      <c r="I71" s="106" t="inlineStr">
        <is>
          <t>ESTRADA DO INDEPENDÊNCIA, 1230 - CEP 25645-343</t>
        </is>
      </c>
      <c r="J71" s="106" t="inlineStr">
        <is>
          <t>(24) 2020-2683, (24) 99986-5289</t>
        </is>
      </c>
    </row>
    <row r="72" ht="15" customHeight="1" s="107">
      <c r="F72" s="106" t="inlineStr">
        <is>
          <t>CEI PROFª DORA KILLER</t>
        </is>
      </c>
      <c r="G72" s="106" t="inlineStr">
        <is>
          <t>INDEPENDÊNCIA</t>
        </is>
      </c>
      <c r="H72" s="106" t="inlineStr">
        <is>
          <t>3053</t>
        </is>
      </c>
      <c r="I72" s="106" t="inlineStr">
        <is>
          <t>RUA EMÍLIO ZALUAR, 314 - CEP 25645-280</t>
        </is>
      </c>
      <c r="J72" s="106" t="inlineStr">
        <is>
          <t>(24) 2244-7248</t>
        </is>
      </c>
    </row>
    <row r="73" ht="15" customHeight="1" s="107">
      <c r="F73" s="106" t="inlineStr">
        <is>
          <t>CEI ALTO INDEPENDÊNCIA</t>
        </is>
      </c>
      <c r="G73" s="106" t="inlineStr">
        <is>
          <t>INDEPENDÊNCIA</t>
        </is>
      </c>
      <c r="H73" s="106" t="inlineStr">
        <is>
          <t>4001</t>
        </is>
      </c>
      <c r="I73" s="106" t="inlineStr">
        <is>
          <t>RUA LEONOR MAIA, 56 - CEP 25645-420</t>
        </is>
      </c>
      <c r="J73" s="106" t="inlineStr">
        <is>
          <t>(24) 99281-9360, (24) 2020-3699</t>
        </is>
      </c>
    </row>
    <row r="74" ht="15" customHeight="1" s="107">
      <c r="F74" s="106" t="inlineStr">
        <is>
          <t>E M ALTO INDEPENDÊNCIA</t>
        </is>
      </c>
      <c r="G74" s="106" t="inlineStr">
        <is>
          <t>ALTO INDEPENDÊNCIA</t>
        </is>
      </c>
      <c r="H74" s="106" t="inlineStr">
        <is>
          <t>1084</t>
        </is>
      </c>
      <c r="I74" s="106" t="inlineStr">
        <is>
          <t>LEONOR MAIA, 1670 - CEP 25645-420</t>
        </is>
      </c>
      <c r="J74" s="106" t="inlineStr">
        <is>
          <t>(24) 2246-9094, (24) 2247-2235</t>
        </is>
      </c>
    </row>
    <row r="75" ht="15" customHeight="1" s="107">
      <c r="F75" s="106" t="inlineStr">
        <is>
          <t>E M PAPA JOÃO PAULO II</t>
        </is>
      </c>
      <c r="G75" s="106" t="inlineStr">
        <is>
          <t>SÃO SEBASTIÃO</t>
        </is>
      </c>
      <c r="H75" s="106" t="inlineStr">
        <is>
          <t>1103</t>
        </is>
      </c>
      <c r="I75" s="106" t="inlineStr">
        <is>
          <t>SÃO SEBASTIÃO, 625 - CEP 25645-045</t>
        </is>
      </c>
      <c r="J75" s="106" t="inlineStr">
        <is>
          <t>(24) 2291-2244</t>
        </is>
      </c>
    </row>
    <row r="76" ht="15" customHeight="1" s="107">
      <c r="F76" s="106" t="inlineStr">
        <is>
          <t>CEI ANDRÉ REBOUÇAS</t>
        </is>
      </c>
      <c r="G76" s="106" t="inlineStr">
        <is>
          <t>SÃO SEBASTIÃO</t>
        </is>
      </c>
      <c r="H76" s="106" t="inlineStr">
        <is>
          <t>3034</t>
        </is>
      </c>
      <c r="I76" s="106" t="inlineStr">
        <is>
          <t>RUA FRANKLIN ROOSEVELT, 11 - CEP 25645-123</t>
        </is>
      </c>
      <c r="J76" s="106" t="inlineStr">
        <is>
          <t>(24) 2020-2818</t>
        </is>
      </c>
    </row>
    <row r="77" ht="15" customHeight="1" s="107">
      <c r="F77" s="106" t="inlineStr">
        <is>
          <t>CEI PROFª HERMÍNIA MATHEUS</t>
        </is>
      </c>
      <c r="G77" s="106" t="inlineStr">
        <is>
          <t>SÃO SEBASTIÃO</t>
        </is>
      </c>
      <c r="H77" s="106" t="inlineStr">
        <is>
          <t>3065</t>
        </is>
      </c>
      <c r="I77" s="106" t="inlineStr">
        <is>
          <t>RUA FLORINDO DUARTE, S/N - CEP 25645-707</t>
        </is>
      </c>
      <c r="J77" s="106" t="inlineStr">
        <is>
          <t>(24) 2291-6426, (24) 2020-5903</t>
        </is>
      </c>
    </row>
    <row r="78" ht="15" customHeight="1" s="107">
      <c r="F78" s="106" t="inlineStr">
        <is>
          <t>E M MAJOR JÚLIO FREDERICO KOELER</t>
        </is>
      </c>
      <c r="G78" s="106" t="inlineStr">
        <is>
          <t>RETIRO</t>
        </is>
      </c>
      <c r="H78" s="106" t="inlineStr">
        <is>
          <t>1035</t>
        </is>
      </c>
      <c r="I78" s="106" t="inlineStr">
        <is>
          <t>RUA FELIPE CAMARÃO, 374 - CEP 25680-510</t>
        </is>
      </c>
      <c r="J78" s="106" t="inlineStr">
        <is>
          <t>(24) 2017-0495</t>
        </is>
      </c>
    </row>
    <row r="79" ht="15" customHeight="1" s="107">
      <c r="F79" s="106" t="inlineStr">
        <is>
          <t>E M ALMIRANTE TAMANDARÉ</t>
        </is>
      </c>
      <c r="G79" s="106" t="inlineStr">
        <is>
          <t>RETIRO</t>
        </is>
      </c>
      <c r="H79" s="106" t="inlineStr">
        <is>
          <t>1085</t>
        </is>
      </c>
      <c r="I79" s="106" t="inlineStr">
        <is>
          <t>DR. HERMOGÊNEO SILVA, S/N - CEP 25715-059</t>
        </is>
      </c>
      <c r="J79" s="106" t="inlineStr">
        <is>
          <t>(24) 2246-0794, (24) 97400-1730</t>
        </is>
      </c>
    </row>
    <row r="80" ht="15" customHeight="1" s="107">
      <c r="F80" s="106" t="inlineStr">
        <is>
          <t>ESCOLA PAROQUIAL CARLOS DEMIÁ</t>
        </is>
      </c>
      <c r="G80" s="106" t="inlineStr">
        <is>
          <t>RETIRO</t>
        </is>
      </c>
      <c r="H80" s="106" t="inlineStr">
        <is>
          <t>2016</t>
        </is>
      </c>
      <c r="I80" s="106" t="inlineStr">
        <is>
          <t>RUA FERNANDES VIEIRA, 110 - CEP 25680-386</t>
        </is>
      </c>
      <c r="J80" s="106" t="inlineStr">
        <is>
          <t>(24) 2017-6633</t>
        </is>
      </c>
    </row>
    <row r="81" ht="15" customHeight="1" s="107">
      <c r="F81" s="106" t="inlineStr">
        <is>
          <t>CENTRO PAROQUIAL DE EDUCAÇÃO INFANTIL NOSSA SENHORA APARECIDA</t>
        </is>
      </c>
      <c r="G81" s="106" t="inlineStr">
        <is>
          <t>RETIRO</t>
        </is>
      </c>
      <c r="H81" s="106" t="inlineStr">
        <is>
          <t>3024</t>
        </is>
      </c>
      <c r="I81" s="106" t="inlineStr">
        <is>
          <t>DR HANS BISTRISCHAN, S/N - CEP 25680-400</t>
        </is>
      </c>
      <c r="J81" s="106" t="inlineStr">
        <is>
          <t>(24) 2020-5311</t>
        </is>
      </c>
    </row>
    <row r="82" ht="15" customHeight="1" s="107">
      <c r="F82" s="106" t="inlineStr">
        <is>
          <t>CEI IRMÃ SILVANA</t>
        </is>
      </c>
      <c r="G82" s="106" t="inlineStr">
        <is>
          <t>RETIRO</t>
        </is>
      </c>
      <c r="H82" s="106" t="inlineStr">
        <is>
          <t>3029</t>
        </is>
      </c>
      <c r="I82" s="106" t="inlineStr">
        <is>
          <t>RUA FELIPE CAMARÃO, 310 - CEP 25680-995</t>
        </is>
      </c>
      <c r="J82" s="106" t="inlineStr">
        <is>
          <t>(24) 2020-1037, (24) 98867-9639</t>
        </is>
      </c>
    </row>
    <row r="83" ht="15" customHeight="1" s="107">
      <c r="F83" s="106" t="inlineStr">
        <is>
          <t>CEI OLÍVIA MACHADO DA COSTA NOGUEIRA</t>
        </is>
      </c>
      <c r="G83" s="106" t="inlineStr">
        <is>
          <t>RETIRO</t>
        </is>
      </c>
      <c r="H83" s="106" t="inlineStr">
        <is>
          <t>3048</t>
        </is>
      </c>
      <c r="I83" s="106" t="inlineStr">
        <is>
          <t>RUA HENRIQUE DIAS, 100 - CEP 25680-301</t>
        </is>
      </c>
      <c r="J83" s="106" t="inlineStr">
        <is>
          <t>(24) 2246-8737, (24) 2020-9938</t>
        </is>
      </c>
    </row>
    <row r="84" ht="15" customHeight="1" s="107">
      <c r="F84" s="106" t="inlineStr">
        <is>
          <t>E M GOVERNADOR MARCELLO ALENCAR</t>
        </is>
      </c>
      <c r="G84" s="106" t="inlineStr">
        <is>
          <t>QUITANDINHA</t>
        </is>
      </c>
      <c r="H84" s="106" t="inlineStr">
        <is>
          <t>1017</t>
        </is>
      </c>
      <c r="I84" s="106" t="inlineStr">
        <is>
          <t>RUA AMARAL PEIXOTO, S/N - CEP 25651-010</t>
        </is>
      </c>
      <c r="J84" s="106" t="inlineStr">
        <is>
          <t>(24) 2245-7780</t>
        </is>
      </c>
    </row>
    <row r="85" ht="15" customHeight="1" s="107">
      <c r="F85" s="106" t="inlineStr">
        <is>
          <t>E M PROFESSOR FLÁVIO MACIEL</t>
        </is>
      </c>
      <c r="G85" s="106" t="inlineStr">
        <is>
          <t>QUITANDINHA</t>
        </is>
      </c>
      <c r="H85" s="106" t="inlineStr">
        <is>
          <t>1093</t>
        </is>
      </c>
      <c r="I85" s="106" t="inlineStr">
        <is>
          <t>RUA AMARAL PEIXOTO, S/N - CEP 25651-010</t>
        </is>
      </c>
      <c r="J85" s="106" t="inlineStr">
        <is>
          <t>(24) 2237-2567</t>
        </is>
      </c>
    </row>
    <row r="86" ht="15" customHeight="1" s="107">
      <c r="F86" s="106" t="inlineStr">
        <is>
          <t>E M PROFª JANDIRA PEIXOTO BORDIGNON</t>
        </is>
      </c>
      <c r="G86" s="106" t="inlineStr">
        <is>
          <t>QUITANDINHA</t>
        </is>
      </c>
      <c r="H86" s="106" t="inlineStr">
        <is>
          <t>1098</t>
        </is>
      </c>
      <c r="I86" s="106" t="inlineStr">
        <is>
          <t>GETULIO VARGAS, 2200 - CEP 25651-078</t>
        </is>
      </c>
      <c r="J86" s="106" t="inlineStr">
        <is>
          <t>(24) 2242-9167, (24) 99270-3951</t>
        </is>
      </c>
    </row>
    <row r="87" ht="15" customHeight="1" s="107">
      <c r="F87" s="106" t="inlineStr">
        <is>
          <t>E M STEFAN ZWEIG</t>
        </is>
      </c>
      <c r="G87" s="106" t="inlineStr">
        <is>
          <t>QUITANDINHA</t>
        </is>
      </c>
      <c r="H87" s="106" t="inlineStr">
        <is>
          <t>1105</t>
        </is>
      </c>
      <c r="I87" s="106" t="inlineStr">
        <is>
          <t>RUA SERGIPE, 49 - CEP 25730-710</t>
        </is>
      </c>
      <c r="J87" s="106" t="inlineStr">
        <is>
          <t>(24) 2245-6737</t>
        </is>
      </c>
    </row>
    <row r="88" ht="15" customHeight="1" s="107">
      <c r="F88" s="106" t="inlineStr">
        <is>
          <t>ESCOLA PAROQUIAL BOM JESUS</t>
        </is>
      </c>
      <c r="G88" s="106" t="inlineStr">
        <is>
          <t>QUITANDINHA</t>
        </is>
      </c>
      <c r="H88" s="106" t="inlineStr">
        <is>
          <t>2015</t>
        </is>
      </c>
      <c r="I88" s="106" t="inlineStr">
        <is>
          <t>RUA DR. THOUZET, 820 - CEP 25650-061</t>
        </is>
      </c>
      <c r="J88" s="106" t="inlineStr">
        <is>
          <t>(24) 2243-0980, (24) 99330-6600</t>
        </is>
      </c>
    </row>
    <row r="89" ht="15" customHeight="1" s="107">
      <c r="F89" s="106" t="inlineStr">
        <is>
          <t>CEI MARLI SOARES FERREIRA NETTO</t>
        </is>
      </c>
      <c r="G89" s="106" t="inlineStr">
        <is>
          <t>QUITANDINHA</t>
        </is>
      </c>
      <c r="H89" s="106" t="inlineStr">
        <is>
          <t>3030</t>
        </is>
      </c>
      <c r="I89" s="106" t="inlineStr">
        <is>
          <t>DR.THOUZET/SRV.DHÁLIA J.SILVA, S/N - CEP 25650-061</t>
        </is>
      </c>
      <c r="J89" s="106" t="inlineStr">
        <is>
          <t>(24) 2019-7367</t>
        </is>
      </c>
    </row>
    <row r="90" ht="15" customHeight="1" s="107">
      <c r="F90" s="106" t="inlineStr">
        <is>
          <t>CENTRO DE EDUCAÇÃO INFANTIL CHIQUINHA ROLLA</t>
        </is>
      </c>
      <c r="G90" s="106" t="inlineStr">
        <is>
          <t>QUITANDINHA</t>
        </is>
      </c>
      <c r="H90" s="106" t="inlineStr">
        <is>
          <t>3035</t>
        </is>
      </c>
      <c r="I90" s="106" t="inlineStr">
        <is>
          <t>RUA CAMPOS, 1 - CEP 25651-030</t>
        </is>
      </c>
      <c r="J90" s="106" t="inlineStr">
        <is>
          <t>(24) 2242-7437</t>
        </is>
      </c>
    </row>
    <row r="91" ht="15" customHeight="1" s="107">
      <c r="F91" s="106" t="inlineStr">
        <is>
          <t>CEI VILA IPANEMA</t>
        </is>
      </c>
      <c r="G91" s="106" t="inlineStr">
        <is>
          <t>QUITANDINHA</t>
        </is>
      </c>
      <c r="H91" s="106" t="inlineStr">
        <is>
          <t>3049</t>
        </is>
      </c>
      <c r="I91" s="106" t="inlineStr">
        <is>
          <t>RUA VASSOURAS, S/N - CEP 25650-500</t>
        </is>
      </c>
      <c r="J91" s="106" t="inlineStr">
        <is>
          <t>(24) 2235-1036</t>
        </is>
      </c>
    </row>
    <row r="92" ht="15" customHeight="1" s="107">
      <c r="F92" s="106" t="inlineStr">
        <is>
          <t>E M ROBERT KENNEDY</t>
        </is>
      </c>
      <c r="G92" s="106" t="inlineStr">
        <is>
          <t>CASTELÂNEA</t>
        </is>
      </c>
      <c r="H92" s="106" t="inlineStr">
        <is>
          <t>1020</t>
        </is>
      </c>
      <c r="I92" s="106" t="inlineStr">
        <is>
          <t>RUA CRISTOVÃO COLOMBO, 783 - CEP 25640-322</t>
        </is>
      </c>
      <c r="J92" s="106" t="inlineStr">
        <is>
          <t>(24) 2020-8959</t>
        </is>
      </c>
    </row>
    <row r="93" ht="15" customHeight="1" s="107">
      <c r="F93" s="106" t="inlineStr">
        <is>
          <t>E M ANA MOHAMMAD</t>
        </is>
      </c>
      <c r="G93" s="106" t="inlineStr">
        <is>
          <t>CASTELÂNEA</t>
        </is>
      </c>
      <c r="H93" s="106" t="inlineStr">
        <is>
          <t>1083</t>
        </is>
      </c>
      <c r="I93" s="106" t="inlineStr">
        <is>
          <t>ESTRADA DO PARAÍSO, 701 - CEP 25635-410</t>
        </is>
      </c>
      <c r="J93" s="106" t="inlineStr">
        <is>
          <t>(24) 2248-6206</t>
        </is>
      </c>
    </row>
    <row r="94" ht="15" customHeight="1" s="107">
      <c r="F94" s="106" t="inlineStr">
        <is>
          <t>ESCOLA SÃO CRISTÓVÃO</t>
        </is>
      </c>
      <c r="G94" s="106" t="inlineStr">
        <is>
          <t>CASTELÂNEA</t>
        </is>
      </c>
      <c r="H94" s="106" t="inlineStr">
        <is>
          <t>2025</t>
        </is>
      </c>
      <c r="I94" s="106" t="inlineStr">
        <is>
          <t>PRAÇA PASTEUR, 79 - CEP 25640-040</t>
        </is>
      </c>
      <c r="J94" s="106" t="inlineStr">
        <is>
          <t>(24) 2245-9752</t>
        </is>
      </c>
    </row>
    <row r="95" ht="15" customHeight="1" s="107">
      <c r="F95" s="106" t="inlineStr">
        <is>
          <t>CEI DÉA LÚCIA CORDEIRO</t>
        </is>
      </c>
      <c r="G95" s="106" t="inlineStr">
        <is>
          <t>CASTELÂNEA</t>
        </is>
      </c>
      <c r="H95" s="106" t="inlineStr">
        <is>
          <t>3027</t>
        </is>
      </c>
      <c r="I95" s="106" t="inlineStr">
        <is>
          <t>RUA CRISTOVÃO COLOMBO, 153 - CEP 25640-322</t>
        </is>
      </c>
      <c r="J95" s="106" t="inlineStr">
        <is>
          <t>(24) 2231-0268</t>
        </is>
      </c>
    </row>
    <row r="96" ht="15" customHeight="1" s="107">
      <c r="F96" s="106" t="inlineStr">
        <is>
          <t>CEI SAGRADA FAMÍLIA</t>
        </is>
      </c>
      <c r="G96" s="106" t="inlineStr">
        <is>
          <t>CASTELÂNEA</t>
        </is>
      </c>
      <c r="H96" s="106" t="inlineStr">
        <is>
          <t>3064</t>
        </is>
      </c>
      <c r="I96" s="106" t="inlineStr">
        <is>
          <t>ESTRADA DO PARAÍSO, PROX AO 715 - CEP 25635-410</t>
        </is>
      </c>
      <c r="J96" s="106" t="inlineStr">
        <is>
          <t>(24) 98821-2940, (24) 2248-6309</t>
        </is>
      </c>
    </row>
    <row r="97" ht="15" customHeight="1" s="107">
      <c r="F97" s="106" t="inlineStr">
        <is>
          <t>CEI SÃO JOSÉ DAS OBLATAS DE NAZARÉ</t>
        </is>
      </c>
      <c r="G97" s="106" t="inlineStr">
        <is>
          <t>CASTELÂNEA</t>
        </is>
      </c>
      <c r="H97" s="106" t="inlineStr">
        <is>
          <t>4002</t>
        </is>
      </c>
      <c r="I97" s="106" t="inlineStr">
        <is>
          <t>RUA OLAVO BILAC, 815 - CEP 25640-511</t>
        </is>
      </c>
      <c r="J97" s="106" t="inlineStr">
        <is>
          <t>(24) 2231-0256, (24) 98819-1505</t>
        </is>
      </c>
    </row>
    <row r="98" ht="15" customHeight="1" s="107">
      <c r="F98" s="106" t="inlineStr">
        <is>
          <t>E M JORGE AMADO</t>
        </is>
      </c>
      <c r="G98" s="106" t="inlineStr">
        <is>
          <t>CASCATINHA</t>
        </is>
      </c>
      <c r="H98" s="106" t="inlineStr">
        <is>
          <t>1030</t>
        </is>
      </c>
      <c r="I98" s="106" t="inlineStr">
        <is>
          <t>ESTRADA DA SAUDADE, 1397 - CEP 25610-351</t>
        </is>
      </c>
      <c r="J98" s="106" t="inlineStr">
        <is>
          <t>(24) 2242-1234, (24) 98845-1441</t>
        </is>
      </c>
    </row>
    <row r="99" ht="15" customHeight="1" s="107">
      <c r="F99" s="106" t="inlineStr">
        <is>
          <t>E M FÁBRICA DO SABER</t>
        </is>
      </c>
      <c r="G99" s="106" t="inlineStr">
        <is>
          <t>CASCATINHA</t>
        </is>
      </c>
      <c r="H99" s="106" t="inlineStr">
        <is>
          <t>1038</t>
        </is>
      </c>
      <c r="I99" s="106" t="inlineStr">
        <is>
          <t>RUA MACHADO FAGUNDES, 269 - CEP 25716-001</t>
        </is>
      </c>
      <c r="J99" s="106" t="inlineStr">
        <is>
          <t>(24) 2291-6160, (24) 2231-6591</t>
        </is>
      </c>
    </row>
    <row r="100" ht="15" customHeight="1" s="107">
      <c r="F100" s="106" t="inlineStr">
        <is>
          <t>CIEP BRIZOLÃO 474 MAESTRO GUERRA PEIXE - MUNICIPALIZADO</t>
        </is>
      </c>
      <c r="G100" s="106" t="inlineStr">
        <is>
          <t>CASCATINHA</t>
        </is>
      </c>
      <c r="H100" s="106" t="inlineStr">
        <is>
          <t>1112</t>
        </is>
      </c>
      <c r="I100" s="106" t="inlineStr">
        <is>
          <t>RUA BERNARDO PROENÇA, 809 - CEP 25710-082</t>
        </is>
      </c>
      <c r="J100" s="106" t="inlineStr">
        <is>
          <t>(24) 2237-9893</t>
        </is>
      </c>
    </row>
    <row r="101" ht="15" customHeight="1" s="107">
      <c r="F101" s="106" t="inlineStr">
        <is>
          <t>CENTRO DE ENSINO PROF DARCY RIBEIRO</t>
        </is>
      </c>
      <c r="G101" s="106" t="inlineStr">
        <is>
          <t>CASCATINHA</t>
        </is>
      </c>
      <c r="H101" s="106" t="inlineStr">
        <is>
          <t>1113</t>
        </is>
      </c>
      <c r="I101" s="106" t="inlineStr">
        <is>
          <t>RUA MACHADO FAGUNDES, 326 - CEP 25761-001</t>
        </is>
      </c>
      <c r="J101" s="106" t="inlineStr">
        <is>
          <t>(24) 2246-2392</t>
        </is>
      </c>
    </row>
    <row r="102" ht="15" customHeight="1" s="107">
      <c r="F102" s="106" t="inlineStr">
        <is>
          <t>CEI ANDRÉ VANZAN</t>
        </is>
      </c>
      <c r="G102" s="106" t="inlineStr">
        <is>
          <t>CASCATINHA</t>
        </is>
      </c>
      <c r="H102" s="106" t="inlineStr">
        <is>
          <t>3012</t>
        </is>
      </c>
      <c r="I102" s="106" t="inlineStr">
        <is>
          <t>RUA BERNARDO PROENÇA, 809 - CEP 25710-082</t>
        </is>
      </c>
      <c r="J102" s="106" t="inlineStr">
        <is>
          <t>(24) 99254-2954, (24) 2280-4330</t>
        </is>
      </c>
    </row>
    <row r="103" ht="15" customHeight="1" s="107">
      <c r="F103" s="106" t="inlineStr">
        <is>
          <t>CENTRO DE EDUCAÇÃO INFANTIL CAROLINA AMORIM</t>
        </is>
      </c>
      <c r="G103" s="106" t="inlineStr">
        <is>
          <t>CASCATINHA</t>
        </is>
      </c>
      <c r="H103" s="106" t="inlineStr">
        <is>
          <t>3028</t>
        </is>
      </c>
      <c r="I103" s="106" t="inlineStr">
        <is>
          <t>RUA MACHADO FAGUNDES, 326 - CEP 25716-001</t>
        </is>
      </c>
      <c r="J103" s="106" t="inlineStr">
        <is>
          <t>(24) 2020-2062</t>
        </is>
      </c>
    </row>
    <row r="104" ht="15" customHeight="1" s="107">
      <c r="F104" s="106" t="inlineStr">
        <is>
          <t>CEI BOA VISTA</t>
        </is>
      </c>
      <c r="G104" s="106" t="inlineStr">
        <is>
          <t>CASCATINHA</t>
        </is>
      </c>
      <c r="H104" s="106" t="inlineStr">
        <is>
          <t>3072</t>
        </is>
      </c>
      <c r="I104" s="106" t="inlineStr">
        <is>
          <t>SERV. FRANCISCO JACINTO DO AMARAL, LOTE 11 - CEP 25716-242</t>
        </is>
      </c>
      <c r="J104" s="106" t="inlineStr">
        <is>
          <t>(24) 2235-1057</t>
        </is>
      </c>
    </row>
    <row r="105" ht="15" customHeight="1" s="107">
      <c r="F105" s="106" t="inlineStr">
        <is>
          <t>ASSOCIAÇÃO DA CRECHE SÃO FRANCISCO DE ASSIS</t>
        </is>
      </c>
      <c r="G105" s="106" t="inlineStr">
        <is>
          <t>CASCATINHA</t>
        </is>
      </c>
      <c r="H105" s="106" t="inlineStr">
        <is>
          <t>4005</t>
        </is>
      </c>
      <c r="I105" s="106" t="inlineStr">
        <is>
          <t>RUA VERIDIANO FELIX, 79 - CEP 25610-200</t>
        </is>
      </c>
      <c r="J105" s="106" t="inlineStr">
        <is>
          <t>(24) 2243-0629</t>
        </is>
      </c>
    </row>
    <row r="106" ht="15" customHeight="1" s="107">
      <c r="F106" s="106" t="inlineStr">
        <is>
          <t>E M PAULO SALDANHA</t>
        </is>
      </c>
      <c r="G106" s="106" t="inlineStr">
        <is>
          <t>ESTRADA DA SAUDADE</t>
        </is>
      </c>
      <c r="H106" s="106" t="inlineStr">
        <is>
          <t>1094</t>
        </is>
      </c>
      <c r="I106" s="106" t="inlineStr">
        <is>
          <t>ESTRADA DA SAUDADE, S/N PROX AO 941 - CEP 25610-106</t>
        </is>
      </c>
      <c r="J106" s="106" t="inlineStr">
        <is>
          <t>(24) 2020-4309</t>
        </is>
      </c>
    </row>
    <row r="107" ht="15" customHeight="1" s="107">
      <c r="F107" s="106" t="inlineStr">
        <is>
          <t>E M LÚCIA DE ALMEIDA BRAGA</t>
        </is>
      </c>
      <c r="G107" s="106" t="inlineStr">
        <is>
          <t>CARANGOLA</t>
        </is>
      </c>
      <c r="H107" s="106" t="inlineStr">
        <is>
          <t>1033</t>
        </is>
      </c>
      <c r="I107" s="106" t="inlineStr">
        <is>
          <t>WALDEMAR VIEIRA AFONSO, 7 - CEP 25715-402</t>
        </is>
      </c>
      <c r="J107" s="106" t="inlineStr">
        <is>
          <t>(24) 99218-8513, (24) 2231-4691</t>
        </is>
      </c>
    </row>
    <row r="108" ht="15" customHeight="1" s="107">
      <c r="F108" s="106" t="inlineStr">
        <is>
          <t>E M DOM MANOEL PEDRO DA CUNHA CINTRA</t>
        </is>
      </c>
      <c r="G108" s="106" t="inlineStr">
        <is>
          <t>CARANGOLA</t>
        </is>
      </c>
      <c r="H108" s="106" t="inlineStr">
        <is>
          <t>1100</t>
        </is>
      </c>
      <c r="I108" s="106" t="inlineStr">
        <is>
          <t>DR. JACOB BORDIGNOM, S/N - CEP 25715-280</t>
        </is>
      </c>
      <c r="J108" s="106" t="inlineStr">
        <is>
          <t>(24) 2017-3542</t>
        </is>
      </c>
    </row>
    <row r="109" ht="15" customHeight="1" s="107">
      <c r="F109" s="106" t="inlineStr">
        <is>
          <t>ESCOLA SÃO GERALDO</t>
        </is>
      </c>
      <c r="G109" s="106" t="inlineStr">
        <is>
          <t>CARANGOLA</t>
        </is>
      </c>
      <c r="H109" s="106" t="inlineStr">
        <is>
          <t>2041</t>
        </is>
      </c>
      <c r="I109" s="106" t="inlineStr">
        <is>
          <t>ESTRADA DIVINO ESPÍRITO SANTO, 740 - CEP 25715-410</t>
        </is>
      </c>
      <c r="J109" s="106" t="inlineStr">
        <is>
          <t>(24) 2020-4604</t>
        </is>
      </c>
    </row>
    <row r="110" ht="15" customHeight="1" s="107">
      <c r="F110" s="106" t="inlineStr">
        <is>
          <t>CEI LULU MONTEIRO DE CASTRO</t>
        </is>
      </c>
      <c r="G110" s="106" t="inlineStr">
        <is>
          <t>CARANGOLA</t>
        </is>
      </c>
      <c r="H110" s="106" t="inlineStr">
        <is>
          <t>3004</t>
        </is>
      </c>
      <c r="I110" s="106" t="inlineStr">
        <is>
          <t>RUA DA CRECHE, 1 - CEP 25715-408</t>
        </is>
      </c>
      <c r="J110" s="106" t="inlineStr">
        <is>
          <t>(24) 99214-9514, (24) 2291-8324</t>
        </is>
      </c>
    </row>
    <row r="111" ht="15" customHeight="1" s="107">
      <c r="F111" s="106" t="inlineStr">
        <is>
          <t>CEI CARANGOLA</t>
        </is>
      </c>
      <c r="G111" s="106" t="inlineStr">
        <is>
          <t>CARANGOLA</t>
        </is>
      </c>
      <c r="H111" s="106" t="inlineStr">
        <is>
          <t>3039</t>
        </is>
      </c>
      <c r="I111" s="106" t="inlineStr">
        <is>
          <t>ESTRADA DO CARANGOLA, 933 - CEP 25715-221</t>
        </is>
      </c>
      <c r="J111" s="106" t="inlineStr">
        <is>
          <t>(24) 2246-9229</t>
        </is>
      </c>
    </row>
    <row r="112" ht="15" customHeight="1" s="107">
      <c r="F112" s="106" t="inlineStr">
        <is>
          <t>ASSOCIAÇÃO RECREAR</t>
        </is>
      </c>
      <c r="G112" s="106" t="inlineStr">
        <is>
          <t>CARANGOLA</t>
        </is>
      </c>
      <c r="H112" s="106" t="inlineStr">
        <is>
          <t>4007</t>
        </is>
      </c>
      <c r="I112" s="106" t="inlineStr">
        <is>
          <t>ESTRADA DIVINO ESPÍRITO SANTO, 377 - CEP 25715-410</t>
        </is>
      </c>
      <c r="J112" s="106" t="inlineStr">
        <is>
          <t>(24) 2242-4376, (24) 98856-3757</t>
        </is>
      </c>
    </row>
    <row r="113" ht="15" customHeight="1" s="107">
      <c r="F113" s="106" t="inlineStr">
        <is>
          <t>CENTRO DE EDUCAÇÃO INFANTIL CASA DA PAZ</t>
        </is>
      </c>
      <c r="G113" s="106" t="inlineStr">
        <is>
          <t>VALE DO CARANGOLA</t>
        </is>
      </c>
      <c r="H113" s="106" t="inlineStr">
        <is>
          <t>3051</t>
        </is>
      </c>
      <c r="I113" s="106" t="inlineStr">
        <is>
          <t>RUA DA CRECHE, 14 - CEP 25715-408</t>
        </is>
      </c>
      <c r="J113" s="106" t="inlineStr">
        <is>
          <t>(24) 2006-0195, (24) 98812-1821</t>
        </is>
      </c>
    </row>
    <row r="114" ht="15" customHeight="1" s="107">
      <c r="F114" s="106" t="inlineStr">
        <is>
          <t>E M ROSEMIRA DE OLIVEIRA CAVALCANTI</t>
        </is>
      </c>
      <c r="G114" s="106" t="inlineStr">
        <is>
          <t>ITAMARATI</t>
        </is>
      </c>
      <c r="H114" s="106" t="inlineStr">
        <is>
          <t>1042</t>
        </is>
      </c>
      <c r="I114" s="106" t="inlineStr">
        <is>
          <t>RUA JOÃO DE FARIAS, S/N - CEP 25710-094</t>
        </is>
      </c>
      <c r="J114" s="106" t="inlineStr">
        <is>
          <t>(24) 2242-3013, (24) 98810-0009</t>
        </is>
      </c>
    </row>
    <row r="115" ht="15" customHeight="1" s="107">
      <c r="F115" s="106" t="inlineStr">
        <is>
          <t>E MZDA CARMEM NUNES MARTINS</t>
        </is>
      </c>
      <c r="G115" s="106" t="inlineStr">
        <is>
          <t>ITAMARATI</t>
        </is>
      </c>
      <c r="H115" s="106" t="inlineStr">
        <is>
          <t>1075</t>
        </is>
      </c>
      <c r="I115" s="106" t="inlineStr">
        <is>
          <t>RUA DR. JOÃO BARCELOS, 687 - CEP 25615-171</t>
        </is>
      </c>
      <c r="J115" s="106" t="inlineStr">
        <is>
          <t>(24) 2244-7848, (24) 98815-3826</t>
        </is>
      </c>
    </row>
    <row r="116" ht="15" customHeight="1" s="107">
      <c r="F116" s="106" t="inlineStr">
        <is>
          <t>CEI SÃO JOSÉ DO ITAMARATI</t>
        </is>
      </c>
      <c r="G116" s="106" t="inlineStr">
        <is>
          <t>ITAMARATI</t>
        </is>
      </c>
      <c r="H116" s="106" t="inlineStr">
        <is>
          <t>4006</t>
        </is>
      </c>
      <c r="I116" s="106" t="inlineStr">
        <is>
          <t>QUISSAMÃ, 2012 - CEP 25615-532</t>
        </is>
      </c>
      <c r="J116" s="106" t="inlineStr">
        <is>
          <t>(24) 2249-3816</t>
        </is>
      </c>
    </row>
    <row r="117" ht="15" customHeight="1" s="107">
      <c r="F117" s="106" t="inlineStr">
        <is>
          <t>E M DUQUE DE CAXIAS</t>
        </is>
      </c>
      <c r="G117" s="106" t="inlineStr">
        <is>
          <t>QUISSAMÃ</t>
        </is>
      </c>
      <c r="H117" s="106" t="inlineStr">
        <is>
          <t>1008</t>
        </is>
      </c>
      <c r="I117" s="106" t="inlineStr">
        <is>
          <t>TRAVESSA LUCIANO CAMAROTA, 78 - CEP 25615-390</t>
        </is>
      </c>
      <c r="J117" s="106" t="inlineStr">
        <is>
          <t>(24) 2247-0070, (24) 98816-4280</t>
        </is>
      </c>
    </row>
    <row r="118" ht="15" customHeight="1" s="107">
      <c r="F118" s="106" t="inlineStr">
        <is>
          <t>CENTRO DE EDUCAÇÃO INFANTIL PROFESSORA ANNA MARIA NARDI</t>
        </is>
      </c>
      <c r="G118" s="106" t="inlineStr">
        <is>
          <t>QUISSAMÃ</t>
        </is>
      </c>
      <c r="H118" s="106" t="inlineStr">
        <is>
          <t>3070</t>
        </is>
      </c>
      <c r="I118" s="106" t="inlineStr">
        <is>
          <t>QUISSAMÃ, 375 - CEP 25615-411</t>
        </is>
      </c>
      <c r="J118" s="106" t="inlineStr">
        <is>
          <t>(24) 2246-2656, (24) 99319-8398</t>
        </is>
      </c>
    </row>
    <row r="119" ht="15" customHeight="1" s="107">
      <c r="F119" s="106" t="inlineStr">
        <is>
          <t>E M ANTÔNIO LEITE GARCIA</t>
        </is>
      </c>
      <c r="G119" s="106" t="inlineStr">
        <is>
          <t>SAMAMBAIA</t>
        </is>
      </c>
      <c r="H119" s="106" t="inlineStr">
        <is>
          <t>1028</t>
        </is>
      </c>
      <c r="I119" s="106" t="inlineStr">
        <is>
          <t>ESTRADA DO SAMAMBAIA, 44 - CEP 25710-372</t>
        </is>
      </c>
      <c r="J119" s="106" t="inlineStr">
        <is>
          <t>(24) 2280-4336</t>
        </is>
      </c>
    </row>
    <row r="120" ht="15" customHeight="1" s="107">
      <c r="F120" s="106" t="inlineStr">
        <is>
          <t>ESCOLA PAROQUIAL DA ALCOBAÇA</t>
        </is>
      </c>
      <c r="G120" s="106" t="inlineStr">
        <is>
          <t>SAMAMBAIA</t>
        </is>
      </c>
      <c r="H120" s="106" t="inlineStr">
        <is>
          <t>2037</t>
        </is>
      </c>
      <c r="I120" s="106" t="inlineStr">
        <is>
          <t>LUIZ SALOMÃO VIANA, 128 - CEP 25710-332</t>
        </is>
      </c>
      <c r="J120" s="106" t="inlineStr">
        <is>
          <t>(24) 98112-1309, (24) 98839-3055</t>
        </is>
      </c>
    </row>
    <row r="121" ht="15" customHeight="1" s="107">
      <c r="F121" s="106" t="inlineStr">
        <is>
          <t>CENTRO DE EDUCAÇÃO INFANTIL LOTA MACEDO SOARES</t>
        </is>
      </c>
      <c r="G121" s="106" t="inlineStr">
        <is>
          <t>SAMAMBAIA</t>
        </is>
      </c>
      <c r="H121" s="106" t="inlineStr">
        <is>
          <t>3058</t>
        </is>
      </c>
      <c r="I121" s="106" t="inlineStr">
        <is>
          <t>ENGENHEIRO DURVAL DE SOUZA, 142 - CEP 25710-320</t>
        </is>
      </c>
      <c r="J121" s="106" t="inlineStr">
        <is>
          <t>(24) 2291-3344, (24) 2245-4731</t>
        </is>
      </c>
    </row>
    <row r="122" ht="15" customHeight="1" s="107">
      <c r="F122" s="106" t="inlineStr">
        <is>
          <t>ESCOLA PAROQUIAL DO LOTEAMENTO SAMAMBAIA</t>
        </is>
      </c>
      <c r="G122" s="106" t="inlineStr">
        <is>
          <t>LOTEAMENTO SAMAMBAIA</t>
        </is>
      </c>
      <c r="H122" s="106" t="inlineStr">
        <is>
          <t>2038</t>
        </is>
      </c>
      <c r="I122" s="106" t="inlineStr">
        <is>
          <t>JOÃO AUGUSTO DE OLIVEIRA FILHO, 28 - CEP 25710-259</t>
        </is>
      </c>
      <c r="J122" s="106" t="inlineStr">
        <is>
          <t>(24) 2247-0517, (24) 98843-5217</t>
        </is>
      </c>
    </row>
    <row r="123" ht="15" customHeight="1" s="107">
      <c r="F123" s="106" t="inlineStr">
        <is>
          <t>E M PROF JOAQUIM DEISTER</t>
        </is>
      </c>
      <c r="G123" s="106" t="inlineStr">
        <is>
          <t>FLORESTA</t>
        </is>
      </c>
      <c r="H123" s="106" t="inlineStr">
        <is>
          <t>1018</t>
        </is>
      </c>
      <c r="I123" s="106" t="inlineStr">
        <is>
          <t>RUA DR. JOÃO GLASS VEIGA, 112 - CEP 25615-111</t>
        </is>
      </c>
      <c r="J123" s="106" t="inlineStr">
        <is>
          <t>(24) 2242-4760</t>
        </is>
      </c>
    </row>
    <row r="124" ht="15" customHeight="1" s="107">
      <c r="F124" s="106" t="inlineStr">
        <is>
          <t>E M MARIETA GONÇALVES</t>
        </is>
      </c>
      <c r="G124" s="106" t="inlineStr">
        <is>
          <t>CORRÊAS</t>
        </is>
      </c>
      <c r="H124" s="106" t="inlineStr">
        <is>
          <t>1036</t>
        </is>
      </c>
      <c r="I124" s="106" t="inlineStr">
        <is>
          <t>RUA NOSSA SENHORA DA GLÓRIA, 1329 - CEP 25720-265</t>
        </is>
      </c>
      <c r="J124" s="106" t="inlineStr">
        <is>
          <t>(24) 2221-1839</t>
        </is>
      </c>
    </row>
    <row r="125" ht="15" customHeight="1" s="107">
      <c r="F125" s="106" t="inlineStr">
        <is>
          <t>E M ODETTE YOUNG MONTEIRO</t>
        </is>
      </c>
      <c r="G125" s="106" t="inlineStr">
        <is>
          <t>CORRÊAS</t>
        </is>
      </c>
      <c r="H125" s="106" t="inlineStr">
        <is>
          <t>1037</t>
        </is>
      </c>
      <c r="I125" s="106" t="inlineStr">
        <is>
          <t>ALEXANDRE ALVES ANTUNES, 133 - CEP 25730-005</t>
        </is>
      </c>
      <c r="J125" s="106" t="inlineStr">
        <is>
          <t>(24) 99271-6764, (24) 2017-3899</t>
        </is>
      </c>
    </row>
    <row r="126" ht="15" customHeight="1" s="107">
      <c r="F126" s="106" t="inlineStr">
        <is>
          <t>E M PROFESSOR JOSEMAR CONTAGE</t>
        </is>
      </c>
      <c r="G126" s="106" t="inlineStr">
        <is>
          <t>CORRÊAS</t>
        </is>
      </c>
      <c r="H126" s="106" t="inlineStr">
        <is>
          <t>1095</t>
        </is>
      </c>
      <c r="I126" s="106" t="inlineStr">
        <is>
          <t>RUA CASTRO ALVES, 80 - CEP 25730-730</t>
        </is>
      </c>
      <c r="J126" s="106" t="inlineStr">
        <is>
          <t>(24) 2221-4289, (24) 2236-2433</t>
        </is>
      </c>
    </row>
    <row r="127" ht="15" customHeight="1" s="107">
      <c r="F127" s="106" t="inlineStr">
        <is>
          <t>E M HERCÍLIA HENRIQUES MORET</t>
        </is>
      </c>
      <c r="G127" s="106" t="inlineStr">
        <is>
          <t>CORRÊAS</t>
        </is>
      </c>
      <c r="H127" s="106" t="inlineStr">
        <is>
          <t>1110</t>
        </is>
      </c>
      <c r="I127" s="106" t="inlineStr">
        <is>
          <t>RUA VIGÁRIO CORRÊA, 238 - CEP 25720-322</t>
        </is>
      </c>
      <c r="J127" s="106" t="inlineStr">
        <is>
          <t>(24) 2221-1922</t>
        </is>
      </c>
    </row>
    <row r="128" ht="15" customHeight="1" s="107">
      <c r="F128" s="106" t="inlineStr">
        <is>
          <t>COLEGIO VICENTINO PADRE CORRÊA</t>
        </is>
      </c>
      <c r="G128" s="106" t="inlineStr">
        <is>
          <t>CORRÊAS</t>
        </is>
      </c>
      <c r="H128" s="106" t="inlineStr">
        <is>
          <t>2034</t>
        </is>
      </c>
      <c r="I128" s="106" t="inlineStr">
        <is>
          <t>ALVARES DE AZEVEDO, 24 - CEP 25730-020</t>
        </is>
      </c>
      <c r="J128" s="106" t="inlineStr">
        <is>
          <t>(24) 2221-2046, (24) 2221-1970</t>
        </is>
      </c>
    </row>
    <row r="129" ht="15" customHeight="1" s="107">
      <c r="F129" s="106" t="inlineStr">
        <is>
          <t>CEI PROFª MARLUCE DE SOUZA PESTANA</t>
        </is>
      </c>
      <c r="G129" s="106" t="inlineStr">
        <is>
          <t>CORRÊAS</t>
        </is>
      </c>
      <c r="H129" s="106" t="inlineStr">
        <is>
          <t>3047</t>
        </is>
      </c>
      <c r="I129" s="106" t="inlineStr">
        <is>
          <t>BONFIM, 3046 - CEP 25730-010</t>
        </is>
      </c>
      <c r="J129" s="106" t="inlineStr">
        <is>
          <t>(24) 2236-0202</t>
        </is>
      </c>
    </row>
    <row r="130" ht="15" customHeight="1" s="107">
      <c r="F130" s="106" t="inlineStr">
        <is>
          <t>CEI IRINEU MARINHO</t>
        </is>
      </c>
      <c r="G130" s="106" t="inlineStr">
        <is>
          <t>CORRÊAS</t>
        </is>
      </c>
      <c r="H130" s="106" t="inlineStr">
        <is>
          <t>3059</t>
        </is>
      </c>
      <c r="I130" s="106" t="inlineStr">
        <is>
          <t>ALVARES DE AZEVEDO, 83 - CEP 25730-020</t>
        </is>
      </c>
      <c r="J130" s="106" t="inlineStr">
        <is>
          <t>(24) 2017-8623</t>
        </is>
      </c>
    </row>
    <row r="131" ht="15" customHeight="1" s="107">
      <c r="F131" s="106" t="inlineStr">
        <is>
          <t>CEI DAGMAR ROLANDO DE OLIVEIRA</t>
        </is>
      </c>
      <c r="G131" s="106" t="inlineStr">
        <is>
          <t>CORRÊAS</t>
        </is>
      </c>
      <c r="H131" s="106" t="inlineStr">
        <is>
          <t>3069</t>
        </is>
      </c>
      <c r="I131" s="106" t="inlineStr">
        <is>
          <t>PRINCESA DONA PAULA, 25 - CEP 25730-100</t>
        </is>
      </c>
      <c r="J131" s="106" t="inlineStr">
        <is>
          <t>(24) 2019-3680</t>
        </is>
      </c>
    </row>
    <row r="132" ht="15" customHeight="1" s="107">
      <c r="F132" s="106" t="inlineStr">
        <is>
          <t>CEI NOSSA SENHORA DA GLÓRIA</t>
        </is>
      </c>
      <c r="G132" s="106" t="inlineStr">
        <is>
          <t>CORRÊAS</t>
        </is>
      </c>
      <c r="H132" s="106" t="inlineStr">
        <is>
          <t>3081</t>
        </is>
      </c>
      <c r="I132" s="106" t="inlineStr">
        <is>
          <t>RUA NOSSA SENHORA DA GLÓRIA, 1370 - CEP 25720-265</t>
        </is>
      </c>
      <c r="J132" s="106" t="inlineStr">
        <is>
          <t>(24) 2221-7590</t>
        </is>
      </c>
    </row>
    <row r="133" ht="15" customHeight="1" s="107">
      <c r="F133" s="106" t="inlineStr">
        <is>
          <t>E M PROF NILTON COSTA PEREIRA DE SÃO THIAGO</t>
        </is>
      </c>
      <c r="G133" s="106" t="inlineStr">
        <is>
          <t>NOGUEIRA</t>
        </is>
      </c>
      <c r="H133" s="106" t="inlineStr">
        <is>
          <t>1116</t>
        </is>
      </c>
      <c r="I133" s="106" t="inlineStr">
        <is>
          <t>AV.LEOPOLDINA, 561 - CEP 25730-203</t>
        </is>
      </c>
      <c r="J133" s="106" t="inlineStr">
        <is>
          <t>(24) 2221-4724</t>
        </is>
      </c>
    </row>
    <row r="134" ht="15" customHeight="1" s="107">
      <c r="F134" s="106" t="inlineStr">
        <is>
          <t>CENTRO DE EDUCAÇÃO INFANTIL SÉRGIO RIBEIRO ROCHA</t>
        </is>
      </c>
      <c r="G134" s="106" t="inlineStr">
        <is>
          <t>NOGUEIRA</t>
        </is>
      </c>
      <c r="H134" s="106" t="inlineStr">
        <is>
          <t>3079</t>
        </is>
      </c>
      <c r="I134" s="106" t="inlineStr">
        <is>
          <t>ESTRADA DO PALMITAL, - CEP 25730-500</t>
        </is>
      </c>
      <c r="J134" s="106" t="inlineStr">
        <is>
          <t>(24) 2231-7404</t>
        </is>
      </c>
    </row>
    <row r="135" ht="15" customHeight="1" s="107">
      <c r="F135" s="106" t="inlineStr">
        <is>
          <t>CEI SANTO ANTÔNIO AGOSTINHO</t>
        </is>
      </c>
      <c r="G135" s="106" t="inlineStr">
        <is>
          <t>NOGUEIRA</t>
        </is>
      </c>
      <c r="H135" s="106" t="inlineStr">
        <is>
          <t>4003</t>
        </is>
      </c>
      <c r="I135" s="106" t="inlineStr">
        <is>
          <t>LEOPOLDINA, 590 - CEP 25730-203</t>
        </is>
      </c>
      <c r="J135" s="106" t="inlineStr">
        <is>
          <t>(24) 2221-5545</t>
        </is>
      </c>
    </row>
    <row r="136" ht="15" customHeight="1" s="107">
      <c r="F136" s="106" t="inlineStr">
        <is>
          <t>CEI OSWALDO CRUZ</t>
        </is>
      </c>
      <c r="G136" s="106" t="inlineStr">
        <is>
          <t>QUARTEIRÃO INGELHEIM</t>
        </is>
      </c>
      <c r="H136" s="106" t="inlineStr">
        <is>
          <t>3060</t>
        </is>
      </c>
      <c r="I136" s="106" t="inlineStr">
        <is>
          <t>RUA INGELHEIM, 643 - CEP 25675-540</t>
        </is>
      </c>
      <c r="J136" s="106" t="inlineStr">
        <is>
          <t>(24) 2243-4721, (24) 99920-5057</t>
        </is>
      </c>
    </row>
    <row r="137" ht="15" customHeight="1" s="107">
      <c r="F137" s="106" t="inlineStr">
        <is>
          <t>E M MAGDALENA TAGLIAFERRO</t>
        </is>
      </c>
      <c r="G137" s="106" t="inlineStr">
        <is>
          <t>CASTELO SÃO MANOEL</t>
        </is>
      </c>
      <c r="H137" s="106" t="inlineStr">
        <is>
          <t>1034</t>
        </is>
      </c>
      <c r="I137" s="106" t="inlineStr">
        <is>
          <t>CAPITÃO JOÃO AMÂNCIO DE S.COUTINHO, S/N - CEP 25720-210</t>
        </is>
      </c>
      <c r="J137" s="106" t="inlineStr">
        <is>
          <t>(24) 2221-5955, (24) 99255-8706</t>
        </is>
      </c>
    </row>
    <row r="138" ht="15" customHeight="1" s="107">
      <c r="F138" s="106" t="inlineStr">
        <is>
          <t>ESCOLA SÃO JOSÉ DO CAETITU</t>
        </is>
      </c>
      <c r="G138" s="106" t="inlineStr">
        <is>
          <t>CASTELO SÃO MANOEL</t>
        </is>
      </c>
      <c r="H138" s="106" t="inlineStr">
        <is>
          <t>2049</t>
        </is>
      </c>
      <c r="I138" s="106" t="inlineStr">
        <is>
          <t>ESTRADA DO RIBEIRAO, 490 - CEP 25730-970</t>
        </is>
      </c>
      <c r="J138" s="106" t="inlineStr">
        <is>
          <t>(24) 2249-1909</t>
        </is>
      </c>
    </row>
    <row r="139" ht="15" customHeight="1" s="107">
      <c r="F139" s="106" t="inlineStr">
        <is>
          <t>CRECHE-ESCOLA CASTELO SÃO MANOEL</t>
        </is>
      </c>
      <c r="G139" s="106" t="inlineStr">
        <is>
          <t>CASTELO SÃO MANOEL</t>
        </is>
      </c>
      <c r="H139" s="106" t="inlineStr">
        <is>
          <t>4019</t>
        </is>
      </c>
      <c r="I139" s="106" t="inlineStr">
        <is>
          <t>RUA VISCONDE DE TAUNAY, 641 - CEP 25720-200</t>
        </is>
      </c>
      <c r="J139" s="106" t="inlineStr">
        <is>
          <t>(24) 2221-5830, (24) 98876-0610</t>
        </is>
      </c>
    </row>
    <row r="140" ht="15" customHeight="1" s="107">
      <c r="F140" s="106" t="inlineStr">
        <is>
          <t>CEI THEREZINHA DE JESUS LIMA</t>
        </is>
      </c>
      <c r="G140" s="106" t="inlineStr">
        <is>
          <t>BONFIM</t>
        </is>
      </c>
      <c r="H140" s="106" t="inlineStr">
        <is>
          <t>3076</t>
        </is>
      </c>
      <c r="I140" s="106" t="inlineStr">
        <is>
          <t>ALEXANDRE ALVES ANTUNES, 80 - CEP 25730-005</t>
        </is>
      </c>
      <c r="J140" s="106" t="inlineStr">
        <is>
          <t>(24) 2246-4262</t>
        </is>
      </c>
    </row>
    <row r="141" ht="15" customHeight="1" s="107">
      <c r="F141" s="106" t="inlineStr">
        <is>
          <t>E M PROFESSOR PAULO MONTE</t>
        </is>
      </c>
      <c r="G141" s="106" t="inlineStr">
        <is>
          <t>ARARAS</t>
        </is>
      </c>
      <c r="H141" s="106" t="inlineStr">
        <is>
          <t>1040</t>
        </is>
      </c>
      <c r="I141" s="106" t="inlineStr">
        <is>
          <t>ESTRADA BERNARDO COUTINHO, SN - CEP 25725-020</t>
        </is>
      </c>
      <c r="J141" s="106" t="inlineStr">
        <is>
          <t>(24) 2291-7383</t>
        </is>
      </c>
    </row>
    <row r="142" ht="15" customHeight="1" s="107">
      <c r="F142" s="106" t="inlineStr">
        <is>
          <t>COLÉGIO ANGLICANO DE ARARAS</t>
        </is>
      </c>
      <c r="G142" s="106" t="inlineStr">
        <is>
          <t>ARARAS</t>
        </is>
      </c>
      <c r="H142" s="106" t="inlineStr">
        <is>
          <t>2033</t>
        </is>
      </c>
      <c r="I142" s="106" t="inlineStr">
        <is>
          <t>ESTRADA BERNARDO COUTINHO, 1643 - CEP 25725-022</t>
        </is>
      </c>
      <c r="J142" s="106" t="inlineStr">
        <is>
          <t>(24) 2225-1226</t>
        </is>
      </c>
    </row>
    <row r="143" ht="15" customHeight="1" s="107">
      <c r="F143" s="106" t="inlineStr">
        <is>
          <t>ESCOLA PAROQUIAL SANTA BERNADETE</t>
        </is>
      </c>
      <c r="G143" s="106" t="inlineStr">
        <is>
          <t>ARARAS</t>
        </is>
      </c>
      <c r="H143" s="106" t="inlineStr">
        <is>
          <t>2039</t>
        </is>
      </c>
      <c r="I143" s="106" t="inlineStr">
        <is>
          <t>RUA BERNARDO COUTINHO, 1845 - CEP 25725-022</t>
        </is>
      </c>
      <c r="J143" s="106" t="inlineStr">
        <is>
          <t>(24) 2225-0471</t>
        </is>
      </c>
    </row>
    <row r="144" ht="15" customHeight="1" s="107">
      <c r="F144" s="106" t="inlineStr">
        <is>
          <t>CEI VISTA ALEGRE</t>
        </is>
      </c>
      <c r="G144" s="106" t="inlineStr">
        <is>
          <t>ARARAS</t>
        </is>
      </c>
      <c r="H144" s="106" t="inlineStr">
        <is>
          <t>3025</t>
        </is>
      </c>
      <c r="I144" s="106" t="inlineStr">
        <is>
          <t>AGNELLO BARREIROS, S/N - CEP 25725-000</t>
        </is>
      </c>
      <c r="J144" s="106" t="inlineStr">
        <is>
          <t>(24) 2235-2553</t>
        </is>
      </c>
    </row>
    <row r="145" ht="15" customHeight="1" s="107">
      <c r="F145" s="106" t="inlineStr">
        <is>
          <t>CEI DENISE BESSA DE OLIVA MAYA</t>
        </is>
      </c>
      <c r="G145" s="106" t="inlineStr">
        <is>
          <t>ARARAS</t>
        </is>
      </c>
      <c r="H145" s="106" t="inlineStr">
        <is>
          <t>3056</t>
        </is>
      </c>
      <c r="I145" s="106" t="inlineStr">
        <is>
          <t>ESTRADA BERNARDO COUTINHO, 526 - CEP 25725-020</t>
        </is>
      </c>
      <c r="J145" s="106" t="inlineStr">
        <is>
          <t>(24) 2225-1136</t>
        </is>
      </c>
    </row>
    <row r="146" ht="15" customHeight="1" s="107">
      <c r="F146" s="106" t="inlineStr">
        <is>
          <t>CEI VIDEIRINHA</t>
        </is>
      </c>
      <c r="G146" s="106" t="inlineStr">
        <is>
          <t>ARARAS</t>
        </is>
      </c>
      <c r="H146" s="106" t="inlineStr">
        <is>
          <t>3077</t>
        </is>
      </c>
      <c r="I146" s="106" t="inlineStr">
        <is>
          <t>ESTR. ALMIRANTE PAULO MEIRA, 8201 - CEP 25725-029</t>
        </is>
      </c>
      <c r="J146" s="106" t="inlineStr">
        <is>
          <t>(24) 99269-4949, (24) 99310-6988</t>
        </is>
      </c>
    </row>
    <row r="147" ht="15" customHeight="1" s="107">
      <c r="F147" s="106" t="inlineStr">
        <is>
          <t>E M AMÉRICO FERNANDES RIBEIRO</t>
        </is>
      </c>
      <c r="G147" s="106" t="inlineStr">
        <is>
          <t>VALE DAS VIDEIRAS</t>
        </is>
      </c>
      <c r="H147" s="106" t="inlineStr">
        <is>
          <t>1097</t>
        </is>
      </c>
      <c r="I147" s="106" t="inlineStr">
        <is>
          <t>ESTR. ALMIRANTE PAULO MEIRA, 8400 - CEP 25725-029</t>
        </is>
      </c>
      <c r="J147" s="106" t="inlineStr">
        <is>
          <t>(24) 3199-0100</t>
        </is>
      </c>
    </row>
    <row r="148" ht="15" customHeight="1" s="107">
      <c r="F148" s="106" t="inlineStr">
        <is>
          <t>E M AUGUSTO PUGNALONI</t>
        </is>
      </c>
      <c r="G148" s="106" t="inlineStr">
        <is>
          <t>ITAIPAVA</t>
        </is>
      </c>
      <c r="H148" s="106" t="inlineStr">
        <is>
          <t>1044</t>
        </is>
      </c>
      <c r="I148" s="106" t="inlineStr">
        <is>
          <t>ESTRADA DO CATOBIRA, S/N - CEP 25740-100</t>
        </is>
      </c>
      <c r="J148" s="106" t="inlineStr">
        <is>
          <t>(24) 2246-9103</t>
        </is>
      </c>
    </row>
    <row r="149" ht="15" customHeight="1" s="107">
      <c r="F149" s="106" t="inlineStr">
        <is>
          <t>E M CELINA SCHECHNER</t>
        </is>
      </c>
      <c r="G149" s="106" t="inlineStr">
        <is>
          <t>ITAIPAVA</t>
        </is>
      </c>
      <c r="H149" s="106" t="inlineStr">
        <is>
          <t>1045</t>
        </is>
      </c>
      <c r="I149" s="106" t="inlineStr">
        <is>
          <t>ESTRADA UNIÃO INDÚSTRIA, 11976 - CEP 25750-226</t>
        </is>
      </c>
      <c r="J149" s="106" t="inlineStr">
        <is>
          <t>(24) 2235-7349</t>
        </is>
      </c>
    </row>
    <row r="150" ht="15" customHeight="1" s="107">
      <c r="F150" s="106" t="inlineStr">
        <is>
          <t>E M DARCY CORREA DA VEIGA</t>
        </is>
      </c>
      <c r="G150" s="106" t="inlineStr">
        <is>
          <t>ITAIPAVA</t>
        </is>
      </c>
      <c r="H150" s="106" t="inlineStr">
        <is>
          <t>1046</t>
        </is>
      </c>
      <c r="I150" s="106" t="inlineStr">
        <is>
          <t>ESTRADA CORREA DA VEIGA, 1595 - CEP 25745-260</t>
        </is>
      </c>
      <c r="J150" s="106" t="inlineStr">
        <is>
          <t>(24) 99253-0879, (24) 2246-9319</t>
        </is>
      </c>
    </row>
    <row r="151" ht="15" customHeight="1" s="107">
      <c r="F151" s="106" t="inlineStr">
        <is>
          <t>E M DR PAULA BUARQUE</t>
        </is>
      </c>
      <c r="G151" s="106" t="inlineStr">
        <is>
          <t>ITAIPAVA</t>
        </is>
      </c>
      <c r="H151" s="106" t="inlineStr">
        <is>
          <t>1048</t>
        </is>
      </c>
      <c r="I151" s="106" t="inlineStr">
        <is>
          <t>ESTR. PHILÚVIO CERQUEIRA RODRIGUES-VL CO, KM 2 - CEP 25745-001</t>
        </is>
      </c>
      <c r="J151" s="106" t="inlineStr">
        <is>
          <t>(24) 2222-6445, (24) 98821-8414</t>
        </is>
      </c>
    </row>
    <row r="152" ht="15" customHeight="1" s="107">
      <c r="F152" s="106" t="inlineStr">
        <is>
          <t>LICEU SÃO JOSÉ DE ITAIPAVA</t>
        </is>
      </c>
      <c r="G152" s="106" t="inlineStr">
        <is>
          <t>ITAIPAVA</t>
        </is>
      </c>
      <c r="H152" s="106" t="inlineStr">
        <is>
          <t>2045</t>
        </is>
      </c>
      <c r="I152" s="106" t="inlineStr">
        <is>
          <t>ESTRADA UNIÃO INDÚSTRIA, 1449 - CEP 25740-365</t>
        </is>
      </c>
      <c r="J152" s="106" t="inlineStr">
        <is>
          <t>(24) 2222-1210, (24) 2222-1443</t>
        </is>
      </c>
    </row>
    <row r="153" ht="15" customHeight="1" s="107">
      <c r="F153" s="106" t="inlineStr">
        <is>
          <t>CEI LUIZ MARCHIORI</t>
        </is>
      </c>
      <c r="G153" s="106" t="inlineStr">
        <is>
          <t>ITAIPAVA</t>
        </is>
      </c>
      <c r="H153" s="106" t="inlineStr">
        <is>
          <t>3045</t>
        </is>
      </c>
      <c r="I153" s="106" t="inlineStr">
        <is>
          <t>DO GENTIL, 1906 - CEP 25745-060</t>
        </is>
      </c>
      <c r="J153" s="106" t="inlineStr">
        <is>
          <t>(24) 2020-0750, (24) 99968-2860</t>
        </is>
      </c>
    </row>
    <row r="154" ht="15" customHeight="1" s="107">
      <c r="F154" s="106" t="inlineStr">
        <is>
          <t>CENTRO DE EDUCAÇÃO INFANTIL AUGUSTO PUGNALONI</t>
        </is>
      </c>
      <c r="G154" s="106" t="inlineStr">
        <is>
          <t>ITAIPAVA</t>
        </is>
      </c>
      <c r="H154" s="106" t="inlineStr">
        <is>
          <t>3075</t>
        </is>
      </c>
      <c r="I154" s="106" t="inlineStr">
        <is>
          <t>ESTRADA DO CATOBIRA, S/N - CEP 25740-100</t>
        </is>
      </c>
      <c r="J154" s="106" t="inlineStr">
        <is>
          <t>(24) 2246-9104</t>
        </is>
      </c>
    </row>
    <row r="155" ht="15" customHeight="1" s="107">
      <c r="F155" s="106" t="inlineStr">
        <is>
          <t>CEI PROFª ADRIANA CONSTÂNCIO TRINDADE</t>
        </is>
      </c>
      <c r="G155" s="106" t="inlineStr">
        <is>
          <t>ITAIPAVA</t>
        </is>
      </c>
      <c r="H155" s="106" t="inlineStr">
        <is>
          <t>3078</t>
        </is>
      </c>
      <c r="I155" s="106" t="inlineStr">
        <is>
          <t>ESTRADA UNIÃO INDÚSTRIA, 11990 - CEP 25750-220</t>
        </is>
      </c>
      <c r="J155" s="106" t="inlineStr">
        <is>
          <t>(24) 2235-7398</t>
        </is>
      </c>
    </row>
    <row r="156" ht="15" customHeight="1" s="107">
      <c r="F156" s="106" t="inlineStr">
        <is>
          <t>E M AMÉLIA ANTUNES RABELLO</t>
        </is>
      </c>
      <c r="G156" s="106" t="inlineStr">
        <is>
          <t>MADAME MACHADO</t>
        </is>
      </c>
      <c r="H156" s="106" t="inlineStr">
        <is>
          <t>1043</t>
        </is>
      </c>
      <c r="I156" s="106" t="inlineStr">
        <is>
          <t>RUA JOSÉ DA GAMA MACHADO, S/N - CEP 25745-700</t>
        </is>
      </c>
      <c r="J156" s="106" t="inlineStr">
        <is>
          <t>(24) 2222-5113</t>
        </is>
      </c>
    </row>
    <row r="157" ht="15" customHeight="1" s="107">
      <c r="F157" s="106" t="inlineStr">
        <is>
          <t>CEI PREFEITO SÉRGIO FADEL</t>
        </is>
      </c>
      <c r="G157" s="106" t="inlineStr">
        <is>
          <t>MADAME MACHADO</t>
        </is>
      </c>
      <c r="H157" s="106" t="inlineStr">
        <is>
          <t>3033</t>
        </is>
      </c>
      <c r="I157" s="106" t="inlineStr">
        <is>
          <t>GERALDO LOURENÇO DIAS, 33 - CEP 25745-710</t>
        </is>
      </c>
      <c r="J157" s="106" t="inlineStr">
        <is>
          <t>(24) 2246-9433</t>
        </is>
      </c>
    </row>
    <row r="158" ht="15" customHeight="1" s="107">
      <c r="F158" s="106" t="inlineStr">
        <is>
          <t>E M DR THEODORO MACHADO</t>
        </is>
      </c>
      <c r="G158" s="106" t="inlineStr">
        <is>
          <t>CUIABÁ</t>
        </is>
      </c>
      <c r="H158" s="106" t="inlineStr">
        <is>
          <t>1049</t>
        </is>
      </c>
      <c r="I158" s="106" t="inlineStr">
        <is>
          <t>ESTRADA MINISTRO SALGADO FILHO, S/N - CEP 25745-690</t>
        </is>
      </c>
      <c r="J158" s="106" t="inlineStr">
        <is>
          <t>(24) 2222-9172</t>
        </is>
      </c>
    </row>
    <row r="159" ht="15" customHeight="1" s="107">
      <c r="F159" s="106" t="inlineStr">
        <is>
          <t>ESCOLA SANTO ANTÔNIO</t>
        </is>
      </c>
      <c r="G159" s="106" t="inlineStr">
        <is>
          <t>CUIABÁ</t>
        </is>
      </c>
      <c r="H159" s="106" t="inlineStr">
        <is>
          <t>2044</t>
        </is>
      </c>
      <c r="I159" s="106" t="inlineStr">
        <is>
          <t>ESTRADA MINISTRO SALGADO FILHO, 4839 - CEP 25745-450</t>
        </is>
      </c>
      <c r="J159" s="106" t="inlineStr">
        <is>
          <t>(24) 99204-1496, (24) 2246-8796</t>
        </is>
      </c>
    </row>
    <row r="160" ht="15" customHeight="1" s="107">
      <c r="F160" s="106" t="inlineStr">
        <is>
          <t>E M TAQUARIL</t>
        </is>
      </c>
      <c r="G160" s="106" t="inlineStr">
        <is>
          <t>PEDRO DO RIO</t>
        </is>
      </c>
      <c r="H160" s="106" t="inlineStr">
        <is>
          <t>1065</t>
        </is>
      </c>
      <c r="I160" s="106" t="inlineStr">
        <is>
          <t>RUA MANOEL BATISTA ANDRADE, S/N - CEP 25750-280</t>
        </is>
      </c>
      <c r="J160" s="106" t="inlineStr">
        <is>
          <t>(24) 2236-2770, (24) 99206-0546</t>
        </is>
      </c>
    </row>
    <row r="161" ht="15" customHeight="1" s="107">
      <c r="F161" s="106" t="inlineStr">
        <is>
          <t>E M MONSENHOR JOÃO DE DEUS RODRIGUES</t>
        </is>
      </c>
      <c r="G161" s="106" t="inlineStr">
        <is>
          <t>PEDRO DO RIO</t>
        </is>
      </c>
      <c r="H161" s="106" t="inlineStr">
        <is>
          <t>1099</t>
        </is>
      </c>
      <c r="I161" s="106" t="inlineStr">
        <is>
          <t>DR. BARROS FRANCO, S/N - CEP 25750-290</t>
        </is>
      </c>
      <c r="J161" s="106" t="inlineStr">
        <is>
          <t>(24) 2223-2857</t>
        </is>
      </c>
    </row>
    <row r="162" ht="15" customHeight="1" s="107">
      <c r="F162" s="106" t="inlineStr">
        <is>
          <t>CENTRO DE REFERÊNCIA EM EDUCAÇÃO INCLUSIVA ALINE DE SOUZA CORREA</t>
        </is>
      </c>
      <c r="G162" s="106" t="inlineStr">
        <is>
          <t>PEDRO DO RIO</t>
        </is>
      </c>
      <c r="H162" s="106" t="inlineStr">
        <is>
          <t>1119</t>
        </is>
      </c>
      <c r="I162" s="106" t="inlineStr">
        <is>
          <t>RUA EUGENIO ZANATTA, 247 - CEP 25750-300</t>
        </is>
      </c>
      <c r="J162" s="106" t="inlineStr">
        <is>
          <t>(24) 2246-6577</t>
        </is>
      </c>
    </row>
    <row r="163" ht="15" customHeight="1" s="107">
      <c r="F163" s="106" t="inlineStr">
        <is>
          <t>CEI PROFª GRAÇA COSTA</t>
        </is>
      </c>
      <c r="G163" s="106" t="inlineStr">
        <is>
          <t>PEDRO DO RIO</t>
        </is>
      </c>
      <c r="H163" s="106" t="inlineStr">
        <is>
          <t>3043</t>
        </is>
      </c>
      <c r="I163" s="106" t="inlineStr">
        <is>
          <t>RUA EMÍLIO ZANATTA, 767 - CEP 25750-100</t>
        </is>
      </c>
      <c r="J163" s="106" t="inlineStr">
        <is>
          <t>(24) 2223-5289, (24) 98808-6118</t>
        </is>
      </c>
    </row>
    <row r="164" ht="15" customHeight="1" s="107">
      <c r="F164" s="106" t="inlineStr">
        <is>
          <t>CEI VILA LEOPOLDINA</t>
        </is>
      </c>
      <c r="G164" s="106" t="inlineStr">
        <is>
          <t>PEDRO DO RIO</t>
        </is>
      </c>
      <c r="H164" s="106" t="inlineStr">
        <is>
          <t>3050</t>
        </is>
      </c>
      <c r="I164" s="106" t="inlineStr">
        <is>
          <t>RUA EUGENIO ZANATTA, S/N - CEP 25750-300</t>
        </is>
      </c>
      <c r="J164" s="106" t="inlineStr">
        <is>
          <t>(24) 98844-5754</t>
        </is>
      </c>
    </row>
    <row r="165" ht="15" customHeight="1" s="107">
      <c r="F165" s="106" t="inlineStr">
        <is>
          <t>CEI NILO PEÇANHA</t>
        </is>
      </c>
      <c r="G165" s="106" t="inlineStr">
        <is>
          <t>PEDRO DO RIO</t>
        </is>
      </c>
      <c r="H165" s="106" t="inlineStr">
        <is>
          <t>3074</t>
        </is>
      </c>
      <c r="I165" s="106" t="inlineStr">
        <is>
          <t>RUA EUGENIO ZANATTA, 247 - CEP 25750-300</t>
        </is>
      </c>
      <c r="J165" s="106" t="inlineStr">
        <is>
          <t>(24) 99313-4013, (24) 2246-8660</t>
        </is>
      </c>
    </row>
    <row r="166" ht="15" customHeight="1" s="107">
      <c r="F166" s="106" t="inlineStr">
        <is>
          <t>E MZDA SANTA TEREZINHA</t>
        </is>
      </c>
      <c r="G166" s="106" t="inlineStr">
        <is>
          <t>VILA RICA</t>
        </is>
      </c>
      <c r="H166" s="106" t="inlineStr">
        <is>
          <t>1102</t>
        </is>
      </c>
      <c r="I166" s="106" t="inlineStr">
        <is>
          <t>RUA C, S/N - CEP 25750-990</t>
        </is>
      </c>
      <c r="J166" s="106" t="inlineStr">
        <is>
          <t>(24) 2235-1608</t>
        </is>
      </c>
    </row>
    <row r="167" ht="15" customHeight="1" s="107">
      <c r="F167" s="106" t="inlineStr">
        <is>
          <t>CEI CRIANÇA SANTA EDWIGES</t>
        </is>
      </c>
      <c r="G167" s="106" t="inlineStr">
        <is>
          <t>VILA RICA</t>
        </is>
      </c>
      <c r="H167" s="106" t="inlineStr">
        <is>
          <t>3013</t>
        </is>
      </c>
      <c r="I167" s="106" t="inlineStr">
        <is>
          <t>RUA AUGUSTO FRANCISCO DA SILVA, 1010 - CEP 25750-361</t>
        </is>
      </c>
      <c r="J167" s="106" t="inlineStr">
        <is>
          <t>(24) 2223-4639</t>
        </is>
      </c>
    </row>
    <row r="168" ht="15" customHeight="1" s="107">
      <c r="F168" s="106" t="inlineStr">
        <is>
          <t>E M ARNALDO DYCKERHOFF</t>
        </is>
      </c>
      <c r="G168" s="106" t="inlineStr">
        <is>
          <t>POSSE</t>
        </is>
      </c>
      <c r="H168" s="106" t="inlineStr">
        <is>
          <t>1052</t>
        </is>
      </c>
      <c r="I168" s="106" t="inlineStr">
        <is>
          <t>ESTRADA ARNALDO DYCKERHOFF, 4110 - CEP 25770-130</t>
        </is>
      </c>
      <c r="J168" s="106" t="inlineStr">
        <is>
          <t>(24) 2246-9326</t>
        </is>
      </c>
    </row>
    <row r="169" ht="15" customHeight="1" s="107">
      <c r="F169" s="106" t="inlineStr">
        <is>
          <t>E M CARLOS CANEDO</t>
        </is>
      </c>
      <c r="G169" s="106" t="inlineStr">
        <is>
          <t>POSSE</t>
        </is>
      </c>
      <c r="H169" s="106" t="inlineStr">
        <is>
          <t>1055</t>
        </is>
      </c>
      <c r="I169" s="106" t="inlineStr">
        <is>
          <t>ESTRADA UNIÃO INDÚSTRIA, 24681 - CEP 25750-222</t>
        </is>
      </c>
      <c r="J169" s="106" t="inlineStr">
        <is>
          <t>(24) 98812-4591</t>
        </is>
      </c>
    </row>
    <row r="170" ht="15" customHeight="1" s="107">
      <c r="F170" s="106" t="inlineStr">
        <is>
          <t>E M BEATRIZ ZALESKI</t>
        </is>
      </c>
      <c r="G170" s="106" t="inlineStr">
        <is>
          <t>POSSE</t>
        </is>
      </c>
      <c r="H170" s="106" t="inlineStr">
        <is>
          <t>1067</t>
        </is>
      </c>
      <c r="I170" s="106" t="inlineStr">
        <is>
          <t>ESTRADA UNIÃO INDÚSTRIA - KM 89, RETA DA POSSE - CEP 25770-000</t>
        </is>
      </c>
      <c r="J170" s="106" t="inlineStr">
        <is>
          <t>(24) 2259-2730</t>
        </is>
      </c>
    </row>
    <row r="171" ht="15" customHeight="1" s="107">
      <c r="F171" s="106" t="inlineStr">
        <is>
          <t>E M ANTÔNIO JOSÉ DE LIMA</t>
        </is>
      </c>
      <c r="G171" s="106" t="inlineStr">
        <is>
          <t>POSSE</t>
        </is>
      </c>
      <c r="H171" s="106" t="inlineStr">
        <is>
          <t>1068</t>
        </is>
      </c>
      <c r="I171" s="106" t="inlineStr">
        <is>
          <t>ESTRADA DOS ALBERTOS-BREJAL, S/N - CEP 25770-090</t>
        </is>
      </c>
      <c r="J171" s="106" t="inlineStr">
        <is>
          <t>(24) 2241-0984</t>
        </is>
      </c>
    </row>
    <row r="172" ht="15" customHeight="1" s="107">
      <c r="F172" s="106" t="inlineStr">
        <is>
          <t>E M FELIX WAN ERVEN DE BARROS</t>
        </is>
      </c>
      <c r="G172" s="106" t="inlineStr">
        <is>
          <t>POSSE</t>
        </is>
      </c>
      <c r="H172" s="106" t="inlineStr">
        <is>
          <t>1069</t>
        </is>
      </c>
      <c r="I172" s="106" t="inlineStr">
        <is>
          <t>ESTRADA SILVEIRA DA MOTTA, KM 2,5, S/N, KM 4 - CEP 25770-460</t>
        </is>
      </c>
      <c r="J172" s="106" t="inlineStr">
        <is>
          <t>(24) 99202-5067, (24) 2246-8797</t>
        </is>
      </c>
    </row>
    <row r="173" ht="15" customHeight="1" s="107">
      <c r="F173" s="106" t="inlineStr">
        <is>
          <t>E M HILDEBRANDO DE CARVALHO</t>
        </is>
      </c>
      <c r="G173" s="106" t="inlineStr">
        <is>
          <t>POSSE</t>
        </is>
      </c>
      <c r="H173" s="106" t="inlineStr">
        <is>
          <t>1070</t>
        </is>
      </c>
      <c r="I173" s="106" t="inlineStr">
        <is>
          <t>ESTRADA SILVEIRA DA MOTTA, KM 2,5, S/N, KM 2,5 - CEP 25770-460</t>
        </is>
      </c>
      <c r="J173" s="106" t="inlineStr">
        <is>
          <t>(24) 2246-9123</t>
        </is>
      </c>
    </row>
    <row r="174" ht="15" customHeight="1" s="107">
      <c r="F174" s="106" t="inlineStr">
        <is>
          <t>E M OSWALDO DA COSTA FRIAS</t>
        </is>
      </c>
      <c r="G174" s="106" t="inlineStr">
        <is>
          <t>POSSE</t>
        </is>
      </c>
      <c r="H174" s="106" t="inlineStr">
        <is>
          <t>1073</t>
        </is>
      </c>
      <c r="I174" s="106" t="inlineStr">
        <is>
          <t>ESTRADA DO JURUÁ, N SRA DE FATIMA - CEP 25770-330</t>
        </is>
      </c>
      <c r="J174" s="106" t="inlineStr">
        <is>
          <t>(24) 2246-9087</t>
        </is>
      </c>
    </row>
    <row r="175" ht="15" customHeight="1" s="107">
      <c r="F175" s="106" t="inlineStr">
        <is>
          <t>E MZDA AVELINO DE CARVALHO</t>
        </is>
      </c>
      <c r="G175" s="106" t="inlineStr">
        <is>
          <t>POSSE</t>
        </is>
      </c>
      <c r="H175" s="106" t="inlineStr">
        <is>
          <t>1076</t>
        </is>
      </c>
      <c r="I175" s="106" t="inlineStr">
        <is>
          <t>ESTRADA DO BREJAL, SBREJAL S/N - CEP 25770-090</t>
        </is>
      </c>
      <c r="J175" s="106" t="inlineStr">
        <is>
          <t>(24) 98829-9830, (24) 2246-4278</t>
        </is>
      </c>
    </row>
    <row r="176" ht="15" customHeight="1" s="107">
      <c r="F176" s="106" t="inlineStr">
        <is>
          <t>ESCOLA MUNICIPALIZADA MOYSÉS FURTADO BRAVO</t>
        </is>
      </c>
      <c r="G176" s="106" t="inlineStr">
        <is>
          <t>POSSE</t>
        </is>
      </c>
      <c r="H176" s="106" t="inlineStr">
        <is>
          <t>1111</t>
        </is>
      </c>
      <c r="I176" s="106" t="inlineStr">
        <is>
          <t>PRAÇA FLÁVIO CASTRIOTO, S/N - CEP 25770-200</t>
        </is>
      </c>
      <c r="J176" s="106" t="inlineStr">
        <is>
          <t>(24) 2221-4030</t>
        </is>
      </c>
    </row>
    <row r="177" ht="15" customHeight="1" s="107">
      <c r="F177" s="106" t="inlineStr">
        <is>
          <t>CEI ANGELA MARIA DA CONCEIÇÃO SILVA</t>
        </is>
      </c>
      <c r="G177" s="106" t="inlineStr">
        <is>
          <t>POSSE</t>
        </is>
      </c>
      <c r="H177" s="106" t="inlineStr">
        <is>
          <t>3044</t>
        </is>
      </c>
      <c r="I177" s="106" t="inlineStr">
        <is>
          <t>ESTRADA UNIÃO INDÚSTRIA, 33666 - CEP 25770-480</t>
        </is>
      </c>
      <c r="J177" s="106" t="inlineStr">
        <is>
          <t>(24) 2246-9324, (24) 99259-4303</t>
        </is>
      </c>
    </row>
    <row r="178" ht="15" customHeight="1" s="107">
      <c r="F178" s="106" t="inlineStr">
        <is>
          <t>CEI JOSÉ GONÇALVES DA MOTTA</t>
        </is>
      </c>
      <c r="G178" s="106" t="inlineStr">
        <is>
          <t>POSSE</t>
        </is>
      </c>
      <c r="H178" s="106" t="inlineStr">
        <is>
          <t>3062</t>
        </is>
      </c>
      <c r="I178" s="106" t="inlineStr">
        <is>
          <t>RUA JOÃO DE FARIAS, S/N - CEP 25770-090</t>
        </is>
      </c>
      <c r="J178" s="106" t="inlineStr">
        <is>
          <t>(24) 2247-9762</t>
        </is>
      </c>
    </row>
    <row r="179" ht="15" customHeight="1" s="107">
      <c r="F179" s="106" t="inlineStr">
        <is>
          <t>E M DR BARROS FRANCO</t>
        </is>
      </c>
      <c r="G179" s="106" t="inlineStr">
        <is>
          <t>SECRETÁRIO</t>
        </is>
      </c>
      <c r="H179" s="106" t="inlineStr">
        <is>
          <t>1057</t>
        </is>
      </c>
      <c r="I179" s="106" t="inlineStr">
        <is>
          <t>ESTRADA DE FAGUNDES, S/N - CEP 25755-090</t>
        </is>
      </c>
      <c r="J179" s="106" t="inlineStr">
        <is>
          <t>(24) 98838-3200, (24) 97835-9019</t>
        </is>
      </c>
    </row>
    <row r="180" ht="15" customHeight="1" s="107">
      <c r="F180" s="106" t="inlineStr">
        <is>
          <t>E M MAJOR THEÓFILO DE CARVALHO</t>
        </is>
      </c>
      <c r="G180" s="106" t="inlineStr">
        <is>
          <t>SECRETÁRIO</t>
        </is>
      </c>
      <c r="H180" s="106" t="inlineStr">
        <is>
          <t>1060</t>
        </is>
      </c>
      <c r="I180" s="106" t="inlineStr">
        <is>
          <t>ROCINHA, S/N - CEP 25755-340</t>
        </is>
      </c>
      <c r="J180" s="106" t="inlineStr">
        <is>
          <t>(24) 2228-1276</t>
        </is>
      </c>
    </row>
    <row r="181" ht="15" customHeight="1" s="107">
      <c r="F181" s="106" t="inlineStr">
        <is>
          <t>E M JOÃO KOPKE</t>
        </is>
      </c>
      <c r="G181" s="106" t="inlineStr">
        <is>
          <t>FAZENDA INGLESA</t>
        </is>
      </c>
      <c r="H181" s="106" t="inlineStr">
        <is>
          <t>1011</t>
        </is>
      </c>
      <c r="I181" s="106" t="inlineStr">
        <is>
          <t>ESTRADA DA FAZENDA INGLESA, 4695 - CEP 25670-070</t>
        </is>
      </c>
      <c r="J181" s="106" t="inlineStr">
        <is>
          <t>(24) 2245-7626</t>
        </is>
      </c>
    </row>
    <row r="182" ht="15" customHeight="1" s="107">
      <c r="F182" s="106" t="inlineStr">
        <is>
          <t>CEI ASSOCIAÇÃO BENEFICENTE FAZENDA INGLESA</t>
        </is>
      </c>
      <c r="G182" s="106" t="inlineStr">
        <is>
          <t>FAZENDA INGLESA</t>
        </is>
      </c>
      <c r="H182" s="106" t="inlineStr">
        <is>
          <t>3001</t>
        </is>
      </c>
      <c r="I182" s="106" t="inlineStr">
        <is>
          <t>ESTRADA DA FAZENDA INGLESA, 340 - CEP 25670-070</t>
        </is>
      </c>
      <c r="J182" s="106" t="inlineStr">
        <is>
          <t>(24) 99819-5307, (24) 2249-1184</t>
        </is>
      </c>
    </row>
    <row r="183" ht="15" customHeight="1" s="107">
      <c r="F183" s="106" t="inlineStr">
        <is>
          <t>ESCOLA SAO FRANCISCO DE ASSIS</t>
        </is>
      </c>
      <c r="G183" s="106" t="inlineStr">
        <is>
          <t>MOINHO PRETO</t>
        </is>
      </c>
      <c r="H183" s="106" t="inlineStr">
        <is>
          <t>2027</t>
        </is>
      </c>
      <c r="I183" s="106" t="inlineStr">
        <is>
          <t>JOÃO XAVIER, S/N - CEP 25665-442</t>
        </is>
      </c>
      <c r="J183" s="106" t="inlineStr">
        <is>
          <t>(24) 99271-7947, (24) 2235-3818</t>
        </is>
      </c>
    </row>
    <row r="184" ht="15" customHeight="1" s="107">
      <c r="F184" s="106" t="inlineStr">
        <is>
          <t>CEI SÃO FRANCISCO ASSIS</t>
        </is>
      </c>
      <c r="G184" s="106" t="inlineStr">
        <is>
          <t>MOINHO PRETO</t>
        </is>
      </c>
      <c r="H184" s="106" t="inlineStr">
        <is>
          <t>3006</t>
        </is>
      </c>
      <c r="I184" s="106" t="inlineStr">
        <is>
          <t>ESTRADA DA FAZENDA INGLESA, 25 - CEP 25670-070</t>
        </is>
      </c>
      <c r="J184" s="106" t="inlineStr">
        <is>
          <t>(24) 98802-0473, (24) 2020-6093</t>
        </is>
      </c>
    </row>
    <row r="185" ht="15" customHeight="1" s="107">
      <c r="F185" s="106" t="inlineStr">
        <is>
          <t>CEI ALDEIA DA CRIANCA</t>
        </is>
      </c>
      <c r="G185" s="106" t="inlineStr">
        <is>
          <t>CONTORNO</t>
        </is>
      </c>
      <c r="H185" s="106" t="inlineStr">
        <is>
          <t>3026</t>
        </is>
      </c>
      <c r="I185" s="106" t="inlineStr">
        <is>
          <t>BR-040 KM-81, 195 - CEP 25725-592</t>
        </is>
      </c>
      <c r="J185" s="106" t="inlineStr">
        <is>
          <t>(24) 2248-9915, (24) 2248-9960</t>
        </is>
      </c>
    </row>
    <row r="186" ht="15" customHeight="1" s="107">
      <c r="F186" s="106" t="inlineStr">
        <is>
          <t>E M ODETTE FONSECA</t>
        </is>
      </c>
      <c r="G186" s="106" t="inlineStr">
        <is>
          <t>DUQUES</t>
        </is>
      </c>
      <c r="H186" s="106" t="inlineStr">
        <is>
          <t>1013</t>
        </is>
      </c>
      <c r="I186" s="106" t="inlineStr">
        <is>
          <t>ESTRADA RIO PETRÓPOLIS KM 85, 5 - CEP 25650-001</t>
        </is>
      </c>
      <c r="J186" s="106" t="inlineStr">
        <is>
          <t>(24) 2249-2123</t>
        </is>
      </c>
    </row>
    <row r="187" ht="15" customHeight="1" s="107">
      <c r="F187" s="106" t="inlineStr">
        <is>
          <t>CEI ANA CAROLINA TELLES</t>
        </is>
      </c>
      <c r="G187" s="106" t="inlineStr">
        <is>
          <t>DUQUES</t>
        </is>
      </c>
      <c r="H187" s="106" t="inlineStr">
        <is>
          <t>3061</t>
        </is>
      </c>
      <c r="I187" s="106" t="inlineStr">
        <is>
          <t>ESTRADA RIO PETRÓPOLIS KM 85, S/N - CEP 25650-001</t>
        </is>
      </c>
      <c r="J187" s="106" t="inlineStr">
        <is>
          <t>(24) 2242-1643</t>
        </is>
      </c>
    </row>
    <row r="188" ht="15" customHeight="1" s="107">
      <c r="F188" s="106" t="inlineStr">
        <is>
          <t>E M SEBASTIÃO LACERDA</t>
        </is>
      </c>
      <c r="G188" s="106" t="inlineStr">
        <is>
          <t>ROCIO</t>
        </is>
      </c>
      <c r="H188" s="106" t="inlineStr">
        <is>
          <t>1090</t>
        </is>
      </c>
      <c r="I188" s="106" t="inlineStr">
        <is>
          <t>ESTR. DA VARGEM GRANDE, S/N - CEP 25725-621</t>
        </is>
      </c>
      <c r="J188" s="106" t="inlineStr">
        <is>
          <t>(24) 2246-8464</t>
        </is>
      </c>
    </row>
    <row r="189" ht="15" customHeight="1" s="107">
      <c r="F189" s="106" t="inlineStr">
        <is>
          <t>E M DOM PEDRO DE ALCÂNTARA</t>
        </is>
      </c>
      <c r="G189" s="106" t="inlineStr">
        <is>
          <t>SANTA ROSA DE LIMA</t>
        </is>
      </c>
      <c r="H189" s="106" t="inlineStr">
        <is>
          <t>1006</t>
        </is>
      </c>
      <c r="I189" s="106" t="inlineStr">
        <is>
          <t>RODOVIA WASHINGTHON LUIZ, 94 - CEP 25655-000</t>
        </is>
      </c>
      <c r="J189" s="106" t="inlineStr">
        <is>
          <t>(21) 99352-4970</t>
        </is>
      </c>
    </row>
    <row r="190" ht="15" customHeight="1" s="107">
      <c r="F190" s="106" t="inlineStr">
        <is>
          <t>ESCOLA NOSSA SENHORA DE FÁTIMA</t>
        </is>
      </c>
      <c r="G190" s="106" t="inlineStr">
        <is>
          <t>RIO DA CIDADE</t>
        </is>
      </c>
      <c r="H190" s="106" t="inlineStr">
        <is>
          <t>2036</t>
        </is>
      </c>
      <c r="I190" s="106" t="inlineStr">
        <is>
          <t>RODOVIA BR040 KM66, KM 66 - CEP 25725-580</t>
        </is>
      </c>
      <c r="J190" s="106" t="inlineStr">
        <is>
          <t>(24) 2243-9660</t>
        </is>
      </c>
    </row>
    <row r="191" ht="15" customHeight="1" s="107">
      <c r="F191" s="106" t="inlineStr">
        <is>
          <t>ESCOLA PAROQUIAL SÃO FRANCISCO DE ASSIS - BV</t>
        </is>
      </c>
      <c r="G191" s="106" t="inlineStr">
        <is>
          <t>BELA VISTA</t>
        </is>
      </c>
      <c r="H191" s="106" t="inlineStr">
        <is>
          <t>2026</t>
        </is>
      </c>
      <c r="I191" s="106" t="inlineStr">
        <is>
          <t>RUA MARCOLINO SIMÕES FERREIRA, 254 - CEP 25710-165</t>
        </is>
      </c>
      <c r="J191" s="106" t="inlineStr">
        <is>
          <t>(24) 2280-1174, (24) 2020-4881</t>
        </is>
      </c>
    </row>
    <row r="192" ht="15" customHeight="1" s="107">
      <c r="F192" s="106" t="inlineStr">
        <is>
          <t>E M MONSENHOR CIRILLO CALAON</t>
        </is>
      </c>
      <c r="G192" s="106" t="inlineStr">
        <is>
          <t>JARDIM SALVADOR</t>
        </is>
      </c>
      <c r="H192" s="106" t="inlineStr">
        <is>
          <t>1096</t>
        </is>
      </c>
      <c r="I192" s="106" t="inlineStr">
        <is>
          <t>RUA AROLDO MANO, S/N - CEP 25720-045</t>
        </is>
      </c>
      <c r="J192" s="106" t="inlineStr">
        <is>
          <t>(24) 2291-5163, (24) 2291-5173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4.xml><?xml version="1.0" encoding="utf-8"?>
<worksheet xmlns="http://schemas.openxmlformats.org/spreadsheetml/2006/main">
  <sheetPr filterMode="0">
    <outlinePr summaryBelow="1" summaryRight="1"/>
    <pageSetUpPr fitToPage="0"/>
  </sheetPr>
  <dimension ref="A1:B36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07">
      <c r="A1" s="106" t="inlineStr">
        <is>
          <t>COD_MOTIVO</t>
        </is>
      </c>
      <c r="B1" s="106" t="inlineStr">
        <is>
          <t>DEVOLUCAO_KG</t>
        </is>
      </c>
    </row>
    <row r="2" ht="15" customHeight="1" s="107">
      <c r="A2" s="216">
        <f>'E M ROTARY'!F9</f>
        <v/>
      </c>
      <c r="B2" s="217">
        <f>'E M ROTARY'!C9</f>
        <v/>
      </c>
    </row>
    <row r="3" ht="15" customHeight="1" s="107">
      <c r="A3" s="216">
        <f>'E M ROTARY'!F10</f>
        <v/>
      </c>
      <c r="B3" s="217">
        <f>'E M ROTARY'!C10</f>
        <v/>
      </c>
    </row>
    <row r="4" ht="15" customHeight="1" s="107">
      <c r="A4" s="216">
        <f>'E M ROTARY'!F11</f>
        <v/>
      </c>
      <c r="B4" s="217">
        <f>'E M ROTARY'!C11</f>
        <v/>
      </c>
    </row>
    <row r="5" ht="15" customHeight="1" s="107">
      <c r="A5" s="216">
        <f>'E M ROTARY'!F12</f>
        <v/>
      </c>
      <c r="B5" s="217">
        <f>'E M ROTARY'!C12</f>
        <v/>
      </c>
    </row>
    <row r="6" ht="15" customHeight="1" s="107">
      <c r="A6" s="216">
        <f>'E M ROTARY'!F13</f>
        <v/>
      </c>
      <c r="B6" s="217">
        <f>'E M ROTARY'!C13</f>
        <v/>
      </c>
    </row>
    <row r="7" ht="15" customHeight="1" s="107">
      <c r="A7" s="216">
        <f>'E M ROTARY'!F14</f>
        <v/>
      </c>
      <c r="B7" s="217">
        <f>'E M ROTARY'!C14</f>
        <v/>
      </c>
    </row>
    <row r="8" ht="15" customHeight="1" s="107">
      <c r="A8" s="216">
        <f>'E M ROTARY'!F15</f>
        <v/>
      </c>
      <c r="B8" s="217">
        <f>'E M ROTARY'!C15</f>
        <v/>
      </c>
    </row>
    <row r="9" ht="15" customHeight="1" s="107">
      <c r="A9" s="216">
        <f>'E M ROTARY'!F16</f>
        <v/>
      </c>
      <c r="B9" s="217">
        <f>'E M ROTARY'!C16</f>
        <v/>
      </c>
    </row>
    <row r="10" ht="15" customHeight="1" s="107">
      <c r="A10" s="216">
        <f>'E M ROTARY'!F17</f>
        <v/>
      </c>
      <c r="B10" s="217">
        <f>'E M ROTARY'!C17</f>
        <v/>
      </c>
    </row>
    <row r="11" ht="15" customHeight="1" s="107">
      <c r="A11" s="216">
        <f>'E M ROTARY'!F18</f>
        <v/>
      </c>
      <c r="B11" s="217">
        <f>'E M ROTARY'!C18</f>
        <v/>
      </c>
    </row>
    <row r="12" ht="15" customHeight="1" s="107">
      <c r="A12" s="216">
        <f>'E M ROTARY'!F19</f>
        <v/>
      </c>
      <c r="B12" s="217">
        <f>'E M ROTARY'!C19</f>
        <v/>
      </c>
    </row>
    <row r="13" ht="15" customHeight="1" s="107">
      <c r="A13" s="216">
        <f>'E M ROTARY'!F20</f>
        <v/>
      </c>
      <c r="B13" s="217">
        <f>'E M ROTARY'!C20</f>
        <v/>
      </c>
    </row>
    <row r="14" ht="15" customHeight="1" s="107">
      <c r="A14" s="216">
        <f>'E M ROTARY'!F21</f>
        <v/>
      </c>
      <c r="B14" s="217">
        <f>'E M ROTARY'!C21</f>
        <v/>
      </c>
    </row>
    <row r="15" ht="15" customHeight="1" s="107">
      <c r="A15" s="216">
        <f>'E M ROTARY'!F22</f>
        <v/>
      </c>
      <c r="B15" s="217">
        <f>'E M ROTARY'!C22</f>
        <v/>
      </c>
    </row>
    <row r="16" ht="15" customHeight="1" s="107">
      <c r="A16" s="216">
        <f>'E M ROTARY'!F23</f>
        <v/>
      </c>
      <c r="B16" s="217">
        <f>'E M ROTARY'!C23</f>
        <v/>
      </c>
    </row>
    <row r="17" ht="15" customHeight="1" s="107">
      <c r="A17" s="216">
        <f>'E M ROTARY'!F24</f>
        <v/>
      </c>
      <c r="B17" s="217">
        <f>'E M ROTARY'!C24</f>
        <v/>
      </c>
    </row>
    <row r="18" ht="15" customHeight="1" s="107">
      <c r="A18" s="216">
        <f>'E M ROTARY'!F25</f>
        <v/>
      </c>
      <c r="B18" s="217">
        <f>'E M ROTARY'!C25</f>
        <v/>
      </c>
    </row>
    <row r="19" ht="15" customHeight="1" s="107">
      <c r="A19" s="216">
        <f>'E M ROTARY'!F26</f>
        <v/>
      </c>
      <c r="B19" s="217">
        <f>'E M ROTARY'!C26</f>
        <v/>
      </c>
    </row>
    <row r="20" ht="15" customHeight="1" s="107">
      <c r="A20" s="216">
        <f>'E M ROTARY'!F27</f>
        <v/>
      </c>
      <c r="B20" s="217">
        <f>'E M ROTARY'!C27</f>
        <v/>
      </c>
    </row>
    <row r="21" ht="15" customHeight="1" s="107">
      <c r="A21" s="216">
        <f>'E M DE EDUCAÇÃO ESPECIAL SANTOS'!F9</f>
        <v/>
      </c>
      <c r="B21" s="217">
        <f>'E M DE EDUCAÇÃO ESPECIAL SANTOS'!C9</f>
        <v/>
      </c>
    </row>
    <row r="22" ht="15" customHeight="1" s="107">
      <c r="A22" s="216">
        <f>'E M DE EDUCAÇÃO ESPECIAL SANTOS'!F10</f>
        <v/>
      </c>
      <c r="B22" s="217">
        <f>'E M DE EDUCAÇÃO ESPECIAL SANTOS'!C10</f>
        <v/>
      </c>
    </row>
    <row r="23" ht="15" customHeight="1" s="107">
      <c r="A23" s="216">
        <f>'E M DE EDUCAÇÃO ESPECIAL SANTOS'!F11</f>
        <v/>
      </c>
      <c r="B23" s="217">
        <f>'E M DE EDUCAÇÃO ESPECIAL SANTOS'!C11</f>
        <v/>
      </c>
    </row>
    <row r="24" ht="15" customHeight="1" s="107">
      <c r="A24" s="216">
        <f>'E M DE EDUCAÇÃO ESPECIAL SANTOS'!F12</f>
        <v/>
      </c>
      <c r="B24" s="217">
        <f>'E M DE EDUCAÇÃO ESPECIAL SANTOS'!C12</f>
        <v/>
      </c>
    </row>
    <row r="25" ht="15" customHeight="1" s="107">
      <c r="A25" s="216">
        <f>'E M DE EDUCAÇÃO ESPECIAL SANTOS'!F13</f>
        <v/>
      </c>
      <c r="B25" s="217">
        <f>'E M DE EDUCAÇÃO ESPECIAL SANTOS'!C13</f>
        <v/>
      </c>
    </row>
    <row r="26" ht="15" customHeight="1" s="107">
      <c r="A26" s="216">
        <f>'E M DE EDUCAÇÃO ESPECIAL SANTOS'!F14</f>
        <v/>
      </c>
      <c r="B26" s="217">
        <f>'E M DE EDUCAÇÃO ESPECIAL SANTOS'!C14</f>
        <v/>
      </c>
    </row>
    <row r="27" ht="15" customHeight="1" s="107">
      <c r="A27" s="216">
        <f>'E M DE EDUCAÇÃO ESPECIAL SANTOS'!F15</f>
        <v/>
      </c>
      <c r="B27" s="217">
        <f>'E M DE EDUCAÇÃO ESPECIAL SANTOS'!C15</f>
        <v/>
      </c>
    </row>
    <row r="28" ht="15" customHeight="1" s="107">
      <c r="A28" s="216">
        <f>'E M DE EDUCAÇÃO ESPECIAL SANTOS'!F16</f>
        <v/>
      </c>
      <c r="B28" s="217">
        <f>'E M DE EDUCAÇÃO ESPECIAL SANTOS'!C16</f>
        <v/>
      </c>
    </row>
    <row r="29" ht="15" customHeight="1" s="107">
      <c r="A29" s="216">
        <f>'E M DE EDUCAÇÃO ESPECIAL SANTOS'!F17</f>
        <v/>
      </c>
      <c r="B29" s="217">
        <f>'E M DE EDUCAÇÃO ESPECIAL SANTOS'!C17</f>
        <v/>
      </c>
    </row>
    <row r="30" ht="15" customHeight="1" s="107">
      <c r="A30" s="216">
        <f>'E M DE EDUCAÇÃO ESPECIAL SANTOS'!F18</f>
        <v/>
      </c>
      <c r="B30" s="217">
        <f>'E M DE EDUCAÇÃO ESPECIAL SANTOS'!C18</f>
        <v/>
      </c>
    </row>
    <row r="31" ht="15" customHeight="1" s="107">
      <c r="A31" s="216">
        <f>'E M DE EDUCAÇÃO ESPECIAL SANTOS'!F19</f>
        <v/>
      </c>
      <c r="B31" s="217">
        <f>'E M DE EDUCAÇÃO ESPECIAL SANTOS'!C19</f>
        <v/>
      </c>
    </row>
    <row r="32" ht="15" customHeight="1" s="107">
      <c r="A32" s="216">
        <f>'E M DE EDUCAÇÃO ESPECIAL SANTOS'!F20</f>
        <v/>
      </c>
      <c r="B32" s="217">
        <f>'E M DE EDUCAÇÃO ESPECIAL SANTOS'!C20</f>
        <v/>
      </c>
    </row>
    <row r="33" ht="15" customHeight="1" s="107">
      <c r="A33" s="216">
        <f>'E M DE EDUCAÇÃO ESPECIAL SANTOS'!F21</f>
        <v/>
      </c>
      <c r="B33" s="217">
        <f>'E M DE EDUCAÇÃO ESPECIAL SANTOS'!C21</f>
        <v/>
      </c>
    </row>
    <row r="34" ht="15" customHeight="1" s="107">
      <c r="A34" s="216">
        <f>'E M DE EDUCAÇÃO ESPECIAL SANTOS'!F22</f>
        <v/>
      </c>
      <c r="B34" s="217">
        <f>'E M DE EDUCAÇÃO ESPECIAL SANTOS'!C22</f>
        <v/>
      </c>
    </row>
    <row r="35" ht="15" customHeight="1" s="107">
      <c r="A35" s="216">
        <f>'E M DE EDUCAÇÃO ESPECIAL SANTOS'!F23</f>
        <v/>
      </c>
      <c r="B35" s="217">
        <f>'E M DE EDUCAÇÃO ESPECIAL SANTOS'!C23</f>
        <v/>
      </c>
    </row>
    <row r="36" ht="15" customHeight="1" s="107">
      <c r="A36" s="216">
        <f>'E M DE EDUCAÇÃO ESPECIAL SANTOS'!F24</f>
        <v/>
      </c>
      <c r="B36" s="217">
        <f>'E M DE EDUCAÇÃO ESPECIAL SANTOS'!C24</f>
        <v/>
      </c>
    </row>
    <row r="37" ht="15" customHeight="1" s="107">
      <c r="A37" s="216">
        <f>'E M DE EDUCAÇÃO ESPECIAL SANTOS'!F25</f>
        <v/>
      </c>
      <c r="B37" s="217">
        <f>'E M DE EDUCAÇÃO ESPECIAL SANTOS'!C25</f>
        <v/>
      </c>
    </row>
    <row r="38" ht="15" customHeight="1" s="107">
      <c r="A38" s="216">
        <f>'E M DE EDUCAÇÃO ESPECIAL SANTOS'!F26</f>
        <v/>
      </c>
      <c r="B38" s="217">
        <f>'E M DE EDUCAÇÃO ESPECIAL SANTOS'!C26</f>
        <v/>
      </c>
    </row>
    <row r="39" ht="15" customHeight="1" s="107">
      <c r="A39" s="216">
        <f>'E M DE EDUCAÇÃO ESPECIAL SANTOS'!F27</f>
        <v/>
      </c>
      <c r="B39" s="217">
        <f>'E M DE EDUCAÇÃO ESPECIAL SANTOS'!C27</f>
        <v/>
      </c>
    </row>
    <row r="40" ht="15" customHeight="1" s="107">
      <c r="A40" s="216">
        <f>'LICEU MUN PREFEITO CORDOLINO AM'!F9</f>
        <v/>
      </c>
      <c r="B40" s="217">
        <f>'LICEU MUN PREFEITO CORDOLINO AM'!C9</f>
        <v/>
      </c>
    </row>
    <row r="41" ht="15" customHeight="1" s="107">
      <c r="A41" s="216">
        <f>'LICEU MUN PREFEITO CORDOLINO AM'!F10</f>
        <v/>
      </c>
      <c r="B41" s="217">
        <f>'LICEU MUN PREFEITO CORDOLINO AM'!C10</f>
        <v/>
      </c>
    </row>
    <row r="42" ht="15" customHeight="1" s="107">
      <c r="A42" s="216">
        <f>'LICEU MUN PREFEITO CORDOLINO AM'!F11</f>
        <v/>
      </c>
      <c r="B42" s="217">
        <f>'LICEU MUN PREFEITO CORDOLINO AM'!C11</f>
        <v/>
      </c>
    </row>
    <row r="43" ht="15" customHeight="1" s="107">
      <c r="A43" s="216">
        <f>'LICEU MUN PREFEITO CORDOLINO AM'!F12</f>
        <v/>
      </c>
      <c r="B43" s="217">
        <f>'LICEU MUN PREFEITO CORDOLINO AM'!C12</f>
        <v/>
      </c>
    </row>
    <row r="44" ht="15" customHeight="1" s="107">
      <c r="A44" s="216">
        <f>'LICEU MUN PREFEITO CORDOLINO AM'!F13</f>
        <v/>
      </c>
      <c r="B44" s="217">
        <f>'LICEU MUN PREFEITO CORDOLINO AM'!C13</f>
        <v/>
      </c>
    </row>
    <row r="45" ht="15" customHeight="1" s="107">
      <c r="A45" s="216">
        <f>'LICEU MUN PREFEITO CORDOLINO AM'!F14</f>
        <v/>
      </c>
      <c r="B45" s="217">
        <f>'LICEU MUN PREFEITO CORDOLINO AM'!C14</f>
        <v/>
      </c>
    </row>
    <row r="46" ht="15" customHeight="1" s="107">
      <c r="A46" s="216">
        <f>'LICEU MUN PREFEITO CORDOLINO AM'!F15</f>
        <v/>
      </c>
      <c r="B46" s="217">
        <f>'LICEU MUN PREFEITO CORDOLINO AM'!C15</f>
        <v/>
      </c>
    </row>
    <row r="47" ht="15" customHeight="1" s="107">
      <c r="A47" s="216">
        <f>'LICEU MUN PREFEITO CORDOLINO AM'!F16</f>
        <v/>
      </c>
      <c r="B47" s="217">
        <f>'LICEU MUN PREFEITO CORDOLINO AM'!C16</f>
        <v/>
      </c>
    </row>
    <row r="48" ht="15" customHeight="1" s="107">
      <c r="A48" s="216">
        <f>'LICEU MUN PREFEITO CORDOLINO AM'!F17</f>
        <v/>
      </c>
      <c r="B48" s="217">
        <f>'LICEU MUN PREFEITO CORDOLINO AM'!C17</f>
        <v/>
      </c>
    </row>
    <row r="49" ht="15" customHeight="1" s="107">
      <c r="A49" s="216">
        <f>'LICEU MUN PREFEITO CORDOLINO AM'!F18</f>
        <v/>
      </c>
      <c r="B49" s="217">
        <f>'LICEU MUN PREFEITO CORDOLINO AM'!C18</f>
        <v/>
      </c>
    </row>
    <row r="50" ht="15" customHeight="1" s="107">
      <c r="A50" s="216">
        <f>'LICEU MUN PREFEITO CORDOLINO AM'!F19</f>
        <v/>
      </c>
      <c r="B50" s="217">
        <f>'LICEU MUN PREFEITO CORDOLINO AM'!C19</f>
        <v/>
      </c>
    </row>
    <row r="51" ht="15" customHeight="1" s="107">
      <c r="A51" s="216">
        <f>'LICEU MUN PREFEITO CORDOLINO AM'!F20</f>
        <v/>
      </c>
      <c r="B51" s="217">
        <f>'LICEU MUN PREFEITO CORDOLINO AM'!C20</f>
        <v/>
      </c>
    </row>
    <row r="52" ht="15" customHeight="1" s="107">
      <c r="A52" s="216">
        <f>'LICEU MUN PREFEITO CORDOLINO AM'!F21</f>
        <v/>
      </c>
      <c r="B52" s="217">
        <f>'LICEU MUN PREFEITO CORDOLINO AM'!C21</f>
        <v/>
      </c>
    </row>
    <row r="53" ht="15" customHeight="1" s="107">
      <c r="A53" s="216">
        <f>'LICEU MUN PREFEITO CORDOLINO AM'!F22</f>
        <v/>
      </c>
      <c r="B53" s="217">
        <f>'LICEU MUN PREFEITO CORDOLINO AM'!C22</f>
        <v/>
      </c>
    </row>
    <row r="54" ht="15" customHeight="1" s="107">
      <c r="A54" s="216">
        <f>'LICEU MUN PREFEITO CORDOLINO AM'!F23</f>
        <v/>
      </c>
      <c r="B54" s="217">
        <f>'LICEU MUN PREFEITO CORDOLINO AM'!C23</f>
        <v/>
      </c>
    </row>
    <row r="55" ht="15" customHeight="1" s="107">
      <c r="A55" s="216">
        <f>'LICEU MUN PREFEITO CORDOLINO AM'!F24</f>
        <v/>
      </c>
      <c r="B55" s="217">
        <f>'LICEU MUN PREFEITO CORDOLINO AM'!C24</f>
        <v/>
      </c>
    </row>
    <row r="56" ht="15" customHeight="1" s="107">
      <c r="A56" s="216">
        <f>'LICEU MUN PREFEITO CORDOLINO AM'!F25</f>
        <v/>
      </c>
      <c r="B56" s="217">
        <f>'LICEU MUN PREFEITO CORDOLINO AM'!C25</f>
        <v/>
      </c>
    </row>
    <row r="57" ht="15" customHeight="1" s="107">
      <c r="A57" s="216">
        <f>'LICEU MUN PREFEITO CORDOLINO AM'!F26</f>
        <v/>
      </c>
      <c r="B57" s="217">
        <f>'LICEU MUN PREFEITO CORDOLINO AM'!C26</f>
        <v/>
      </c>
    </row>
    <row r="58" ht="15" customHeight="1" s="107">
      <c r="A58" s="216">
        <f>'LICEU MUN PREFEITO CORDOLINO AM'!F27</f>
        <v/>
      </c>
      <c r="B58" s="217">
        <f>'LICEU MUN PREFEITO CORDOLINO AM'!C27</f>
        <v/>
      </c>
    </row>
    <row r="59" ht="15" customHeight="1" s="107">
      <c r="A59" s="216">
        <f>'E M PREFEITO JAMIL SABRÁ'!F9</f>
        <v/>
      </c>
      <c r="B59" s="217">
        <f>'E M PREFEITO JAMIL SABRÁ'!C9</f>
        <v/>
      </c>
    </row>
    <row r="60" ht="15" customHeight="1" s="107">
      <c r="A60" s="216">
        <f>'E M PREFEITO JAMIL SABRÁ'!F10</f>
        <v/>
      </c>
      <c r="B60" s="217">
        <f>'E M PREFEITO JAMIL SABRÁ'!C10</f>
        <v/>
      </c>
    </row>
    <row r="61" ht="15" customHeight="1" s="107">
      <c r="A61" s="216">
        <f>'E M PREFEITO JAMIL SABRÁ'!F11</f>
        <v/>
      </c>
      <c r="B61" s="217">
        <f>'E M PREFEITO JAMIL SABRÁ'!C11</f>
        <v/>
      </c>
    </row>
    <row r="62" ht="15" customHeight="1" s="107">
      <c r="A62" s="216">
        <f>'E M PREFEITO JAMIL SABRÁ'!F12</f>
        <v/>
      </c>
      <c r="B62" s="217">
        <f>'E M PREFEITO JAMIL SABRÁ'!C12</f>
        <v/>
      </c>
    </row>
    <row r="63" ht="15" customHeight="1" s="107">
      <c r="A63" s="216">
        <f>'E M PREFEITO JAMIL SABRÁ'!F13</f>
        <v/>
      </c>
      <c r="B63" s="217">
        <f>'E M PREFEITO JAMIL SABRÁ'!C13</f>
        <v/>
      </c>
    </row>
    <row r="64" ht="15" customHeight="1" s="107">
      <c r="A64" s="216">
        <f>'E M PREFEITO JAMIL SABRÁ'!F14</f>
        <v/>
      </c>
      <c r="B64" s="217">
        <f>'E M PREFEITO JAMIL SABRÁ'!C14</f>
        <v/>
      </c>
    </row>
    <row r="65" ht="15" customHeight="1" s="107">
      <c r="A65" s="216">
        <f>'E M PREFEITO JAMIL SABRÁ'!F15</f>
        <v/>
      </c>
      <c r="B65" s="217">
        <f>'E M PREFEITO JAMIL SABRÁ'!C15</f>
        <v/>
      </c>
    </row>
    <row r="66" ht="15" customHeight="1" s="107">
      <c r="A66" s="216">
        <f>'E M PREFEITO JAMIL SABRÁ'!F16</f>
        <v/>
      </c>
      <c r="B66" s="217">
        <f>'E M PREFEITO JAMIL SABRÁ'!C16</f>
        <v/>
      </c>
    </row>
    <row r="67" ht="15" customHeight="1" s="107">
      <c r="A67" s="216">
        <f>'E M PREFEITO JAMIL SABRÁ'!F17</f>
        <v/>
      </c>
      <c r="B67" s="217">
        <f>'E M PREFEITO JAMIL SABRÁ'!C17</f>
        <v/>
      </c>
    </row>
    <row r="68" ht="15" customHeight="1" s="107">
      <c r="A68" s="216">
        <f>'E M PREFEITO JAMIL SABRÁ'!F18</f>
        <v/>
      </c>
      <c r="B68" s="217">
        <f>'E M PREFEITO JAMIL SABRÁ'!C18</f>
        <v/>
      </c>
    </row>
    <row r="69" ht="15" customHeight="1" s="107">
      <c r="A69" s="216">
        <f>'E M PREFEITO JAMIL SABRÁ'!F19</f>
        <v/>
      </c>
      <c r="B69" s="217">
        <f>'E M PREFEITO JAMIL SABRÁ'!C19</f>
        <v/>
      </c>
    </row>
    <row r="70" ht="15" customHeight="1" s="107">
      <c r="A70" s="216">
        <f>'E M PREFEITO JAMIL SABRÁ'!F20</f>
        <v/>
      </c>
      <c r="B70" s="217">
        <f>'E M PREFEITO JAMIL SABRÁ'!C20</f>
        <v/>
      </c>
    </row>
    <row r="71" ht="15" customHeight="1" s="107">
      <c r="A71" s="216">
        <f>'E M PREFEITO JAMIL SABRÁ'!F21</f>
        <v/>
      </c>
      <c r="B71" s="217">
        <f>'E M PREFEITO JAMIL SABRÁ'!C21</f>
        <v/>
      </c>
    </row>
    <row r="72" ht="15" customHeight="1" s="107">
      <c r="A72" s="216">
        <f>'E M PREFEITO JAMIL SABRÁ'!F22</f>
        <v/>
      </c>
      <c r="B72" s="217">
        <f>'E M PREFEITO JAMIL SABRÁ'!C22</f>
        <v/>
      </c>
    </row>
    <row r="73" ht="15" customHeight="1" s="107">
      <c r="A73" s="216">
        <f>'E M PREFEITO JAMIL SABRÁ'!F23</f>
        <v/>
      </c>
      <c r="B73" s="217">
        <f>'E M PREFEITO JAMIL SABRÁ'!C23</f>
        <v/>
      </c>
    </row>
    <row r="74" ht="15" customHeight="1" s="107">
      <c r="A74" s="216">
        <f>'E M PREFEITO JAMIL SABRÁ'!F24</f>
        <v/>
      </c>
      <c r="B74" s="217">
        <f>'E M PREFEITO JAMIL SABRÁ'!C24</f>
        <v/>
      </c>
    </row>
    <row r="75" ht="15" customHeight="1" s="107">
      <c r="A75" s="216">
        <f>'E M PREFEITO JAMIL SABRÁ'!F25</f>
        <v/>
      </c>
      <c r="B75" s="217">
        <f>'E M PREFEITO JAMIL SABRÁ'!C25</f>
        <v/>
      </c>
    </row>
    <row r="76" ht="15" customHeight="1" s="107">
      <c r="A76" s="216">
        <f>'E M PREFEITO JAMIL SABRÁ'!F26</f>
        <v/>
      </c>
      <c r="B76" s="217">
        <f>'E M PREFEITO JAMIL SABRÁ'!C26</f>
        <v/>
      </c>
    </row>
    <row r="77" ht="15" customHeight="1" s="107">
      <c r="A77" s="216">
        <f>'E M PREFEITO JAMIL SABRÁ'!F27</f>
        <v/>
      </c>
      <c r="B77" s="217">
        <f>'E M PREFEITO JAMIL SABRÁ'!C27</f>
        <v/>
      </c>
    </row>
    <row r="78" ht="15" customHeight="1" s="107">
      <c r="A78" s="216">
        <f>'LICEU MUNICIPAL CARLOS CHAGAS F'!F9</f>
        <v/>
      </c>
      <c r="B78" s="217">
        <f>'LICEU MUNICIPAL CARLOS CHAGAS F'!C9</f>
        <v/>
      </c>
    </row>
    <row r="79" ht="15" customHeight="1" s="107">
      <c r="A79" s="216">
        <f>'LICEU MUNICIPAL CARLOS CHAGAS F'!F10</f>
        <v/>
      </c>
      <c r="B79" s="217">
        <f>'LICEU MUNICIPAL CARLOS CHAGAS F'!C10</f>
        <v/>
      </c>
    </row>
    <row r="80" ht="15" customHeight="1" s="107">
      <c r="A80" s="216">
        <f>'LICEU MUNICIPAL CARLOS CHAGAS F'!F11</f>
        <v/>
      </c>
      <c r="B80" s="217">
        <f>'LICEU MUNICIPAL CARLOS CHAGAS F'!C11</f>
        <v/>
      </c>
    </row>
    <row r="81" ht="15" customHeight="1" s="107">
      <c r="A81" s="216">
        <f>'LICEU MUNICIPAL CARLOS CHAGAS F'!F12</f>
        <v/>
      </c>
      <c r="B81" s="217">
        <f>'LICEU MUNICIPAL CARLOS CHAGAS F'!C12</f>
        <v/>
      </c>
    </row>
    <row r="82" ht="15" customHeight="1" s="107">
      <c r="A82" s="216">
        <f>'LICEU MUNICIPAL CARLOS CHAGAS F'!F13</f>
        <v/>
      </c>
      <c r="B82" s="217">
        <f>'LICEU MUNICIPAL CARLOS CHAGAS F'!C13</f>
        <v/>
      </c>
    </row>
    <row r="83" ht="15" customHeight="1" s="107">
      <c r="A83" s="216">
        <f>'LICEU MUNICIPAL CARLOS CHAGAS F'!F14</f>
        <v/>
      </c>
      <c r="B83" s="217">
        <f>'LICEU MUNICIPAL CARLOS CHAGAS F'!C14</f>
        <v/>
      </c>
    </row>
    <row r="84" ht="15" customHeight="1" s="107">
      <c r="A84" s="216">
        <f>'LICEU MUNICIPAL CARLOS CHAGAS F'!F15</f>
        <v/>
      </c>
      <c r="B84" s="217">
        <f>'LICEU MUNICIPAL CARLOS CHAGAS F'!C15</f>
        <v/>
      </c>
    </row>
    <row r="85" ht="15" customHeight="1" s="107">
      <c r="A85" s="216">
        <f>'LICEU MUNICIPAL CARLOS CHAGAS F'!F16</f>
        <v/>
      </c>
      <c r="B85" s="217">
        <f>'LICEU MUNICIPAL CARLOS CHAGAS F'!C16</f>
        <v/>
      </c>
    </row>
    <row r="86" ht="15" customHeight="1" s="107">
      <c r="A86" s="216">
        <f>'LICEU MUNICIPAL CARLOS CHAGAS F'!F17</f>
        <v/>
      </c>
      <c r="B86" s="217">
        <f>'LICEU MUNICIPAL CARLOS CHAGAS F'!C17</f>
        <v/>
      </c>
    </row>
    <row r="87" ht="15" customHeight="1" s="107">
      <c r="A87" s="216">
        <f>'LICEU MUNICIPAL CARLOS CHAGAS F'!F18</f>
        <v/>
      </c>
      <c r="B87" s="217">
        <f>'LICEU MUNICIPAL CARLOS CHAGAS F'!C18</f>
        <v/>
      </c>
    </row>
    <row r="88" ht="15" customHeight="1" s="107">
      <c r="A88" s="216">
        <f>'LICEU MUNICIPAL CARLOS CHAGAS F'!F19</f>
        <v/>
      </c>
      <c r="B88" s="217">
        <f>'LICEU MUNICIPAL CARLOS CHAGAS F'!C19</f>
        <v/>
      </c>
    </row>
    <row r="89" ht="15" customHeight="1" s="107">
      <c r="A89" s="216">
        <f>'LICEU MUNICIPAL CARLOS CHAGAS F'!F20</f>
        <v/>
      </c>
      <c r="B89" s="217">
        <f>'LICEU MUNICIPAL CARLOS CHAGAS F'!C20</f>
        <v/>
      </c>
    </row>
    <row r="90" ht="15" customHeight="1" s="107">
      <c r="A90" s="216">
        <f>'LICEU MUNICIPAL CARLOS CHAGAS F'!F21</f>
        <v/>
      </c>
      <c r="B90" s="217">
        <f>'LICEU MUNICIPAL CARLOS CHAGAS F'!C21</f>
        <v/>
      </c>
    </row>
    <row r="91" ht="15" customHeight="1" s="107">
      <c r="A91" s="216">
        <f>'LICEU MUNICIPAL CARLOS CHAGAS F'!F22</f>
        <v/>
      </c>
      <c r="B91" s="217">
        <f>'LICEU MUNICIPAL CARLOS CHAGAS F'!C22</f>
        <v/>
      </c>
    </row>
    <row r="92" ht="15" customHeight="1" s="107">
      <c r="A92" s="216">
        <f>'LICEU MUNICIPAL CARLOS CHAGAS F'!F23</f>
        <v/>
      </c>
      <c r="B92" s="217">
        <f>'LICEU MUNICIPAL CARLOS CHAGAS F'!C23</f>
        <v/>
      </c>
    </row>
    <row r="93" ht="15" customHeight="1" s="107">
      <c r="A93" s="216">
        <f>'LICEU MUNICIPAL CARLOS CHAGAS F'!F24</f>
        <v/>
      </c>
      <c r="B93" s="217">
        <f>'LICEU MUNICIPAL CARLOS CHAGAS F'!C24</f>
        <v/>
      </c>
    </row>
    <row r="94" ht="15" customHeight="1" s="107">
      <c r="A94" s="216">
        <f>'LICEU MUNICIPAL CARLOS CHAGAS F'!F25</f>
        <v/>
      </c>
      <c r="B94" s="217">
        <f>'LICEU MUNICIPAL CARLOS CHAGAS F'!C25</f>
        <v/>
      </c>
    </row>
    <row r="95" ht="15" customHeight="1" s="107">
      <c r="A95" s="216">
        <f>'LICEU MUNICIPAL CARLOS CHAGAS F'!F26</f>
        <v/>
      </c>
      <c r="B95" s="217">
        <f>'LICEU MUNICIPAL CARLOS CHAGAS F'!C26</f>
        <v/>
      </c>
    </row>
    <row r="96" ht="15" customHeight="1" s="107">
      <c r="A96" s="216">
        <f>'LICEU MUNICIPAL CARLOS CHAGAS F'!F27</f>
        <v/>
      </c>
      <c r="B96" s="217">
        <f>'LICEU MUNICIPAL CARLOS CHAGAS F'!C27</f>
        <v/>
      </c>
    </row>
    <row r="97" ht="15" customHeight="1" s="107">
      <c r="A97" s="216">
        <f>'E M PAULO FREIRE'!F9</f>
        <v/>
      </c>
      <c r="B97" s="217">
        <f>'E M PAULO FREIRE'!C9</f>
        <v/>
      </c>
    </row>
    <row r="98" ht="15" customHeight="1" s="107">
      <c r="A98" s="216">
        <f>'E M PAULO FREIRE'!F10</f>
        <v/>
      </c>
      <c r="B98" s="217">
        <f>'E M PAULO FREIRE'!C10</f>
        <v/>
      </c>
    </row>
    <row r="99" ht="15" customHeight="1" s="107">
      <c r="A99" s="216">
        <f>'E M PAULO FREIRE'!F11</f>
        <v/>
      </c>
      <c r="B99" s="217">
        <f>'E M PAULO FREIRE'!C11</f>
        <v/>
      </c>
    </row>
    <row r="100" ht="15" customHeight="1" s="107">
      <c r="A100" s="216">
        <f>'E M PAULO FREIRE'!F12</f>
        <v/>
      </c>
      <c r="B100" s="217">
        <f>'E M PAULO FREIRE'!C12</f>
        <v/>
      </c>
    </row>
    <row r="101" ht="15" customHeight="1" s="107">
      <c r="A101" s="216">
        <f>'E M PAULO FREIRE'!F13</f>
        <v/>
      </c>
      <c r="B101" s="217">
        <f>'E M PAULO FREIRE'!C13</f>
        <v/>
      </c>
    </row>
    <row r="102" ht="15" customHeight="1" s="107">
      <c r="A102" s="216">
        <f>'E M PAULO FREIRE'!F14</f>
        <v/>
      </c>
      <c r="B102" s="217">
        <f>'E M PAULO FREIRE'!C14</f>
        <v/>
      </c>
    </row>
    <row r="103" ht="15" customHeight="1" s="107">
      <c r="A103" s="216">
        <f>'E M PAULO FREIRE'!F15</f>
        <v/>
      </c>
      <c r="B103" s="217">
        <f>'E M PAULO FREIRE'!C15</f>
        <v/>
      </c>
    </row>
    <row r="104" ht="15" customHeight="1" s="107">
      <c r="A104" s="216">
        <f>'E M PAULO FREIRE'!F16</f>
        <v/>
      </c>
      <c r="B104" s="217">
        <f>'E M PAULO FREIRE'!C16</f>
        <v/>
      </c>
    </row>
    <row r="105" ht="15" customHeight="1" s="107">
      <c r="A105" s="216">
        <f>'E M PAULO FREIRE'!F17</f>
        <v/>
      </c>
      <c r="B105" s="217">
        <f>'E M PAULO FREIRE'!C17</f>
        <v/>
      </c>
    </row>
    <row r="106" ht="15" customHeight="1" s="107">
      <c r="A106" s="216">
        <f>'E M PAULO FREIRE'!F18</f>
        <v/>
      </c>
      <c r="B106" s="217">
        <f>'E M PAULO FREIRE'!C18</f>
        <v/>
      </c>
    </row>
    <row r="107" ht="15" customHeight="1" s="107">
      <c r="A107" s="216">
        <f>'E M PAULO FREIRE'!F19</f>
        <v/>
      </c>
      <c r="B107" s="217">
        <f>'E M PAULO FREIRE'!C19</f>
        <v/>
      </c>
    </row>
    <row r="108" ht="15" customHeight="1" s="107">
      <c r="A108" s="216">
        <f>'E M PAULO FREIRE'!F20</f>
        <v/>
      </c>
      <c r="B108" s="217">
        <f>'E M PAULO FREIRE'!C20</f>
        <v/>
      </c>
    </row>
    <row r="109" ht="15" customHeight="1" s="107">
      <c r="A109" s="216">
        <f>'E M PAULO FREIRE'!F21</f>
        <v/>
      </c>
      <c r="B109" s="217">
        <f>'E M PAULO FREIRE'!C21</f>
        <v/>
      </c>
    </row>
    <row r="110" ht="15" customHeight="1" s="107">
      <c r="A110" s="216">
        <f>'E M PAULO FREIRE'!F22</f>
        <v/>
      </c>
      <c r="B110" s="217">
        <f>'E M PAULO FREIRE'!C22</f>
        <v/>
      </c>
    </row>
    <row r="111" ht="15" customHeight="1" s="107">
      <c r="A111" s="216">
        <f>'E M PAULO FREIRE'!F23</f>
        <v/>
      </c>
      <c r="B111" s="217">
        <f>'E M PAULO FREIRE'!C23</f>
        <v/>
      </c>
    </row>
    <row r="112" ht="15" customHeight="1" s="107">
      <c r="A112" s="216">
        <f>'E M PAULO FREIRE'!F24</f>
        <v/>
      </c>
      <c r="B112" s="217">
        <f>'E M PAULO FREIRE'!C24</f>
        <v/>
      </c>
    </row>
    <row r="113" ht="15" customHeight="1" s="107">
      <c r="A113" s="216">
        <f>'E M PAULO FREIRE'!F25</f>
        <v/>
      </c>
      <c r="B113" s="217">
        <f>'E M PAULO FREIRE'!C25</f>
        <v/>
      </c>
    </row>
    <row r="114" ht="15" customHeight="1" s="107">
      <c r="A114" s="216">
        <f>'E M PAULO FREIRE'!F26</f>
        <v/>
      </c>
      <c r="B114" s="217">
        <f>'E M PAULO FREIRE'!C26</f>
        <v/>
      </c>
    </row>
    <row r="115" ht="15" customHeight="1" s="107">
      <c r="A115" s="216">
        <f>'E M PAULO FREIRE'!F27</f>
        <v/>
      </c>
      <c r="B115" s="217">
        <f>'E M PAULO FREIRE'!C27</f>
        <v/>
      </c>
    </row>
    <row r="116" ht="15" customHeight="1" s="107">
      <c r="A116" s="216">
        <f>'E M PROFª MARIA CAMPOS DA SILVA'!F9</f>
        <v/>
      </c>
      <c r="B116" s="217">
        <f>'E M PROFª MARIA CAMPOS DA SILVA'!C9</f>
        <v/>
      </c>
    </row>
    <row r="117" ht="15" customHeight="1" s="107">
      <c r="A117" s="216">
        <f>'E M PROFª MARIA CAMPOS DA SILVA'!F10</f>
        <v/>
      </c>
      <c r="B117" s="217">
        <f>'E M PROFª MARIA CAMPOS DA SILVA'!C10</f>
        <v/>
      </c>
    </row>
    <row r="118" ht="15" customHeight="1" s="107">
      <c r="A118" s="216">
        <f>'E M PROFª MARIA CAMPOS DA SILVA'!F11</f>
        <v/>
      </c>
      <c r="B118" s="217">
        <f>'E M PROFª MARIA CAMPOS DA SILVA'!C11</f>
        <v/>
      </c>
    </row>
    <row r="119" ht="15" customHeight="1" s="107">
      <c r="A119" s="216">
        <f>'E M PROFª MARIA CAMPOS DA SILVA'!F12</f>
        <v/>
      </c>
      <c r="B119" s="217">
        <f>'E M PROFª MARIA CAMPOS DA SILVA'!C12</f>
        <v/>
      </c>
    </row>
    <row r="120" ht="15" customHeight="1" s="107">
      <c r="A120" s="216">
        <f>'E M PROFª MARIA CAMPOS DA SILVA'!F13</f>
        <v/>
      </c>
      <c r="B120" s="217">
        <f>'E M PROFª MARIA CAMPOS DA SILVA'!C13</f>
        <v/>
      </c>
    </row>
    <row r="121" ht="15" customHeight="1" s="107">
      <c r="A121" s="216">
        <f>'E M PROFª MARIA CAMPOS DA SILVA'!F14</f>
        <v/>
      </c>
      <c r="B121" s="217">
        <f>'E M PROFª MARIA CAMPOS DA SILVA'!C14</f>
        <v/>
      </c>
    </row>
    <row r="122" ht="15" customHeight="1" s="107">
      <c r="A122" s="216">
        <f>'E M PROFª MARIA CAMPOS DA SILVA'!F15</f>
        <v/>
      </c>
      <c r="B122" s="217">
        <f>'E M PROFª MARIA CAMPOS DA SILVA'!C15</f>
        <v/>
      </c>
    </row>
    <row r="123" ht="15" customHeight="1" s="107">
      <c r="A123" s="216">
        <f>'E M PROFª MARIA CAMPOS DA SILVA'!F16</f>
        <v/>
      </c>
      <c r="B123" s="217">
        <f>'E M PROFª MARIA CAMPOS DA SILVA'!C16</f>
        <v/>
      </c>
    </row>
    <row r="124" ht="15" customHeight="1" s="107">
      <c r="A124" s="216">
        <f>'E M PROFª MARIA CAMPOS DA SILVA'!F17</f>
        <v/>
      </c>
      <c r="B124" s="217">
        <f>'E M PROFª MARIA CAMPOS DA SILVA'!C17</f>
        <v/>
      </c>
    </row>
    <row r="125" ht="15" customHeight="1" s="107">
      <c r="A125" s="216">
        <f>'E M PROFª MARIA CAMPOS DA SILVA'!F18</f>
        <v/>
      </c>
      <c r="B125" s="217">
        <f>'E M PROFª MARIA CAMPOS DA SILVA'!C18</f>
        <v/>
      </c>
    </row>
    <row r="126" ht="15" customHeight="1" s="107">
      <c r="A126" s="216">
        <f>'E M PROFª MARIA CAMPOS DA SILVA'!F19</f>
        <v/>
      </c>
      <c r="B126" s="217">
        <f>'E M PROFª MARIA CAMPOS DA SILVA'!C19</f>
        <v/>
      </c>
    </row>
    <row r="127" ht="15" customHeight="1" s="107">
      <c r="A127" s="216">
        <f>'E M PROFª MARIA CAMPOS DA SILVA'!F20</f>
        <v/>
      </c>
      <c r="B127" s="217">
        <f>'E M PROFª MARIA CAMPOS DA SILVA'!C20</f>
        <v/>
      </c>
    </row>
    <row r="128" ht="15" customHeight="1" s="107">
      <c r="A128" s="216">
        <f>'E M PROFª MARIA CAMPOS DA SILVA'!F21</f>
        <v/>
      </c>
      <c r="B128" s="217">
        <f>'E M PROFª MARIA CAMPOS DA SILVA'!C21</f>
        <v/>
      </c>
    </row>
    <row r="129" ht="15" customHeight="1" s="107">
      <c r="A129" s="216">
        <f>'E M PROFª MARIA CAMPOS DA SILVA'!F22</f>
        <v/>
      </c>
      <c r="B129" s="217">
        <f>'E M PROFª MARIA CAMPOS DA SILVA'!C22</f>
        <v/>
      </c>
    </row>
    <row r="130" ht="15" customHeight="1" s="107">
      <c r="A130" s="216">
        <f>'E M PROFª MARIA CAMPOS DA SILVA'!F23</f>
        <v/>
      </c>
      <c r="B130" s="217">
        <f>'E M PROFª MARIA CAMPOS DA SILVA'!C23</f>
        <v/>
      </c>
    </row>
    <row r="131" ht="15" customHeight="1" s="107">
      <c r="A131" s="216">
        <f>'E M PROFª MARIA CAMPOS DA SILVA'!F24</f>
        <v/>
      </c>
      <c r="B131" s="217">
        <f>'E M PROFª MARIA CAMPOS DA SILVA'!C24</f>
        <v/>
      </c>
    </row>
    <row r="132" ht="15" customHeight="1" s="107">
      <c r="A132" s="216">
        <f>'E M PROFª MARIA CAMPOS DA SILVA'!F25</f>
        <v/>
      </c>
      <c r="B132" s="217">
        <f>'E M PROFª MARIA CAMPOS DA SILVA'!C25</f>
        <v/>
      </c>
    </row>
    <row r="133" ht="15" customHeight="1" s="107">
      <c r="A133" s="216">
        <f>'E M PROFª MARIA CAMPOS DA SILVA'!F26</f>
        <v/>
      </c>
      <c r="B133" s="217">
        <f>'E M PROFª MARIA CAMPOS DA SILVA'!C26</f>
        <v/>
      </c>
    </row>
    <row r="134" ht="15" customHeight="1" s="107">
      <c r="A134" s="216">
        <f>'E M PROFª MARIA CAMPOS DA SILVA'!F27</f>
        <v/>
      </c>
      <c r="B134" s="217">
        <f>'E M PROFª MARIA CAMPOS DA SILVA'!C27</f>
        <v/>
      </c>
    </row>
    <row r="135" ht="15" customHeight="1" s="107">
      <c r="A135" s="216">
        <f>'CASA DA EDUCAÇÃO VISCONDE DE MA'!F9</f>
        <v/>
      </c>
      <c r="B135" s="217">
        <f>'CASA DA EDUCAÇÃO VISCONDE DE MA'!C9</f>
        <v/>
      </c>
    </row>
    <row r="136" ht="15" customHeight="1" s="107">
      <c r="A136" s="216">
        <f>'CASA DA EDUCAÇÃO VISCONDE DE MA'!F10</f>
        <v/>
      </c>
      <c r="B136" s="217">
        <f>'CASA DA EDUCAÇÃO VISCONDE DE MA'!C10</f>
        <v/>
      </c>
    </row>
    <row r="137" ht="15" customHeight="1" s="107">
      <c r="A137" s="216">
        <f>'CASA DA EDUCAÇÃO VISCONDE DE MA'!F11</f>
        <v/>
      </c>
      <c r="B137" s="217">
        <f>'CASA DA EDUCAÇÃO VISCONDE DE MA'!C11</f>
        <v/>
      </c>
    </row>
    <row r="138" ht="15" customHeight="1" s="107">
      <c r="A138" s="216">
        <f>'CASA DA EDUCAÇÃO VISCONDE DE MA'!F12</f>
        <v/>
      </c>
      <c r="B138" s="217">
        <f>'CASA DA EDUCAÇÃO VISCONDE DE MA'!C12</f>
        <v/>
      </c>
    </row>
    <row r="139" ht="15" customHeight="1" s="107">
      <c r="A139" s="216">
        <f>'CASA DA EDUCAÇÃO VISCONDE DE MA'!F13</f>
        <v/>
      </c>
      <c r="B139" s="217">
        <f>'CASA DA EDUCAÇÃO VISCONDE DE MA'!C13</f>
        <v/>
      </c>
    </row>
    <row r="140" ht="15" customHeight="1" s="107">
      <c r="A140" s="216">
        <f>'CASA DA EDUCAÇÃO VISCONDE DE MA'!F14</f>
        <v/>
      </c>
      <c r="B140" s="217">
        <f>'CASA DA EDUCAÇÃO VISCONDE DE MA'!C14</f>
        <v/>
      </c>
    </row>
    <row r="141" ht="15" customHeight="1" s="107">
      <c r="A141" s="216">
        <f>'CASA DA EDUCAÇÃO VISCONDE DE MA'!F15</f>
        <v/>
      </c>
      <c r="B141" s="217">
        <f>'CASA DA EDUCAÇÃO VISCONDE DE MA'!C15</f>
        <v/>
      </c>
    </row>
    <row r="142" ht="15" customHeight="1" s="107">
      <c r="A142" s="216">
        <f>'CASA DA EDUCAÇÃO VISCONDE DE MA'!F16</f>
        <v/>
      </c>
      <c r="B142" s="217">
        <f>'CASA DA EDUCAÇÃO VISCONDE DE MA'!C16</f>
        <v/>
      </c>
    </row>
    <row r="143" ht="15" customHeight="1" s="107">
      <c r="A143" s="216">
        <f>'CASA DA EDUCAÇÃO VISCONDE DE MA'!F17</f>
        <v/>
      </c>
      <c r="B143" s="217">
        <f>'CASA DA EDUCAÇÃO VISCONDE DE MA'!C17</f>
        <v/>
      </c>
    </row>
    <row r="144" ht="15" customHeight="1" s="107">
      <c r="A144" s="216">
        <f>'CASA DA EDUCAÇÃO VISCONDE DE MA'!F18</f>
        <v/>
      </c>
      <c r="B144" s="217">
        <f>'CASA DA EDUCAÇÃO VISCONDE DE MA'!C18</f>
        <v/>
      </c>
    </row>
    <row r="145" ht="15" customHeight="1" s="107">
      <c r="A145" s="216">
        <f>'CASA DA EDUCAÇÃO VISCONDE DE MA'!F19</f>
        <v/>
      </c>
      <c r="B145" s="217">
        <f>'CASA DA EDUCAÇÃO VISCONDE DE MA'!C19</f>
        <v/>
      </c>
    </row>
    <row r="146" ht="15" customHeight="1" s="107">
      <c r="A146" s="216">
        <f>'CASA DA EDUCAÇÃO VISCONDE DE MA'!F20</f>
        <v/>
      </c>
      <c r="B146" s="217">
        <f>'CASA DA EDUCAÇÃO VISCONDE DE MA'!C20</f>
        <v/>
      </c>
    </row>
    <row r="147" ht="15" customHeight="1" s="107">
      <c r="A147" s="216">
        <f>'CASA DA EDUCAÇÃO VISCONDE DE MA'!F21</f>
        <v/>
      </c>
      <c r="B147" s="217">
        <f>'CASA DA EDUCAÇÃO VISCONDE DE MA'!C21</f>
        <v/>
      </c>
    </row>
    <row r="148" ht="15" customHeight="1" s="107">
      <c r="A148" s="216">
        <f>'CASA DA EDUCAÇÃO VISCONDE DE MA'!F22</f>
        <v/>
      </c>
      <c r="B148" s="217">
        <f>'CASA DA EDUCAÇÃO VISCONDE DE MA'!C22</f>
        <v/>
      </c>
    </row>
    <row r="149" ht="15" customHeight="1" s="107">
      <c r="A149" s="216">
        <f>'CASA DA EDUCAÇÃO VISCONDE DE MA'!F23</f>
        <v/>
      </c>
      <c r="B149" s="217">
        <f>'CASA DA EDUCAÇÃO VISCONDE DE MA'!C23</f>
        <v/>
      </c>
    </row>
    <row r="150" ht="15" customHeight="1" s="107">
      <c r="A150" s="216">
        <f>'CASA DA EDUCAÇÃO VISCONDE DE MA'!F24</f>
        <v/>
      </c>
      <c r="B150" s="217">
        <f>'CASA DA EDUCAÇÃO VISCONDE DE MA'!C24</f>
        <v/>
      </c>
    </row>
    <row r="151" ht="15" customHeight="1" s="107">
      <c r="A151" s="216">
        <f>'CASA DA EDUCAÇÃO VISCONDE DE MA'!F25</f>
        <v/>
      </c>
      <c r="B151" s="217">
        <f>'CASA DA EDUCAÇÃO VISCONDE DE MA'!C25</f>
        <v/>
      </c>
    </row>
    <row r="152" ht="15" customHeight="1" s="107">
      <c r="A152" s="216">
        <f>'CASA DA EDUCAÇÃO VISCONDE DE MA'!F26</f>
        <v/>
      </c>
      <c r="B152" s="217">
        <f>'CASA DA EDUCAÇÃO VISCONDE DE MA'!C26</f>
        <v/>
      </c>
    </row>
    <row r="153" ht="15" customHeight="1" s="107">
      <c r="A153" s="216">
        <f>'CASA DA EDUCAÇÃO VISCONDE DE MA'!F27</f>
        <v/>
      </c>
      <c r="B153" s="217">
        <f>'CASA DA EDUCAÇÃO VISCONDE DE MA'!C27</f>
        <v/>
      </c>
    </row>
    <row r="154" ht="15" customHeight="1" s="107">
      <c r="A154" s="216">
        <f>'CENTRO DE REFERÊNCIA EM EDUCAÇÃ'!F9</f>
        <v/>
      </c>
      <c r="B154" s="217">
        <f>'CENTRO DE REFERÊNCIA EM EDUCAÇÃ'!C9</f>
        <v/>
      </c>
    </row>
    <row r="155" ht="15" customHeight="1" s="107">
      <c r="A155" s="216">
        <f>'CENTRO DE REFERÊNCIA EM EDUCAÇÃ'!F10</f>
        <v/>
      </c>
      <c r="B155" s="217">
        <f>'CENTRO DE REFERÊNCIA EM EDUCAÇÃ'!C10</f>
        <v/>
      </c>
    </row>
    <row r="156" ht="15" customHeight="1" s="107">
      <c r="A156" s="216">
        <f>'CENTRO DE REFERÊNCIA EM EDUCAÇÃ'!F11</f>
        <v/>
      </c>
      <c r="B156" s="217">
        <f>'CENTRO DE REFERÊNCIA EM EDUCAÇÃ'!C11</f>
        <v/>
      </c>
    </row>
    <row r="157" ht="15" customHeight="1" s="107">
      <c r="A157" s="216">
        <f>'CENTRO DE REFERÊNCIA EM EDUCAÇÃ'!F12</f>
        <v/>
      </c>
      <c r="B157" s="217">
        <f>'CENTRO DE REFERÊNCIA EM EDUCAÇÃ'!C12</f>
        <v/>
      </c>
    </row>
    <row r="158" ht="15" customHeight="1" s="107">
      <c r="A158" s="216">
        <f>'CENTRO DE REFERÊNCIA EM EDUCAÇÃ'!F13</f>
        <v/>
      </c>
      <c r="B158" s="217">
        <f>'CENTRO DE REFERÊNCIA EM EDUCAÇÃ'!C13</f>
        <v/>
      </c>
    </row>
    <row r="159" ht="15" customHeight="1" s="107">
      <c r="A159" s="216">
        <f>'CENTRO DE REFERÊNCIA EM EDUCAÇÃ'!F14</f>
        <v/>
      </c>
      <c r="B159" s="217">
        <f>'CENTRO DE REFERÊNCIA EM EDUCAÇÃ'!C14</f>
        <v/>
      </c>
    </row>
    <row r="160" ht="15" customHeight="1" s="107">
      <c r="A160" s="216">
        <f>'CENTRO DE REFERÊNCIA EM EDUCAÇÃ'!F15</f>
        <v/>
      </c>
      <c r="B160" s="217">
        <f>'CENTRO DE REFERÊNCIA EM EDUCAÇÃ'!C15</f>
        <v/>
      </c>
    </row>
    <row r="161" ht="15" customHeight="1" s="107">
      <c r="A161" s="216">
        <f>'CENTRO DE REFERÊNCIA EM EDUCAÇÃ'!F16</f>
        <v/>
      </c>
      <c r="B161" s="217">
        <f>'CENTRO DE REFERÊNCIA EM EDUCAÇÃ'!C16</f>
        <v/>
      </c>
    </row>
    <row r="162" ht="15" customHeight="1" s="107">
      <c r="A162" s="216">
        <f>'CENTRO DE REFERÊNCIA EM EDUCAÇÃ'!F17</f>
        <v/>
      </c>
      <c r="B162" s="217">
        <f>'CENTRO DE REFERÊNCIA EM EDUCAÇÃ'!C17</f>
        <v/>
      </c>
    </row>
    <row r="163" ht="15" customHeight="1" s="107">
      <c r="A163" s="216">
        <f>'CENTRO DE REFERÊNCIA EM EDUCAÇÃ'!F18</f>
        <v/>
      </c>
      <c r="B163" s="217">
        <f>'CENTRO DE REFERÊNCIA EM EDUCAÇÃ'!C18</f>
        <v/>
      </c>
    </row>
    <row r="164" ht="15" customHeight="1" s="107">
      <c r="A164" s="216">
        <f>'CENTRO DE REFERÊNCIA EM EDUCAÇÃ'!F19</f>
        <v/>
      </c>
      <c r="B164" s="217">
        <f>'CENTRO DE REFERÊNCIA EM EDUCAÇÃ'!C19</f>
        <v/>
      </c>
    </row>
    <row r="165" ht="15" customHeight="1" s="107">
      <c r="A165" s="216">
        <f>'CENTRO DE REFERÊNCIA EM EDUCAÇÃ'!F20</f>
        <v/>
      </c>
      <c r="B165" s="217">
        <f>'CENTRO DE REFERÊNCIA EM EDUCAÇÃ'!C20</f>
        <v/>
      </c>
    </row>
    <row r="166" ht="15" customHeight="1" s="107">
      <c r="A166" s="216">
        <f>'CENTRO DE REFERÊNCIA EM EDUCAÇÃ'!F21</f>
        <v/>
      </c>
      <c r="B166" s="217">
        <f>'CENTRO DE REFERÊNCIA EM EDUCAÇÃ'!C21</f>
        <v/>
      </c>
    </row>
    <row r="167" ht="15" customHeight="1" s="107">
      <c r="A167" s="216">
        <f>'CENTRO DE REFERÊNCIA EM EDUCAÇÃ'!F22</f>
        <v/>
      </c>
      <c r="B167" s="217">
        <f>'CENTRO DE REFERÊNCIA EM EDUCAÇÃ'!C22</f>
        <v/>
      </c>
    </row>
    <row r="168" ht="15" customHeight="1" s="107">
      <c r="A168" s="216">
        <f>'CENTRO DE REFERÊNCIA EM EDUCAÇÃ'!F23</f>
        <v/>
      </c>
      <c r="B168" s="217">
        <f>'CENTRO DE REFERÊNCIA EM EDUCAÇÃ'!C23</f>
        <v/>
      </c>
    </row>
    <row r="169" ht="15" customHeight="1" s="107">
      <c r="A169" s="216">
        <f>'CENTRO DE REFERÊNCIA EM EDUCAÇÃ'!F24</f>
        <v/>
      </c>
      <c r="B169" s="217">
        <f>'CENTRO DE REFERÊNCIA EM EDUCAÇÃ'!C24</f>
        <v/>
      </c>
    </row>
    <row r="170" ht="15" customHeight="1" s="107">
      <c r="A170" s="216">
        <f>'CENTRO DE REFERÊNCIA EM EDUCAÇÃ'!F25</f>
        <v/>
      </c>
      <c r="B170" s="217">
        <f>'CENTRO DE REFERÊNCIA EM EDUCAÇÃ'!C25</f>
        <v/>
      </c>
    </row>
    <row r="171" ht="15" customHeight="1" s="107">
      <c r="A171" s="216">
        <f>'CENTRO DE REFERÊNCIA EM EDUCAÇÃ'!F26</f>
        <v/>
      </c>
      <c r="B171" s="217">
        <f>'CENTRO DE REFERÊNCIA EM EDUCAÇÃ'!C26</f>
        <v/>
      </c>
    </row>
    <row r="172" ht="15" customHeight="1" s="107">
      <c r="A172" s="216">
        <f>'CENTRO DE REFERÊNCIA EM EDUCAÇÃ'!F27</f>
        <v/>
      </c>
      <c r="B172" s="217">
        <f>'CENTRO DE REFERÊNCIA EM EDUCAÇÃ'!C27</f>
        <v/>
      </c>
    </row>
    <row r="173" ht="15" customHeight="1" s="107">
      <c r="A173" s="216">
        <f>'ESCOLA SANTA LUIZA DE MARILLAC'!F9</f>
        <v/>
      </c>
      <c r="B173" s="217">
        <f>'ESCOLA SANTA LUIZA DE MARILLAC'!C9</f>
        <v/>
      </c>
    </row>
    <row r="174" ht="15" customHeight="1" s="107">
      <c r="A174" s="216">
        <f>'ESCOLA SANTA LUIZA DE MARILLAC'!F10</f>
        <v/>
      </c>
      <c r="B174" s="217">
        <f>'ESCOLA SANTA LUIZA DE MARILLAC'!C10</f>
        <v/>
      </c>
    </row>
    <row r="175" ht="15" customHeight="1" s="107">
      <c r="A175" s="216">
        <f>'ESCOLA SANTA LUIZA DE MARILLAC'!F11</f>
        <v/>
      </c>
      <c r="B175" s="217">
        <f>'ESCOLA SANTA LUIZA DE MARILLAC'!C11</f>
        <v/>
      </c>
    </row>
    <row r="176" ht="15" customHeight="1" s="107">
      <c r="A176" s="216">
        <f>'ESCOLA SANTA LUIZA DE MARILLAC'!F12</f>
        <v/>
      </c>
      <c r="B176" s="217">
        <f>'ESCOLA SANTA LUIZA DE MARILLAC'!C12</f>
        <v/>
      </c>
    </row>
    <row r="177" ht="15" customHeight="1" s="107">
      <c r="A177" s="216">
        <f>'ESCOLA SANTA LUIZA DE MARILLAC'!F13</f>
        <v/>
      </c>
      <c r="B177" s="217">
        <f>'ESCOLA SANTA LUIZA DE MARILLAC'!C13</f>
        <v/>
      </c>
    </row>
    <row r="178" ht="15" customHeight="1" s="107">
      <c r="A178" s="216">
        <f>'ESCOLA SANTA LUIZA DE MARILLAC'!F14</f>
        <v/>
      </c>
      <c r="B178" s="217">
        <f>'ESCOLA SANTA LUIZA DE MARILLAC'!C14</f>
        <v/>
      </c>
    </row>
    <row r="179" ht="15" customHeight="1" s="107">
      <c r="A179" s="216">
        <f>'ESCOLA SANTA LUIZA DE MARILLAC'!F15</f>
        <v/>
      </c>
      <c r="B179" s="217">
        <f>'ESCOLA SANTA LUIZA DE MARILLAC'!C15</f>
        <v/>
      </c>
    </row>
    <row r="180" ht="15" customHeight="1" s="107">
      <c r="A180" s="216">
        <f>'ESCOLA SANTA LUIZA DE MARILLAC'!F16</f>
        <v/>
      </c>
      <c r="B180" s="217">
        <f>'ESCOLA SANTA LUIZA DE MARILLAC'!C16</f>
        <v/>
      </c>
    </row>
    <row r="181" ht="15" customHeight="1" s="107">
      <c r="A181" s="216">
        <f>'ESCOLA SANTA LUIZA DE MARILLAC'!F17</f>
        <v/>
      </c>
      <c r="B181" s="217">
        <f>'ESCOLA SANTA LUIZA DE MARILLAC'!C17</f>
        <v/>
      </c>
    </row>
    <row r="182" ht="15" customHeight="1" s="107">
      <c r="A182" s="216">
        <f>'ESCOLA SANTA LUIZA DE MARILLAC'!F18</f>
        <v/>
      </c>
      <c r="B182" s="217">
        <f>'ESCOLA SANTA LUIZA DE MARILLAC'!C18</f>
        <v/>
      </c>
    </row>
    <row r="183" ht="15" customHeight="1" s="107">
      <c r="A183" s="216">
        <f>'ESCOLA SANTA LUIZA DE MARILLAC'!F19</f>
        <v/>
      </c>
      <c r="B183" s="217">
        <f>'ESCOLA SANTA LUIZA DE MARILLAC'!C19</f>
        <v/>
      </c>
    </row>
    <row r="184" ht="15" customHeight="1" s="107">
      <c r="A184" s="216">
        <f>'ESCOLA SANTA LUIZA DE MARILLAC'!F20</f>
        <v/>
      </c>
      <c r="B184" s="217">
        <f>'ESCOLA SANTA LUIZA DE MARILLAC'!C20</f>
        <v/>
      </c>
    </row>
    <row r="185" ht="15" customHeight="1" s="107">
      <c r="A185" s="216">
        <f>'ESCOLA SANTA LUIZA DE MARILLAC'!F21</f>
        <v/>
      </c>
      <c r="B185" s="217">
        <f>'ESCOLA SANTA LUIZA DE MARILLAC'!C21</f>
        <v/>
      </c>
    </row>
    <row r="186" ht="15" customHeight="1" s="107">
      <c r="A186" s="216">
        <f>'ESCOLA SANTA LUIZA DE MARILLAC'!F22</f>
        <v/>
      </c>
      <c r="B186" s="217">
        <f>'ESCOLA SANTA LUIZA DE MARILLAC'!C22</f>
        <v/>
      </c>
    </row>
    <row r="187" ht="15" customHeight="1" s="107">
      <c r="A187" s="216">
        <f>'ESCOLA SANTA LUIZA DE MARILLAC'!F23</f>
        <v/>
      </c>
      <c r="B187" s="217">
        <f>'ESCOLA SANTA LUIZA DE MARILLAC'!C23</f>
        <v/>
      </c>
    </row>
    <row r="188" ht="15" customHeight="1" s="107">
      <c r="A188" s="216">
        <f>'ESCOLA SANTA LUIZA DE MARILLAC'!F24</f>
        <v/>
      </c>
      <c r="B188" s="217">
        <f>'ESCOLA SANTA LUIZA DE MARILLAC'!C24</f>
        <v/>
      </c>
    </row>
    <row r="189" ht="15" customHeight="1" s="107">
      <c r="A189" s="216">
        <f>'ESCOLA SANTA LUIZA DE MARILLAC'!F25</f>
        <v/>
      </c>
      <c r="B189" s="217">
        <f>'ESCOLA SANTA LUIZA DE MARILLAC'!C25</f>
        <v/>
      </c>
    </row>
    <row r="190" ht="15" customHeight="1" s="107">
      <c r="A190" s="216">
        <f>'ESCOLA SANTA LUIZA DE MARILLAC'!F26</f>
        <v/>
      </c>
      <c r="B190" s="217">
        <f>'ESCOLA SANTA LUIZA DE MARILLAC'!C26</f>
        <v/>
      </c>
    </row>
    <row r="191" ht="15" customHeight="1" s="107">
      <c r="A191" s="216">
        <f>'ESCOLA SANTA LUIZA DE MARILLAC'!F27</f>
        <v/>
      </c>
      <c r="B191" s="217">
        <f>'ESCOLA SANTA LUIZA DE MARILLAC'!C27</f>
        <v/>
      </c>
    </row>
    <row r="192" ht="15" customHeight="1" s="107">
      <c r="A192" s="216">
        <f>'ESCOLA DOMÉSTICA NOSSA SENHORA '!F9</f>
        <v/>
      </c>
      <c r="B192" s="217">
        <f>'ESCOLA DOMÉSTICA NOSSA SENHORA '!C9</f>
        <v/>
      </c>
    </row>
    <row r="193" ht="15" customHeight="1" s="107">
      <c r="A193" s="216">
        <f>'ESCOLA DOMÉSTICA NOSSA SENHORA '!F10</f>
        <v/>
      </c>
      <c r="B193" s="217">
        <f>'ESCOLA DOMÉSTICA NOSSA SENHORA '!C10</f>
        <v/>
      </c>
    </row>
    <row r="194" ht="15" customHeight="1" s="107">
      <c r="A194" s="216">
        <f>'ESCOLA DOMÉSTICA NOSSA SENHORA '!F11</f>
        <v/>
      </c>
      <c r="B194" s="217">
        <f>'ESCOLA DOMÉSTICA NOSSA SENHORA '!C11</f>
        <v/>
      </c>
    </row>
    <row r="195" ht="15" customHeight="1" s="107">
      <c r="A195" s="216">
        <f>'ESCOLA DOMÉSTICA NOSSA SENHORA '!F12</f>
        <v/>
      </c>
      <c r="B195" s="217">
        <f>'ESCOLA DOMÉSTICA NOSSA SENHORA '!C12</f>
        <v/>
      </c>
    </row>
    <row r="196" ht="15" customHeight="1" s="107">
      <c r="A196" s="216">
        <f>'ESCOLA DOMÉSTICA NOSSA SENHORA '!F13</f>
        <v/>
      </c>
      <c r="B196" s="217">
        <f>'ESCOLA DOMÉSTICA NOSSA SENHORA '!C13</f>
        <v/>
      </c>
    </row>
    <row r="197" ht="15" customHeight="1" s="107">
      <c r="A197" s="216">
        <f>'ESCOLA DOMÉSTICA NOSSA SENHORA '!F14</f>
        <v/>
      </c>
      <c r="B197" s="217">
        <f>'ESCOLA DOMÉSTICA NOSSA SENHORA '!C14</f>
        <v/>
      </c>
    </row>
    <row r="198" ht="15" customHeight="1" s="107">
      <c r="A198" s="216">
        <f>'ESCOLA DOMÉSTICA NOSSA SENHORA '!F15</f>
        <v/>
      </c>
      <c r="B198" s="217">
        <f>'ESCOLA DOMÉSTICA NOSSA SENHORA '!C15</f>
        <v/>
      </c>
    </row>
    <row r="199" ht="15" customHeight="1" s="107">
      <c r="A199" s="216">
        <f>'ESCOLA DOMÉSTICA NOSSA SENHORA '!F16</f>
        <v/>
      </c>
      <c r="B199" s="217">
        <f>'ESCOLA DOMÉSTICA NOSSA SENHORA '!C16</f>
        <v/>
      </c>
    </row>
    <row r="200" ht="15" customHeight="1" s="107">
      <c r="A200" s="216">
        <f>'ESCOLA DOMÉSTICA NOSSA SENHORA '!F17</f>
        <v/>
      </c>
      <c r="B200" s="217">
        <f>'ESCOLA DOMÉSTICA NOSSA SENHORA '!C17</f>
        <v/>
      </c>
    </row>
    <row r="201" ht="15" customHeight="1" s="107">
      <c r="A201" s="216">
        <f>'ESCOLA DOMÉSTICA NOSSA SENHORA '!F18</f>
        <v/>
      </c>
      <c r="B201" s="217">
        <f>'ESCOLA DOMÉSTICA NOSSA SENHORA '!C18</f>
        <v/>
      </c>
    </row>
    <row r="202" ht="15" customHeight="1" s="107">
      <c r="A202" s="216">
        <f>'ESCOLA DOMÉSTICA NOSSA SENHORA '!F19</f>
        <v/>
      </c>
      <c r="B202" s="217">
        <f>'ESCOLA DOMÉSTICA NOSSA SENHORA '!C19</f>
        <v/>
      </c>
    </row>
    <row r="203" ht="15" customHeight="1" s="107">
      <c r="A203" s="216">
        <f>'ESCOLA DOMÉSTICA NOSSA SENHORA '!F20</f>
        <v/>
      </c>
      <c r="B203" s="217">
        <f>'ESCOLA DOMÉSTICA NOSSA SENHORA '!C20</f>
        <v/>
      </c>
    </row>
    <row r="204" ht="15" customHeight="1" s="107">
      <c r="A204" s="216">
        <f>'ESCOLA DOMÉSTICA NOSSA SENHORA '!F21</f>
        <v/>
      </c>
      <c r="B204" s="217">
        <f>'ESCOLA DOMÉSTICA NOSSA SENHORA '!C21</f>
        <v/>
      </c>
    </row>
    <row r="205" ht="15" customHeight="1" s="107">
      <c r="A205" s="216">
        <f>'ESCOLA DOMÉSTICA NOSSA SENHORA '!F22</f>
        <v/>
      </c>
      <c r="B205" s="217">
        <f>'ESCOLA DOMÉSTICA NOSSA SENHORA '!C22</f>
        <v/>
      </c>
    </row>
    <row r="206" ht="15" customHeight="1" s="107">
      <c r="A206" s="216">
        <f>'ESCOLA DOMÉSTICA NOSSA SENHORA '!F23</f>
        <v/>
      </c>
      <c r="B206" s="217">
        <f>'ESCOLA DOMÉSTICA NOSSA SENHORA '!C23</f>
        <v/>
      </c>
    </row>
    <row r="207" ht="15" customHeight="1" s="107">
      <c r="A207" s="216">
        <f>'ESCOLA DOMÉSTICA NOSSA SENHORA '!F24</f>
        <v/>
      </c>
      <c r="B207" s="217">
        <f>'ESCOLA DOMÉSTICA NOSSA SENHORA '!C24</f>
        <v/>
      </c>
    </row>
    <row r="208" ht="15" customHeight="1" s="107">
      <c r="A208" s="216">
        <f>'ESCOLA DOMÉSTICA NOSSA SENHORA '!F25</f>
        <v/>
      </c>
      <c r="B208" s="217">
        <f>'ESCOLA DOMÉSTICA NOSSA SENHORA '!C25</f>
        <v/>
      </c>
    </row>
    <row r="209" ht="15" customHeight="1" s="107">
      <c r="A209" s="216">
        <f>'ESCOLA DOMÉSTICA NOSSA SENHORA '!F26</f>
        <v/>
      </c>
      <c r="B209" s="217">
        <f>'ESCOLA DOMÉSTICA NOSSA SENHORA '!C26</f>
        <v/>
      </c>
    </row>
    <row r="210" ht="15" customHeight="1" s="107">
      <c r="A210" s="216">
        <f>'ESCOLA DOMÉSTICA NOSSA SENHORA '!F27</f>
        <v/>
      </c>
      <c r="B210" s="217">
        <f>'ESCOLA DOMÉSTICA NOSSA SENHORA '!C27</f>
        <v/>
      </c>
    </row>
    <row r="211" ht="15" customHeight="1" s="107">
      <c r="A211" s="216">
        <f>'ESCOLA MONSENHOR GENTIL'!F9</f>
        <v/>
      </c>
      <c r="B211" s="217">
        <f>'ESCOLA MONSENHOR GENTIL'!C9</f>
        <v/>
      </c>
    </row>
    <row r="212" ht="15" customHeight="1" s="107">
      <c r="A212" s="216">
        <f>'ESCOLA MONSENHOR GENTIL'!F10</f>
        <v/>
      </c>
      <c r="B212" s="217">
        <f>'ESCOLA MONSENHOR GENTIL'!C10</f>
        <v/>
      </c>
    </row>
    <row r="213" ht="15" customHeight="1" s="107">
      <c r="A213" s="216">
        <f>'ESCOLA MONSENHOR GENTIL'!F11</f>
        <v/>
      </c>
      <c r="B213" s="217">
        <f>'ESCOLA MONSENHOR GENTIL'!C11</f>
        <v/>
      </c>
    </row>
    <row r="214" ht="15" customHeight="1" s="107">
      <c r="A214" s="216">
        <f>'ESCOLA MONSENHOR GENTIL'!F12</f>
        <v/>
      </c>
      <c r="B214" s="217">
        <f>'ESCOLA MONSENHOR GENTIL'!C12</f>
        <v/>
      </c>
    </row>
    <row r="215" ht="15" customHeight="1" s="107">
      <c r="A215" s="216">
        <f>'ESCOLA MONSENHOR GENTIL'!F13</f>
        <v/>
      </c>
      <c r="B215" s="217">
        <f>'ESCOLA MONSENHOR GENTIL'!C13</f>
        <v/>
      </c>
    </row>
    <row r="216" ht="15" customHeight="1" s="107">
      <c r="A216" s="216">
        <f>'ESCOLA MONSENHOR GENTIL'!F14</f>
        <v/>
      </c>
      <c r="B216" s="217">
        <f>'ESCOLA MONSENHOR GENTIL'!C14</f>
        <v/>
      </c>
    </row>
    <row r="217" ht="15" customHeight="1" s="107">
      <c r="A217" s="216">
        <f>'ESCOLA MONSENHOR GENTIL'!F15</f>
        <v/>
      </c>
      <c r="B217" s="217">
        <f>'ESCOLA MONSENHOR GENTIL'!C15</f>
        <v/>
      </c>
    </row>
    <row r="218" ht="15" customHeight="1" s="107">
      <c r="A218" s="216">
        <f>'ESCOLA MONSENHOR GENTIL'!F16</f>
        <v/>
      </c>
      <c r="B218" s="217">
        <f>'ESCOLA MONSENHOR GENTIL'!C16</f>
        <v/>
      </c>
    </row>
    <row r="219" ht="15" customHeight="1" s="107">
      <c r="A219" s="216">
        <f>'ESCOLA MONSENHOR GENTIL'!F17</f>
        <v/>
      </c>
      <c r="B219" s="217">
        <f>'ESCOLA MONSENHOR GENTIL'!C17</f>
        <v/>
      </c>
    </row>
    <row r="220" ht="15" customHeight="1" s="107">
      <c r="A220" s="216">
        <f>'ESCOLA MONSENHOR GENTIL'!F18</f>
        <v/>
      </c>
      <c r="B220" s="217">
        <f>'ESCOLA MONSENHOR GENTIL'!C18</f>
        <v/>
      </c>
    </row>
    <row r="221" ht="15" customHeight="1" s="107">
      <c r="A221" s="216">
        <f>'ESCOLA MONSENHOR GENTIL'!F19</f>
        <v/>
      </c>
      <c r="B221" s="217">
        <f>'ESCOLA MONSENHOR GENTIL'!C19</f>
        <v/>
      </c>
    </row>
    <row r="222" ht="15" customHeight="1" s="107">
      <c r="A222" s="216">
        <f>'ESCOLA MONSENHOR GENTIL'!F20</f>
        <v/>
      </c>
      <c r="B222" s="217">
        <f>'ESCOLA MONSENHOR GENTIL'!C20</f>
        <v/>
      </c>
    </row>
    <row r="223" ht="15" customHeight="1" s="107">
      <c r="A223" s="216">
        <f>'ESCOLA MONSENHOR GENTIL'!F21</f>
        <v/>
      </c>
      <c r="B223" s="217">
        <f>'ESCOLA MONSENHOR GENTIL'!C21</f>
        <v/>
      </c>
    </row>
    <row r="224" ht="15" customHeight="1" s="107">
      <c r="A224" s="216">
        <f>'ESCOLA MONSENHOR GENTIL'!F22</f>
        <v/>
      </c>
      <c r="B224" s="217">
        <f>'ESCOLA MONSENHOR GENTIL'!C22</f>
        <v/>
      </c>
    </row>
    <row r="225" ht="15" customHeight="1" s="107">
      <c r="A225" s="216">
        <f>'ESCOLA MONSENHOR GENTIL'!F23</f>
        <v/>
      </c>
      <c r="B225" s="217">
        <f>'ESCOLA MONSENHOR GENTIL'!C23</f>
        <v/>
      </c>
    </row>
    <row r="226" ht="15" customHeight="1" s="107">
      <c r="A226" s="216">
        <f>'ESCOLA MONSENHOR GENTIL'!F24</f>
        <v/>
      </c>
      <c r="B226" s="217">
        <f>'ESCOLA MONSENHOR GENTIL'!C24</f>
        <v/>
      </c>
    </row>
    <row r="227" ht="15" customHeight="1" s="107">
      <c r="A227" s="216">
        <f>'ESCOLA MONSENHOR GENTIL'!F25</f>
        <v/>
      </c>
      <c r="B227" s="217">
        <f>'ESCOLA MONSENHOR GENTIL'!C25</f>
        <v/>
      </c>
    </row>
    <row r="228" ht="15" customHeight="1" s="107">
      <c r="A228" s="216">
        <f>'ESCOLA MONSENHOR GENTIL'!F26</f>
        <v/>
      </c>
      <c r="B228" s="217">
        <f>'ESCOLA MONSENHOR GENTIL'!C26</f>
        <v/>
      </c>
    </row>
    <row r="229" ht="15" customHeight="1" s="107">
      <c r="A229" s="216">
        <f>'ESCOLA MONSENHOR GENTIL'!F27</f>
        <v/>
      </c>
      <c r="B229" s="217">
        <f>'ESCOLA MONSENHOR GENTIL'!C27</f>
        <v/>
      </c>
    </row>
    <row r="230" ht="15" customHeight="1" s="107">
      <c r="A230" s="216">
        <f>'ESCOLA PAROQUIAL NOSSA SENHORA '!F9</f>
        <v/>
      </c>
      <c r="B230" s="217">
        <f>'ESCOLA PAROQUIAL NOSSA SENHORA '!C9</f>
        <v/>
      </c>
    </row>
    <row r="231" ht="15" customHeight="1" s="107">
      <c r="A231" s="216">
        <f>'ESCOLA PAROQUIAL NOSSA SENHORA '!F10</f>
        <v/>
      </c>
      <c r="B231" s="217">
        <f>'ESCOLA PAROQUIAL NOSSA SENHORA '!C10</f>
        <v/>
      </c>
    </row>
    <row r="232" ht="15" customHeight="1" s="107">
      <c r="A232" s="216">
        <f>'ESCOLA PAROQUIAL NOSSA SENHORA '!F11</f>
        <v/>
      </c>
      <c r="B232" s="217">
        <f>'ESCOLA PAROQUIAL NOSSA SENHORA '!C11</f>
        <v/>
      </c>
    </row>
    <row r="233" ht="15" customHeight="1" s="107">
      <c r="A233" s="216">
        <f>'ESCOLA PAROQUIAL NOSSA SENHORA '!F12</f>
        <v/>
      </c>
      <c r="B233" s="217">
        <f>'ESCOLA PAROQUIAL NOSSA SENHORA '!C12</f>
        <v/>
      </c>
    </row>
    <row r="234" ht="15" customHeight="1" s="107">
      <c r="A234" s="216">
        <f>'ESCOLA PAROQUIAL NOSSA SENHORA '!F13</f>
        <v/>
      </c>
      <c r="B234" s="217">
        <f>'ESCOLA PAROQUIAL NOSSA SENHORA '!C13</f>
        <v/>
      </c>
    </row>
    <row r="235" ht="15" customHeight="1" s="107">
      <c r="A235" s="216">
        <f>'ESCOLA PAROQUIAL NOSSA SENHORA '!F14</f>
        <v/>
      </c>
      <c r="B235" s="217">
        <f>'ESCOLA PAROQUIAL NOSSA SENHORA '!C14</f>
        <v/>
      </c>
    </row>
    <row r="236" ht="15" customHeight="1" s="107">
      <c r="A236" s="216">
        <f>'ESCOLA PAROQUIAL NOSSA SENHORA '!F15</f>
        <v/>
      </c>
      <c r="B236" s="217">
        <f>'ESCOLA PAROQUIAL NOSSA SENHORA '!C15</f>
        <v/>
      </c>
    </row>
    <row r="237" ht="15" customHeight="1" s="107">
      <c r="A237" s="216">
        <f>'ESCOLA PAROQUIAL NOSSA SENHORA '!F16</f>
        <v/>
      </c>
      <c r="B237" s="217">
        <f>'ESCOLA PAROQUIAL NOSSA SENHORA '!C16</f>
        <v/>
      </c>
    </row>
    <row r="238" ht="15" customHeight="1" s="107">
      <c r="A238" s="216">
        <f>'ESCOLA PAROQUIAL NOSSA SENHORA '!F17</f>
        <v/>
      </c>
      <c r="B238" s="217">
        <f>'ESCOLA PAROQUIAL NOSSA SENHORA '!C17</f>
        <v/>
      </c>
    </row>
    <row r="239" ht="15" customHeight="1" s="107">
      <c r="A239" s="216">
        <f>'ESCOLA PAROQUIAL NOSSA SENHORA '!F18</f>
        <v/>
      </c>
      <c r="B239" s="217">
        <f>'ESCOLA PAROQUIAL NOSSA SENHORA '!C18</f>
        <v/>
      </c>
    </row>
    <row r="240" ht="15" customHeight="1" s="107">
      <c r="A240" s="216">
        <f>'ESCOLA PAROQUIAL NOSSA SENHORA '!F19</f>
        <v/>
      </c>
      <c r="B240" s="217">
        <f>'ESCOLA PAROQUIAL NOSSA SENHORA '!C19</f>
        <v/>
      </c>
    </row>
    <row r="241" ht="15" customHeight="1" s="107">
      <c r="A241" s="216">
        <f>'ESCOLA PAROQUIAL NOSSA SENHORA '!F20</f>
        <v/>
      </c>
      <c r="B241" s="217">
        <f>'ESCOLA PAROQUIAL NOSSA SENHORA '!C20</f>
        <v/>
      </c>
    </row>
    <row r="242" ht="15" customHeight="1" s="107">
      <c r="A242" s="216">
        <f>'ESCOLA PAROQUIAL NOSSA SENHORA '!F21</f>
        <v/>
      </c>
      <c r="B242" s="217">
        <f>'ESCOLA PAROQUIAL NOSSA SENHORA '!C21</f>
        <v/>
      </c>
    </row>
    <row r="243" ht="15" customHeight="1" s="107">
      <c r="A243" s="216">
        <f>'ESCOLA PAROQUIAL NOSSA SENHORA '!F22</f>
        <v/>
      </c>
      <c r="B243" s="217">
        <f>'ESCOLA PAROQUIAL NOSSA SENHORA '!C22</f>
        <v/>
      </c>
    </row>
    <row r="244" ht="15" customHeight="1" s="107">
      <c r="A244" s="216">
        <f>'ESCOLA PAROQUIAL NOSSA SENHORA '!F23</f>
        <v/>
      </c>
      <c r="B244" s="217">
        <f>'ESCOLA PAROQUIAL NOSSA SENHORA '!C23</f>
        <v/>
      </c>
    </row>
    <row r="245" ht="15" customHeight="1" s="107">
      <c r="A245" s="216">
        <f>'ESCOLA PAROQUIAL NOSSA SENHORA '!F24</f>
        <v/>
      </c>
      <c r="B245" s="217">
        <f>'ESCOLA PAROQUIAL NOSSA SENHORA '!C24</f>
        <v/>
      </c>
    </row>
    <row r="246" ht="15" customHeight="1" s="107">
      <c r="A246" s="216">
        <f>'ESCOLA PAROQUIAL NOSSA SENHORA '!F25</f>
        <v/>
      </c>
      <c r="B246" s="217">
        <f>'ESCOLA PAROQUIAL NOSSA SENHORA '!C25</f>
        <v/>
      </c>
    </row>
    <row r="247" ht="15" customHeight="1" s="107">
      <c r="A247" s="216">
        <f>'ESCOLA PAROQUIAL NOSSA SENHORA '!F26</f>
        <v/>
      </c>
      <c r="B247" s="217">
        <f>'ESCOLA PAROQUIAL NOSSA SENHORA '!C26</f>
        <v/>
      </c>
    </row>
    <row r="248" ht="15" customHeight="1" s="107">
      <c r="A248" s="216">
        <f>'ESCOLA PAROQUIAL NOSSA SENHORA '!F27</f>
        <v/>
      </c>
      <c r="B248" s="217">
        <f>'ESCOLA PAROQUIAL NOSSA SENHORA '!C27</f>
        <v/>
      </c>
    </row>
    <row r="249" ht="15" customHeight="1" s="107">
      <c r="A249" s="216">
        <f>'ESCOLA PAROQUIAL SÃO PEDRO DE A'!F9</f>
        <v/>
      </c>
      <c r="B249" s="217">
        <f>'ESCOLA PAROQUIAL SÃO PEDRO DE A'!C9</f>
        <v/>
      </c>
    </row>
    <row r="250" ht="15" customHeight="1" s="107">
      <c r="A250" s="216">
        <f>'ESCOLA PAROQUIAL SÃO PEDRO DE A'!F10</f>
        <v/>
      </c>
      <c r="B250" s="217">
        <f>'ESCOLA PAROQUIAL SÃO PEDRO DE A'!C10</f>
        <v/>
      </c>
    </row>
    <row r="251" ht="15" customHeight="1" s="107">
      <c r="A251" s="216">
        <f>'ESCOLA PAROQUIAL SÃO PEDRO DE A'!F11</f>
        <v/>
      </c>
      <c r="B251" s="217">
        <f>'ESCOLA PAROQUIAL SÃO PEDRO DE A'!C11</f>
        <v/>
      </c>
    </row>
    <row r="252" ht="15" customHeight="1" s="107">
      <c r="A252" s="216">
        <f>'ESCOLA PAROQUIAL SÃO PEDRO DE A'!F12</f>
        <v/>
      </c>
      <c r="B252" s="217">
        <f>'ESCOLA PAROQUIAL SÃO PEDRO DE A'!C12</f>
        <v/>
      </c>
    </row>
    <row r="253" ht="15" customHeight="1" s="107">
      <c r="A253" s="216">
        <f>'ESCOLA PAROQUIAL SÃO PEDRO DE A'!F13</f>
        <v/>
      </c>
      <c r="B253" s="217">
        <f>'ESCOLA PAROQUIAL SÃO PEDRO DE A'!C13</f>
        <v/>
      </c>
    </row>
    <row r="254" ht="15" customHeight="1" s="107">
      <c r="A254" s="216">
        <f>'ESCOLA PAROQUIAL SÃO PEDRO DE A'!F14</f>
        <v/>
      </c>
      <c r="B254" s="217">
        <f>'ESCOLA PAROQUIAL SÃO PEDRO DE A'!C14</f>
        <v/>
      </c>
    </row>
    <row r="255" ht="15" customHeight="1" s="107">
      <c r="A255" s="216">
        <f>'ESCOLA PAROQUIAL SÃO PEDRO DE A'!F15</f>
        <v/>
      </c>
      <c r="B255" s="217">
        <f>'ESCOLA PAROQUIAL SÃO PEDRO DE A'!C15</f>
        <v/>
      </c>
    </row>
    <row r="256" ht="15" customHeight="1" s="107">
      <c r="A256" s="216">
        <f>'ESCOLA PAROQUIAL SÃO PEDRO DE A'!F16</f>
        <v/>
      </c>
      <c r="B256" s="217">
        <f>'ESCOLA PAROQUIAL SÃO PEDRO DE A'!C16</f>
        <v/>
      </c>
    </row>
    <row r="257" ht="15" customHeight="1" s="107">
      <c r="A257" s="216">
        <f>'ESCOLA PAROQUIAL SÃO PEDRO DE A'!F17</f>
        <v/>
      </c>
      <c r="B257" s="217">
        <f>'ESCOLA PAROQUIAL SÃO PEDRO DE A'!C17</f>
        <v/>
      </c>
    </row>
    <row r="258" ht="15" customHeight="1" s="107">
      <c r="A258" s="216">
        <f>'ESCOLA PAROQUIAL SÃO PEDRO DE A'!F18</f>
        <v/>
      </c>
      <c r="B258" s="217">
        <f>'ESCOLA PAROQUIAL SÃO PEDRO DE A'!C18</f>
        <v/>
      </c>
    </row>
    <row r="259" ht="15" customHeight="1" s="107">
      <c r="A259" s="216">
        <f>'ESCOLA PAROQUIAL SÃO PEDRO DE A'!F19</f>
        <v/>
      </c>
      <c r="B259" s="217">
        <f>'ESCOLA PAROQUIAL SÃO PEDRO DE A'!C19</f>
        <v/>
      </c>
    </row>
    <row r="260" ht="15" customHeight="1" s="107">
      <c r="A260" s="216">
        <f>'ESCOLA PAROQUIAL SÃO PEDRO DE A'!F20</f>
        <v/>
      </c>
      <c r="B260" s="217">
        <f>'ESCOLA PAROQUIAL SÃO PEDRO DE A'!C20</f>
        <v/>
      </c>
    </row>
    <row r="261" ht="15" customHeight="1" s="107">
      <c r="A261" s="216">
        <f>'ESCOLA PAROQUIAL SÃO PEDRO DE A'!F21</f>
        <v/>
      </c>
      <c r="B261" s="217">
        <f>'ESCOLA PAROQUIAL SÃO PEDRO DE A'!C21</f>
        <v/>
      </c>
    </row>
    <row r="262" ht="15" customHeight="1" s="107">
      <c r="A262" s="216">
        <f>'ESCOLA PAROQUIAL SÃO PEDRO DE A'!F22</f>
        <v/>
      </c>
      <c r="B262" s="217">
        <f>'ESCOLA PAROQUIAL SÃO PEDRO DE A'!C22</f>
        <v/>
      </c>
    </row>
    <row r="263" ht="15" customHeight="1" s="107">
      <c r="A263" s="216">
        <f>'ESCOLA PAROQUIAL SÃO PEDRO DE A'!F23</f>
        <v/>
      </c>
      <c r="B263" s="217">
        <f>'ESCOLA PAROQUIAL SÃO PEDRO DE A'!C23</f>
        <v/>
      </c>
    </row>
    <row r="264" ht="15" customHeight="1" s="107">
      <c r="A264" s="216">
        <f>'ESCOLA PAROQUIAL SÃO PEDRO DE A'!F24</f>
        <v/>
      </c>
      <c r="B264" s="217">
        <f>'ESCOLA PAROQUIAL SÃO PEDRO DE A'!C24</f>
        <v/>
      </c>
    </row>
    <row r="265" ht="15" customHeight="1" s="107">
      <c r="A265" s="216">
        <f>'ESCOLA PAROQUIAL SÃO PEDRO DE A'!F25</f>
        <v/>
      </c>
      <c r="B265" s="217">
        <f>'ESCOLA PAROQUIAL SÃO PEDRO DE A'!C25</f>
        <v/>
      </c>
    </row>
    <row r="266" ht="15" customHeight="1" s="107">
      <c r="A266" s="216">
        <f>'ESCOLA PAROQUIAL SÃO PEDRO DE A'!F26</f>
        <v/>
      </c>
      <c r="B266" s="217">
        <f>'ESCOLA PAROQUIAL SÃO PEDRO DE A'!C26</f>
        <v/>
      </c>
    </row>
    <row r="267" ht="15" customHeight="1" s="107">
      <c r="A267" s="216">
        <f>'ESCOLA PAROQUIAL SÃO PEDRO DE A'!F27</f>
        <v/>
      </c>
      <c r="B267" s="217">
        <f>'ESCOLA PAROQUIAL SÃO PEDRO DE A'!C27</f>
        <v/>
      </c>
    </row>
    <row r="268" ht="15" customHeight="1" s="107">
      <c r="A268" s="216">
        <f>'CEI TERRA SANTA'!F9</f>
        <v/>
      </c>
      <c r="B268" s="217">
        <f>'CEI TERRA SANTA'!C9</f>
        <v/>
      </c>
    </row>
    <row r="269" ht="15" customHeight="1" s="107">
      <c r="A269" s="216">
        <f>'CEI TERRA SANTA'!F10</f>
        <v/>
      </c>
      <c r="B269" s="217">
        <f>'CEI TERRA SANTA'!C10</f>
        <v/>
      </c>
    </row>
    <row r="270" ht="15" customHeight="1" s="107">
      <c r="A270" s="216">
        <f>'CEI TERRA SANTA'!F11</f>
        <v/>
      </c>
      <c r="B270" s="217">
        <f>'CEI TERRA SANTA'!C11</f>
        <v/>
      </c>
    </row>
    <row r="271" ht="15" customHeight="1" s="107">
      <c r="A271" s="216">
        <f>'CEI TERRA SANTA'!F12</f>
        <v/>
      </c>
      <c r="B271" s="217">
        <f>'CEI TERRA SANTA'!C12</f>
        <v/>
      </c>
    </row>
    <row r="272" ht="15" customHeight="1" s="107">
      <c r="A272" s="216">
        <f>'CEI TERRA SANTA'!F13</f>
        <v/>
      </c>
      <c r="B272" s="217">
        <f>'CEI TERRA SANTA'!C13</f>
        <v/>
      </c>
    </row>
    <row r="273" ht="15" customHeight="1" s="107">
      <c r="A273" s="216">
        <f>'CEI TERRA SANTA'!F14</f>
        <v/>
      </c>
      <c r="B273" s="217">
        <f>'CEI TERRA SANTA'!C14</f>
        <v/>
      </c>
    </row>
    <row r="274" ht="15" customHeight="1" s="107">
      <c r="A274" s="216">
        <f>'CEI TERRA SANTA'!F15</f>
        <v/>
      </c>
      <c r="B274" s="217">
        <f>'CEI TERRA SANTA'!C15</f>
        <v/>
      </c>
    </row>
    <row r="275" ht="15" customHeight="1" s="107">
      <c r="A275" s="216">
        <f>'CEI TERRA SANTA'!F16</f>
        <v/>
      </c>
      <c r="B275" s="217">
        <f>'CEI TERRA SANTA'!C16</f>
        <v/>
      </c>
    </row>
    <row r="276" ht="15" customHeight="1" s="107">
      <c r="A276" s="216">
        <f>'CEI TERRA SANTA'!F17</f>
        <v/>
      </c>
      <c r="B276" s="217">
        <f>'CEI TERRA SANTA'!C17</f>
        <v/>
      </c>
    </row>
    <row r="277" ht="15" customHeight="1" s="107">
      <c r="A277" s="216">
        <f>'CEI TERRA SANTA'!F18</f>
        <v/>
      </c>
      <c r="B277" s="217">
        <f>'CEI TERRA SANTA'!C18</f>
        <v/>
      </c>
    </row>
    <row r="278" ht="15" customHeight="1" s="107">
      <c r="A278" s="216">
        <f>'CEI TERRA SANTA'!F19</f>
        <v/>
      </c>
      <c r="B278" s="217">
        <f>'CEI TERRA SANTA'!C19</f>
        <v/>
      </c>
    </row>
    <row r="279" ht="15" customHeight="1" s="107">
      <c r="A279" s="216">
        <f>'CEI TERRA SANTA'!F20</f>
        <v/>
      </c>
      <c r="B279" s="217">
        <f>'CEI TERRA SANTA'!C20</f>
        <v/>
      </c>
    </row>
    <row r="280" ht="15" customHeight="1" s="107">
      <c r="A280" s="216">
        <f>'CEI TERRA SANTA'!F21</f>
        <v/>
      </c>
      <c r="B280" s="217">
        <f>'CEI TERRA SANTA'!C21</f>
        <v/>
      </c>
    </row>
    <row r="281" ht="15" customHeight="1" s="107">
      <c r="A281" s="216">
        <f>'CEI TERRA SANTA'!F22</f>
        <v/>
      </c>
      <c r="B281" s="217">
        <f>'CEI TERRA SANTA'!C22</f>
        <v/>
      </c>
    </row>
    <row r="282" ht="15" customHeight="1" s="107">
      <c r="A282" s="216">
        <f>'CEI TERRA SANTA'!F23</f>
        <v/>
      </c>
      <c r="B282" s="217">
        <f>'CEI TERRA SANTA'!C23</f>
        <v/>
      </c>
    </row>
    <row r="283" ht="15" customHeight="1" s="107">
      <c r="A283" s="216">
        <f>'CEI TERRA SANTA'!F24</f>
        <v/>
      </c>
      <c r="B283" s="217">
        <f>'CEI TERRA SANTA'!C24</f>
        <v/>
      </c>
    </row>
    <row r="284" ht="15" customHeight="1" s="107">
      <c r="A284" s="216">
        <f>'CEI TERRA SANTA'!F25</f>
        <v/>
      </c>
      <c r="B284" s="217">
        <f>'CEI TERRA SANTA'!C25</f>
        <v/>
      </c>
    </row>
    <row r="285" ht="15" customHeight="1" s="107">
      <c r="A285" s="216">
        <f>'CEI TERRA SANTA'!F26</f>
        <v/>
      </c>
      <c r="B285" s="217">
        <f>'CEI TERRA SANTA'!C26</f>
        <v/>
      </c>
    </row>
    <row r="286" ht="15" customHeight="1" s="107">
      <c r="A286" s="216">
        <f>'CEI TERRA SANTA'!F27</f>
        <v/>
      </c>
      <c r="B286" s="217">
        <f>'CEI TERRA SANTA'!C27</f>
        <v/>
      </c>
    </row>
    <row r="287" ht="15" customHeight="1" s="107">
      <c r="A287" s="216">
        <f>'CEI PRIMEIRA INFÂNCIA'!F9</f>
        <v/>
      </c>
      <c r="B287" s="217">
        <f>'CEI PRIMEIRA INFÂNCIA'!C9</f>
        <v/>
      </c>
    </row>
    <row r="288" ht="15" customHeight="1" s="107">
      <c r="A288" s="216">
        <f>'CEI PRIMEIRA INFÂNCIA'!F10</f>
        <v/>
      </c>
      <c r="B288" s="217">
        <f>'CEI PRIMEIRA INFÂNCIA'!C10</f>
        <v/>
      </c>
    </row>
    <row r="289" ht="15" customHeight="1" s="107">
      <c r="A289" s="216">
        <f>'CEI PRIMEIRA INFÂNCIA'!F11</f>
        <v/>
      </c>
      <c r="B289" s="217">
        <f>'CEI PRIMEIRA INFÂNCIA'!C11</f>
        <v/>
      </c>
    </row>
    <row r="290" ht="15" customHeight="1" s="107">
      <c r="A290" s="216">
        <f>'CEI PRIMEIRA INFÂNCIA'!F12</f>
        <v/>
      </c>
      <c r="B290" s="217">
        <f>'CEI PRIMEIRA INFÂNCIA'!C12</f>
        <v/>
      </c>
    </row>
    <row r="291" ht="15" customHeight="1" s="107">
      <c r="A291" s="216">
        <f>'CEI PRIMEIRA INFÂNCIA'!F13</f>
        <v/>
      </c>
      <c r="B291" s="217">
        <f>'CEI PRIMEIRA INFÂNCIA'!C13</f>
        <v/>
      </c>
    </row>
    <row r="292" ht="15" customHeight="1" s="107">
      <c r="A292" s="216">
        <f>'CEI PRIMEIRA INFÂNCIA'!F14</f>
        <v/>
      </c>
      <c r="B292" s="217">
        <f>'CEI PRIMEIRA INFÂNCIA'!C14</f>
        <v/>
      </c>
    </row>
    <row r="293" ht="15" customHeight="1" s="107">
      <c r="A293" s="216">
        <f>'CEI PRIMEIRA INFÂNCIA'!F15</f>
        <v/>
      </c>
      <c r="B293" s="217">
        <f>'CEI PRIMEIRA INFÂNCIA'!C15</f>
        <v/>
      </c>
    </row>
    <row r="294" ht="15" customHeight="1" s="107">
      <c r="A294" s="216">
        <f>'CEI PRIMEIRA INFÂNCIA'!F16</f>
        <v/>
      </c>
      <c r="B294" s="217">
        <f>'CEI PRIMEIRA INFÂNCIA'!C16</f>
        <v/>
      </c>
    </row>
    <row r="295" ht="15" customHeight="1" s="107">
      <c r="A295" s="216">
        <f>'CEI PRIMEIRA INFÂNCIA'!F17</f>
        <v/>
      </c>
      <c r="B295" s="217">
        <f>'CEI PRIMEIRA INFÂNCIA'!C17</f>
        <v/>
      </c>
    </row>
    <row r="296" ht="15" customHeight="1" s="107">
      <c r="A296" s="216">
        <f>'CEI PRIMEIRA INFÂNCIA'!F18</f>
        <v/>
      </c>
      <c r="B296" s="217">
        <f>'CEI PRIMEIRA INFÂNCIA'!C18</f>
        <v/>
      </c>
    </row>
    <row r="297" ht="15" customHeight="1" s="107">
      <c r="A297" s="216">
        <f>'CEI PRIMEIRA INFÂNCIA'!F19</f>
        <v/>
      </c>
      <c r="B297" s="217">
        <f>'CEI PRIMEIRA INFÂNCIA'!C19</f>
        <v/>
      </c>
    </row>
    <row r="298" ht="15" customHeight="1" s="107">
      <c r="A298" s="216">
        <f>'CEI PRIMEIRA INFÂNCIA'!F20</f>
        <v/>
      </c>
      <c r="B298" s="217">
        <f>'CEI PRIMEIRA INFÂNCIA'!C20</f>
        <v/>
      </c>
    </row>
    <row r="299" ht="15" customHeight="1" s="107">
      <c r="A299" s="216">
        <f>'CEI PRIMEIRA INFÂNCIA'!F21</f>
        <v/>
      </c>
      <c r="B299" s="217">
        <f>'CEI PRIMEIRA INFÂNCIA'!C21</f>
        <v/>
      </c>
    </row>
    <row r="300" ht="15" customHeight="1" s="107">
      <c r="A300" s="216">
        <f>'CEI PRIMEIRA INFÂNCIA'!F22</f>
        <v/>
      </c>
      <c r="B300" s="217">
        <f>'CEI PRIMEIRA INFÂNCIA'!C22</f>
        <v/>
      </c>
    </row>
    <row r="301" ht="15" customHeight="1" s="107">
      <c r="A301" s="216">
        <f>'CEI PRIMEIRA INFÂNCIA'!F23</f>
        <v/>
      </c>
      <c r="B301" s="217">
        <f>'CEI PRIMEIRA INFÂNCIA'!C23</f>
        <v/>
      </c>
    </row>
    <row r="302" ht="15" customHeight="1" s="107">
      <c r="A302" s="216">
        <f>'CEI PRIMEIRA INFÂNCIA'!F24</f>
        <v/>
      </c>
      <c r="B302" s="217">
        <f>'CEI PRIMEIRA INFÂNCIA'!C24</f>
        <v/>
      </c>
    </row>
    <row r="303" ht="15" customHeight="1" s="107">
      <c r="A303" s="216">
        <f>'CEI PRIMEIRA INFÂNCIA'!F25</f>
        <v/>
      </c>
      <c r="B303" s="217">
        <f>'CEI PRIMEIRA INFÂNCIA'!C25</f>
        <v/>
      </c>
    </row>
    <row r="304" ht="15" customHeight="1" s="107">
      <c r="A304" s="216">
        <f>'CEI PRIMEIRA INFÂNCIA'!F26</f>
        <v/>
      </c>
      <c r="B304" s="217">
        <f>'CEI PRIMEIRA INFÂNCIA'!C26</f>
        <v/>
      </c>
    </row>
    <row r="305" ht="15" customHeight="1" s="107">
      <c r="A305" s="216">
        <f>'CEI PRIMEIRA INFÂNCIA'!F27</f>
        <v/>
      </c>
      <c r="B305" s="217">
        <f>'CEI PRIMEIRA INFÂNCIA'!C27</f>
        <v/>
      </c>
    </row>
    <row r="306" ht="15" customHeight="1" s="107">
      <c r="A306" s="216">
        <f>'CEI PROFª PATRÍCIA FERREIRA E S'!F9</f>
        <v/>
      </c>
      <c r="B306" s="217">
        <f>'CEI PROFª PATRÍCIA FERREIRA E S'!C9</f>
        <v/>
      </c>
    </row>
    <row r="307" ht="15" customHeight="1" s="107">
      <c r="A307" s="216">
        <f>'CEI PROFª PATRÍCIA FERREIRA E S'!F10</f>
        <v/>
      </c>
      <c r="B307" s="217">
        <f>'CEI PROFª PATRÍCIA FERREIRA E S'!C10</f>
        <v/>
      </c>
    </row>
    <row r="308" ht="15" customHeight="1" s="107">
      <c r="A308" s="216">
        <f>'CEI PROFª PATRÍCIA FERREIRA E S'!F11</f>
        <v/>
      </c>
      <c r="B308" s="217">
        <f>'CEI PROFª PATRÍCIA FERREIRA E S'!C11</f>
        <v/>
      </c>
    </row>
    <row r="309" ht="15" customHeight="1" s="107">
      <c r="A309" s="216">
        <f>'CEI PROFª PATRÍCIA FERREIRA E S'!F12</f>
        <v/>
      </c>
      <c r="B309" s="217">
        <f>'CEI PROFª PATRÍCIA FERREIRA E S'!C12</f>
        <v/>
      </c>
    </row>
    <row r="310" ht="15" customHeight="1" s="107">
      <c r="A310" s="216">
        <f>'CEI PROFª PATRÍCIA FERREIRA E S'!F13</f>
        <v/>
      </c>
      <c r="B310" s="217">
        <f>'CEI PROFª PATRÍCIA FERREIRA E S'!C13</f>
        <v/>
      </c>
    </row>
    <row r="311" ht="15" customHeight="1" s="107">
      <c r="A311" s="216">
        <f>'CEI PROFª PATRÍCIA FERREIRA E S'!F14</f>
        <v/>
      </c>
      <c r="B311" s="217">
        <f>'CEI PROFª PATRÍCIA FERREIRA E S'!C14</f>
        <v/>
      </c>
    </row>
    <row r="312" ht="15" customHeight="1" s="107">
      <c r="A312" s="216">
        <f>'CEI PROFª PATRÍCIA FERREIRA E S'!F15</f>
        <v/>
      </c>
      <c r="B312" s="217">
        <f>'CEI PROFª PATRÍCIA FERREIRA E S'!C15</f>
        <v/>
      </c>
    </row>
    <row r="313" ht="15" customHeight="1" s="107">
      <c r="A313" s="216">
        <f>'CEI PROFª PATRÍCIA FERREIRA E S'!F16</f>
        <v/>
      </c>
      <c r="B313" s="217">
        <f>'CEI PROFª PATRÍCIA FERREIRA E S'!C16</f>
        <v/>
      </c>
    </row>
    <row r="314" ht="15" customHeight="1" s="107">
      <c r="A314" s="216">
        <f>'CEI PROFª PATRÍCIA FERREIRA E S'!F17</f>
        <v/>
      </c>
      <c r="B314" s="217">
        <f>'CEI PROFª PATRÍCIA FERREIRA E S'!C17</f>
        <v/>
      </c>
    </row>
    <row r="315" ht="15" customHeight="1" s="107">
      <c r="A315" s="216">
        <f>'CEI PROFª PATRÍCIA FERREIRA E S'!F18</f>
        <v/>
      </c>
      <c r="B315" s="217">
        <f>'CEI PROFª PATRÍCIA FERREIRA E S'!C18</f>
        <v/>
      </c>
    </row>
    <row r="316" ht="15" customHeight="1" s="107">
      <c r="A316" s="216">
        <f>'CEI PROFª PATRÍCIA FERREIRA E S'!F19</f>
        <v/>
      </c>
      <c r="B316" s="217">
        <f>'CEI PROFª PATRÍCIA FERREIRA E S'!C19</f>
        <v/>
      </c>
    </row>
    <row r="317" ht="15" customHeight="1" s="107">
      <c r="A317" s="216">
        <f>'CEI PROFª PATRÍCIA FERREIRA E S'!F20</f>
        <v/>
      </c>
      <c r="B317" s="217">
        <f>'CEI PROFª PATRÍCIA FERREIRA E S'!C20</f>
        <v/>
      </c>
    </row>
    <row r="318" ht="15" customHeight="1" s="107">
      <c r="A318" s="216">
        <f>'CEI PROFª PATRÍCIA FERREIRA E S'!F21</f>
        <v/>
      </c>
      <c r="B318" s="217">
        <f>'CEI PROFª PATRÍCIA FERREIRA E S'!C21</f>
        <v/>
      </c>
    </row>
    <row r="319" ht="15" customHeight="1" s="107">
      <c r="A319" s="216">
        <f>'CEI PROFª PATRÍCIA FERREIRA E S'!F22</f>
        <v/>
      </c>
      <c r="B319" s="217">
        <f>'CEI PROFª PATRÍCIA FERREIRA E S'!C22</f>
        <v/>
      </c>
    </row>
    <row r="320" ht="15" customHeight="1" s="107">
      <c r="A320" s="216">
        <f>'CEI PROFª PATRÍCIA FERREIRA E S'!F23</f>
        <v/>
      </c>
      <c r="B320" s="217">
        <f>'CEI PROFª PATRÍCIA FERREIRA E S'!C23</f>
        <v/>
      </c>
    </row>
    <row r="321" ht="15" customHeight="1" s="107">
      <c r="A321" s="216">
        <f>'CEI PROFª PATRÍCIA FERREIRA E S'!F24</f>
        <v/>
      </c>
      <c r="B321" s="217">
        <f>'CEI PROFª PATRÍCIA FERREIRA E S'!C24</f>
        <v/>
      </c>
    </row>
    <row r="322" ht="15" customHeight="1" s="107">
      <c r="A322" s="216">
        <f>'CEI PROFª PATRÍCIA FERREIRA E S'!F25</f>
        <v/>
      </c>
      <c r="B322" s="217">
        <f>'CEI PROFª PATRÍCIA FERREIRA E S'!C25</f>
        <v/>
      </c>
    </row>
    <row r="323" ht="15" customHeight="1" s="107">
      <c r="A323" s="216">
        <f>'CEI PROFª PATRÍCIA FERREIRA E S'!F26</f>
        <v/>
      </c>
      <c r="B323" s="217">
        <f>'CEI PROFª PATRÍCIA FERREIRA E S'!C26</f>
        <v/>
      </c>
    </row>
    <row r="324" ht="15" customHeight="1" s="107">
      <c r="A324" s="216">
        <f>'CEI PROFª PATRÍCIA FERREIRA E S'!F27</f>
        <v/>
      </c>
      <c r="B324" s="217">
        <f>'CEI PROFª PATRÍCIA FERREIRA E S'!C27</f>
        <v/>
      </c>
    </row>
    <row r="325" ht="15" customHeight="1" s="107">
      <c r="A325" s="216">
        <f>'CEI DRA ZILDA ARNS NEUMANN'!F9</f>
        <v/>
      </c>
      <c r="B325" s="217">
        <f>'CEI DRA ZILDA ARNS NEUMANN'!C9</f>
        <v/>
      </c>
    </row>
    <row r="326" ht="15" customHeight="1" s="107">
      <c r="A326" s="216">
        <f>'CEI DRA ZILDA ARNS NEUMANN'!F10</f>
        <v/>
      </c>
      <c r="B326" s="217">
        <f>'CEI DRA ZILDA ARNS NEUMANN'!C10</f>
        <v/>
      </c>
    </row>
    <row r="327" ht="15" customHeight="1" s="107">
      <c r="A327" s="216">
        <f>'CEI DRA ZILDA ARNS NEUMANN'!F11</f>
        <v/>
      </c>
      <c r="B327" s="217">
        <f>'CEI DRA ZILDA ARNS NEUMANN'!C11</f>
        <v/>
      </c>
    </row>
    <row r="328" ht="15" customHeight="1" s="107">
      <c r="A328" s="216">
        <f>'CEI DRA ZILDA ARNS NEUMANN'!F12</f>
        <v/>
      </c>
      <c r="B328" s="217">
        <f>'CEI DRA ZILDA ARNS NEUMANN'!C12</f>
        <v/>
      </c>
    </row>
    <row r="329" ht="15" customHeight="1" s="107">
      <c r="A329" s="216">
        <f>'CEI DRA ZILDA ARNS NEUMANN'!F13</f>
        <v/>
      </c>
      <c r="B329" s="217">
        <f>'CEI DRA ZILDA ARNS NEUMANN'!C13</f>
        <v/>
      </c>
    </row>
    <row r="330" ht="15" customHeight="1" s="107">
      <c r="A330" s="216">
        <f>'CEI DRA ZILDA ARNS NEUMANN'!F14</f>
        <v/>
      </c>
      <c r="B330" s="217">
        <f>'CEI DRA ZILDA ARNS NEUMANN'!C14</f>
        <v/>
      </c>
    </row>
    <row r="331" ht="15" customHeight="1" s="107">
      <c r="A331" s="216">
        <f>'CEI DRA ZILDA ARNS NEUMANN'!F15</f>
        <v/>
      </c>
      <c r="B331" s="217">
        <f>'CEI DRA ZILDA ARNS NEUMANN'!C15</f>
        <v/>
      </c>
    </row>
    <row r="332" ht="15" customHeight="1" s="107">
      <c r="A332" s="216">
        <f>'CEI DRA ZILDA ARNS NEUMANN'!F16</f>
        <v/>
      </c>
      <c r="B332" s="217">
        <f>'CEI DRA ZILDA ARNS NEUMANN'!C16</f>
        <v/>
      </c>
    </row>
    <row r="333" ht="15" customHeight="1" s="107">
      <c r="A333" s="216">
        <f>'CEI DRA ZILDA ARNS NEUMANN'!F17</f>
        <v/>
      </c>
      <c r="B333" s="217">
        <f>'CEI DRA ZILDA ARNS NEUMANN'!C17</f>
        <v/>
      </c>
    </row>
    <row r="334" ht="15" customHeight="1" s="107">
      <c r="A334" s="216">
        <f>'CEI DRA ZILDA ARNS NEUMANN'!F18</f>
        <v/>
      </c>
      <c r="B334" s="217">
        <f>'CEI DRA ZILDA ARNS NEUMANN'!C18</f>
        <v/>
      </c>
    </row>
    <row r="335" ht="15" customHeight="1" s="107">
      <c r="A335" s="216">
        <f>'CEI DRA ZILDA ARNS NEUMANN'!F19</f>
        <v/>
      </c>
      <c r="B335" s="217">
        <f>'CEI DRA ZILDA ARNS NEUMANN'!C19</f>
        <v/>
      </c>
    </row>
    <row r="336" ht="15" customHeight="1" s="107">
      <c r="A336" s="216">
        <f>'CEI DRA ZILDA ARNS NEUMANN'!F20</f>
        <v/>
      </c>
      <c r="B336" s="217">
        <f>'CEI DRA ZILDA ARNS NEUMANN'!C20</f>
        <v/>
      </c>
    </row>
    <row r="337" ht="15" customHeight="1" s="107">
      <c r="A337" s="216">
        <f>'CEI DRA ZILDA ARNS NEUMANN'!F21</f>
        <v/>
      </c>
      <c r="B337" s="217">
        <f>'CEI DRA ZILDA ARNS NEUMANN'!C21</f>
        <v/>
      </c>
    </row>
    <row r="338" ht="15" customHeight="1" s="107">
      <c r="A338" s="216">
        <f>'CEI DRA ZILDA ARNS NEUMANN'!F22</f>
        <v/>
      </c>
      <c r="B338" s="217">
        <f>'CEI DRA ZILDA ARNS NEUMANN'!C22</f>
        <v/>
      </c>
    </row>
    <row r="339" ht="15" customHeight="1" s="107">
      <c r="A339" s="216">
        <f>'CEI DRA ZILDA ARNS NEUMANN'!F23</f>
        <v/>
      </c>
      <c r="B339" s="217">
        <f>'CEI DRA ZILDA ARNS NEUMANN'!C23</f>
        <v/>
      </c>
    </row>
    <row r="340" ht="15" customHeight="1" s="107">
      <c r="A340" s="216">
        <f>'CEI DRA ZILDA ARNS NEUMANN'!F24</f>
        <v/>
      </c>
      <c r="B340" s="217">
        <f>'CEI DRA ZILDA ARNS NEUMANN'!C24</f>
        <v/>
      </c>
    </row>
    <row r="341" ht="15" customHeight="1" s="107">
      <c r="A341" s="216">
        <f>'CEI DRA ZILDA ARNS NEUMANN'!F25</f>
        <v/>
      </c>
      <c r="B341" s="217">
        <f>'CEI DRA ZILDA ARNS NEUMANN'!C25</f>
        <v/>
      </c>
    </row>
    <row r="342" ht="15" customHeight="1" s="107">
      <c r="A342" s="216">
        <f>'CEI DRA ZILDA ARNS NEUMANN'!F26</f>
        <v/>
      </c>
      <c r="B342" s="217">
        <f>'CEI DRA ZILDA ARNS NEUMANN'!C26</f>
        <v/>
      </c>
    </row>
    <row r="343" ht="15" customHeight="1" s="107">
      <c r="A343" s="216">
        <f>'CEI DRA ZILDA ARNS NEUMANN'!F27</f>
        <v/>
      </c>
      <c r="B343" s="217">
        <f>'CEI DRA ZILDA ARNS NEUMANN'!C27</f>
        <v/>
      </c>
    </row>
    <row r="344" ht="15" customHeight="1" s="107">
      <c r="A344" s="216">
        <f>'CENTRO DE EDUCAÇÃO INFANTIL PRO'!F9</f>
        <v/>
      </c>
      <c r="B344" s="217">
        <f>'CENTRO DE EDUCAÇÃO INFANTIL PRO'!C9</f>
        <v/>
      </c>
    </row>
    <row r="345" ht="15" customHeight="1" s="107">
      <c r="A345" s="216">
        <f>'CENTRO DE EDUCAÇÃO INFANTIL PRO'!F10</f>
        <v/>
      </c>
      <c r="B345" s="217">
        <f>'CENTRO DE EDUCAÇÃO INFANTIL PRO'!C10</f>
        <v/>
      </c>
    </row>
    <row r="346" ht="15" customHeight="1" s="107">
      <c r="A346" s="216">
        <f>'CENTRO DE EDUCAÇÃO INFANTIL PRO'!F11</f>
        <v/>
      </c>
      <c r="B346" s="217">
        <f>'CENTRO DE EDUCAÇÃO INFANTIL PRO'!C11</f>
        <v/>
      </c>
    </row>
    <row r="347" ht="15" customHeight="1" s="107">
      <c r="A347" s="216">
        <f>'CENTRO DE EDUCAÇÃO INFANTIL PRO'!F12</f>
        <v/>
      </c>
      <c r="B347" s="217">
        <f>'CENTRO DE EDUCAÇÃO INFANTIL PRO'!C12</f>
        <v/>
      </c>
    </row>
    <row r="348" ht="15" customHeight="1" s="107">
      <c r="A348" s="216">
        <f>'CENTRO DE EDUCAÇÃO INFANTIL PRO'!F13</f>
        <v/>
      </c>
      <c r="B348" s="217">
        <f>'CENTRO DE EDUCAÇÃO INFANTIL PRO'!C13</f>
        <v/>
      </c>
    </row>
    <row r="349" ht="15" customHeight="1" s="107">
      <c r="A349" s="216">
        <f>'CENTRO DE EDUCAÇÃO INFANTIL PRO'!F14</f>
        <v/>
      </c>
      <c r="B349" s="217">
        <f>'CENTRO DE EDUCAÇÃO INFANTIL PRO'!C14</f>
        <v/>
      </c>
    </row>
    <row r="350" ht="15" customHeight="1" s="107">
      <c r="A350" s="216">
        <f>'CENTRO DE EDUCAÇÃO INFANTIL PRO'!F15</f>
        <v/>
      </c>
      <c r="B350" s="217">
        <f>'CENTRO DE EDUCAÇÃO INFANTIL PRO'!C15</f>
        <v/>
      </c>
    </row>
    <row r="351" ht="15" customHeight="1" s="107">
      <c r="A351" s="216">
        <f>'CENTRO DE EDUCAÇÃO INFANTIL PRO'!F16</f>
        <v/>
      </c>
      <c r="B351" s="217">
        <f>'CENTRO DE EDUCAÇÃO INFANTIL PRO'!C16</f>
        <v/>
      </c>
    </row>
    <row r="352" ht="15" customHeight="1" s="107">
      <c r="A352" s="216">
        <f>'CENTRO DE EDUCAÇÃO INFANTIL PRO'!F17</f>
        <v/>
      </c>
      <c r="B352" s="217">
        <f>'CENTRO DE EDUCAÇÃO INFANTIL PRO'!C17</f>
        <v/>
      </c>
    </row>
    <row r="353" ht="15" customHeight="1" s="107">
      <c r="A353" s="216">
        <f>'CENTRO DE EDUCAÇÃO INFANTIL PRO'!F18</f>
        <v/>
      </c>
      <c r="B353" s="217">
        <f>'CENTRO DE EDUCAÇÃO INFANTIL PRO'!C18</f>
        <v/>
      </c>
    </row>
    <row r="354" ht="15" customHeight="1" s="107">
      <c r="A354" s="216">
        <f>'CENTRO DE EDUCAÇÃO INFANTIL PRO'!F19</f>
        <v/>
      </c>
      <c r="B354" s="217">
        <f>'CENTRO DE EDUCAÇÃO INFANTIL PRO'!C19</f>
        <v/>
      </c>
    </row>
    <row r="355" ht="15" customHeight="1" s="107">
      <c r="A355" s="216">
        <f>'CENTRO DE EDUCAÇÃO INFANTIL PRO'!F20</f>
        <v/>
      </c>
      <c r="B355" s="217">
        <f>'CENTRO DE EDUCAÇÃO INFANTIL PRO'!C20</f>
        <v/>
      </c>
    </row>
    <row r="356" ht="15" customHeight="1" s="107">
      <c r="A356" s="216">
        <f>'CENTRO DE EDUCAÇÃO INFANTIL PRO'!F21</f>
        <v/>
      </c>
      <c r="B356" s="217">
        <f>'CENTRO DE EDUCAÇÃO INFANTIL PRO'!C21</f>
        <v/>
      </c>
    </row>
    <row r="357" ht="15" customHeight="1" s="107">
      <c r="A357" s="216">
        <f>'CENTRO DE EDUCAÇÃO INFANTIL PRO'!F22</f>
        <v/>
      </c>
      <c r="B357" s="217">
        <f>'CENTRO DE EDUCAÇÃO INFANTIL PRO'!C22</f>
        <v/>
      </c>
    </row>
    <row r="358" ht="15" customHeight="1" s="107">
      <c r="A358" s="216">
        <f>'CENTRO DE EDUCAÇÃO INFANTIL PRO'!F23</f>
        <v/>
      </c>
      <c r="B358" s="217">
        <f>'CENTRO DE EDUCAÇÃO INFANTIL PRO'!C23</f>
        <v/>
      </c>
    </row>
    <row r="359" ht="15" customHeight="1" s="107">
      <c r="A359" s="216">
        <f>'CENTRO DE EDUCAÇÃO INFANTIL PRO'!F24</f>
        <v/>
      </c>
      <c r="B359" s="217">
        <f>'CENTRO DE EDUCAÇÃO INFANTIL PRO'!C24</f>
        <v/>
      </c>
    </row>
    <row r="360" ht="15" customHeight="1" s="107">
      <c r="A360" s="216">
        <f>'CENTRO DE EDUCAÇÃO INFANTIL PRO'!F25</f>
        <v/>
      </c>
      <c r="B360" s="217">
        <f>'CENTRO DE EDUCAÇÃO INFANTIL PRO'!C25</f>
        <v/>
      </c>
    </row>
    <row r="361" ht="15" customHeight="1" s="107">
      <c r="A361" s="216">
        <f>'CENTRO DE EDUCAÇÃO INFANTIL PRO'!F26</f>
        <v/>
      </c>
      <c r="B361" s="217">
        <f>'CENTRO DE EDUCAÇÃO INFANTIL PRO'!C26</f>
        <v/>
      </c>
    </row>
    <row r="362" ht="15" customHeight="1" s="107">
      <c r="A362" s="216">
        <f>'CENTRO DE EDUCAÇÃO INFANTIL PRO'!F27</f>
        <v/>
      </c>
      <c r="B362" s="217">
        <f>'CENTRO DE EDUCAÇÃO INFANTIL PRO'!C27</f>
        <v/>
      </c>
    </row>
    <row r="363" ht="15" customHeight="1" s="107">
      <c r="A363" s="216">
        <f>'CEI MONSENHOR PAULO ELIAS DAHER'!F9</f>
        <v/>
      </c>
      <c r="B363" s="217">
        <f>'CEI MONSENHOR PAULO ELIAS DAHER'!C9</f>
        <v/>
      </c>
    </row>
    <row r="364" ht="15" customHeight="1" s="107">
      <c r="A364" s="216">
        <f>'CEI MONSENHOR PAULO ELIAS DAHER'!F10</f>
        <v/>
      </c>
      <c r="B364" s="217">
        <f>'CEI MONSENHOR PAULO ELIAS DAHER'!C10</f>
        <v/>
      </c>
    </row>
    <row r="365" ht="15" customHeight="1" s="107">
      <c r="A365" s="216">
        <f>'CEI MONSENHOR PAULO ELIAS DAHER'!F11</f>
        <v/>
      </c>
      <c r="B365" s="217">
        <f>'CEI MONSENHOR PAULO ELIAS DAHER'!C11</f>
        <v/>
      </c>
    </row>
    <row r="366" ht="15" customHeight="1" s="107">
      <c r="A366" s="216">
        <f>'CEI MONSENHOR PAULO ELIAS DAHER'!F12</f>
        <v/>
      </c>
      <c r="B366" s="217">
        <f>'CEI MONSENHOR PAULO ELIAS DAHER'!C12</f>
        <v/>
      </c>
    </row>
    <row r="367" ht="15" customHeight="1" s="107">
      <c r="A367" s="216">
        <f>'CEI MONSENHOR PAULO ELIAS DAHER'!F13</f>
        <v/>
      </c>
      <c r="B367" s="217">
        <f>'CEI MONSENHOR PAULO ELIAS DAHER'!C13</f>
        <v/>
      </c>
    </row>
    <row r="368" ht="15" customHeight="1" s="107">
      <c r="A368" s="216">
        <f>'CEI MONSENHOR PAULO ELIAS DAHER'!F14</f>
        <v/>
      </c>
      <c r="B368" s="217">
        <f>'CEI MONSENHOR PAULO ELIAS DAHER'!C14</f>
        <v/>
      </c>
    </row>
    <row r="369" ht="15" customHeight="1" s="107">
      <c r="A369" s="216">
        <f>'CEI MONSENHOR PAULO ELIAS DAHER'!F15</f>
        <v/>
      </c>
      <c r="B369" s="217">
        <f>'CEI MONSENHOR PAULO ELIAS DAHER'!C15</f>
        <v/>
      </c>
    </row>
    <row r="370" ht="15" customHeight="1" s="107">
      <c r="A370" s="216">
        <f>'CEI MONSENHOR PAULO ELIAS DAHER'!F16</f>
        <v/>
      </c>
      <c r="B370" s="217">
        <f>'CEI MONSENHOR PAULO ELIAS DAHER'!C16</f>
        <v/>
      </c>
    </row>
    <row r="371" ht="15" customHeight="1" s="107">
      <c r="A371" s="216">
        <f>'CEI MONSENHOR PAULO ELIAS DAHER'!F17</f>
        <v/>
      </c>
      <c r="B371" s="217">
        <f>'CEI MONSENHOR PAULO ELIAS DAHER'!C17</f>
        <v/>
      </c>
    </row>
    <row r="372" ht="15" customHeight="1" s="107">
      <c r="A372" s="216">
        <f>'CEI MONSENHOR PAULO ELIAS DAHER'!F18</f>
        <v/>
      </c>
      <c r="B372" s="217">
        <f>'CEI MONSENHOR PAULO ELIAS DAHER'!C18</f>
        <v/>
      </c>
    </row>
    <row r="373" ht="15" customHeight="1" s="107">
      <c r="A373" s="216">
        <f>'CEI MONSENHOR PAULO ELIAS DAHER'!F19</f>
        <v/>
      </c>
      <c r="B373" s="217">
        <f>'CEI MONSENHOR PAULO ELIAS DAHER'!C19</f>
        <v/>
      </c>
    </row>
    <row r="374" ht="15" customHeight="1" s="107">
      <c r="A374" s="216">
        <f>'CEI MONSENHOR PAULO ELIAS DAHER'!F20</f>
        <v/>
      </c>
      <c r="B374" s="217">
        <f>'CEI MONSENHOR PAULO ELIAS DAHER'!C20</f>
        <v/>
      </c>
    </row>
    <row r="375" ht="15" customHeight="1" s="107">
      <c r="A375" s="216">
        <f>'CEI MONSENHOR PAULO ELIAS DAHER'!F21</f>
        <v/>
      </c>
      <c r="B375" s="217">
        <f>'CEI MONSENHOR PAULO ELIAS DAHER'!C21</f>
        <v/>
      </c>
    </row>
    <row r="376" ht="15" customHeight="1" s="107">
      <c r="A376" s="216">
        <f>'CEI MONSENHOR PAULO ELIAS DAHER'!F22</f>
        <v/>
      </c>
      <c r="B376" s="217">
        <f>'CEI MONSENHOR PAULO ELIAS DAHER'!C22</f>
        <v/>
      </c>
    </row>
    <row r="377" ht="15" customHeight="1" s="107">
      <c r="A377" s="216">
        <f>'CEI MONSENHOR PAULO ELIAS DAHER'!F23</f>
        <v/>
      </c>
      <c r="B377" s="217">
        <f>'CEI MONSENHOR PAULO ELIAS DAHER'!C23</f>
        <v/>
      </c>
    </row>
    <row r="378" ht="15" customHeight="1" s="107">
      <c r="A378" s="216">
        <f>'CEI MONSENHOR PAULO ELIAS DAHER'!F24</f>
        <v/>
      </c>
      <c r="B378" s="217">
        <f>'CEI MONSENHOR PAULO ELIAS DAHER'!C24</f>
        <v/>
      </c>
    </row>
    <row r="379" ht="15" customHeight="1" s="107">
      <c r="A379" s="216">
        <f>'CEI MONSENHOR PAULO ELIAS DAHER'!F25</f>
        <v/>
      </c>
      <c r="B379" s="217">
        <f>'CEI MONSENHOR PAULO ELIAS DAHER'!C25</f>
        <v/>
      </c>
    </row>
    <row r="380" ht="15" customHeight="1" s="107">
      <c r="A380" s="216">
        <f>'CEI MONSENHOR PAULO ELIAS DAHER'!F26</f>
        <v/>
      </c>
      <c r="B380" s="217">
        <f>'CEI MONSENHOR PAULO ELIAS DAHER'!C26</f>
        <v/>
      </c>
    </row>
    <row r="381" ht="15" customHeight="1" s="107">
      <c r="A381" s="216">
        <f>'CEI MONSENHOR PAULO ELIAS DAHER'!F27</f>
        <v/>
      </c>
      <c r="B381" s="217">
        <f>'CEI MONSENHOR PAULO ELIAS DAHER'!C27</f>
        <v/>
      </c>
    </row>
    <row r="382" ht="15" customHeight="1" s="107">
      <c r="A382" s="216">
        <f>'COLÉGIO GUNNAR VINGREN DE PETRÓ'!F9</f>
        <v/>
      </c>
      <c r="B382" s="217">
        <f>'COLÉGIO GUNNAR VINGREN DE PETRÓ'!C9</f>
        <v/>
      </c>
    </row>
    <row r="383" ht="15" customHeight="1" s="107">
      <c r="A383" s="216">
        <f>'COLÉGIO GUNNAR VINGREN DE PETRÓ'!F10</f>
        <v/>
      </c>
      <c r="B383" s="217">
        <f>'COLÉGIO GUNNAR VINGREN DE PETRÓ'!C10</f>
        <v/>
      </c>
    </row>
    <row r="384" ht="15" customHeight="1" s="107">
      <c r="A384" s="216">
        <f>'COLÉGIO GUNNAR VINGREN DE PETRÓ'!F11</f>
        <v/>
      </c>
      <c r="B384" s="217">
        <f>'COLÉGIO GUNNAR VINGREN DE PETRÓ'!C11</f>
        <v/>
      </c>
    </row>
    <row r="385" ht="15" customHeight="1" s="107">
      <c r="A385" s="216">
        <f>'COLÉGIO GUNNAR VINGREN DE PETRÓ'!F12</f>
        <v/>
      </c>
      <c r="B385" s="217">
        <f>'COLÉGIO GUNNAR VINGREN DE PETRÓ'!C12</f>
        <v/>
      </c>
    </row>
    <row r="386" ht="15" customHeight="1" s="107">
      <c r="A386" s="216">
        <f>'COLÉGIO GUNNAR VINGREN DE PETRÓ'!F13</f>
        <v/>
      </c>
      <c r="B386" s="217">
        <f>'COLÉGIO GUNNAR VINGREN DE PETRÓ'!C13</f>
        <v/>
      </c>
    </row>
    <row r="387" ht="15" customHeight="1" s="107">
      <c r="A387" s="216">
        <f>'COLÉGIO GUNNAR VINGREN DE PETRÓ'!F14</f>
        <v/>
      </c>
      <c r="B387" s="217">
        <f>'COLÉGIO GUNNAR VINGREN DE PETRÓ'!C14</f>
        <v/>
      </c>
    </row>
    <row r="388" ht="15" customHeight="1" s="107">
      <c r="A388" s="216">
        <f>'COLÉGIO GUNNAR VINGREN DE PETRÓ'!F15</f>
        <v/>
      </c>
      <c r="B388" s="217">
        <f>'COLÉGIO GUNNAR VINGREN DE PETRÓ'!C15</f>
        <v/>
      </c>
    </row>
    <row r="389" ht="15" customHeight="1" s="107">
      <c r="A389" s="216">
        <f>'COLÉGIO GUNNAR VINGREN DE PETRÓ'!F16</f>
        <v/>
      </c>
      <c r="B389" s="217">
        <f>'COLÉGIO GUNNAR VINGREN DE PETRÓ'!C16</f>
        <v/>
      </c>
    </row>
    <row r="390" ht="15" customHeight="1" s="107">
      <c r="A390" s="216">
        <f>'COLÉGIO GUNNAR VINGREN DE PETRÓ'!F17</f>
        <v/>
      </c>
      <c r="B390" s="217">
        <f>'COLÉGIO GUNNAR VINGREN DE PETRÓ'!C17</f>
        <v/>
      </c>
    </row>
    <row r="391" ht="15" customHeight="1" s="107">
      <c r="A391" s="216">
        <f>'COLÉGIO GUNNAR VINGREN DE PETRÓ'!F18</f>
        <v/>
      </c>
      <c r="B391" s="217">
        <f>'COLÉGIO GUNNAR VINGREN DE PETRÓ'!C18</f>
        <v/>
      </c>
    </row>
    <row r="392" ht="15" customHeight="1" s="107">
      <c r="A392" s="216">
        <f>'COLÉGIO GUNNAR VINGREN DE PETRÓ'!F19</f>
        <v/>
      </c>
      <c r="B392" s="217">
        <f>'COLÉGIO GUNNAR VINGREN DE PETRÓ'!C19</f>
        <v/>
      </c>
    </row>
    <row r="393" ht="15" customHeight="1" s="107">
      <c r="A393" s="216">
        <f>'COLÉGIO GUNNAR VINGREN DE PETRÓ'!F20</f>
        <v/>
      </c>
      <c r="B393" s="217">
        <f>'COLÉGIO GUNNAR VINGREN DE PETRÓ'!C20</f>
        <v/>
      </c>
    </row>
    <row r="394" ht="15" customHeight="1" s="107">
      <c r="A394" s="216">
        <f>'COLÉGIO GUNNAR VINGREN DE PETRÓ'!F21</f>
        <v/>
      </c>
      <c r="B394" s="217">
        <f>'COLÉGIO GUNNAR VINGREN DE PETRÓ'!C21</f>
        <v/>
      </c>
    </row>
    <row r="395" ht="15" customHeight="1" s="107">
      <c r="A395" s="216">
        <f>'COLÉGIO GUNNAR VINGREN DE PETRÓ'!F22</f>
        <v/>
      </c>
      <c r="B395" s="217">
        <f>'COLÉGIO GUNNAR VINGREN DE PETRÓ'!C22</f>
        <v/>
      </c>
    </row>
    <row r="396" ht="15" customHeight="1" s="107">
      <c r="A396" s="216">
        <f>'COLÉGIO GUNNAR VINGREN DE PETRÓ'!F23</f>
        <v/>
      </c>
      <c r="B396" s="217">
        <f>'COLÉGIO GUNNAR VINGREN DE PETRÓ'!C23</f>
        <v/>
      </c>
    </row>
    <row r="397" ht="15" customHeight="1" s="107">
      <c r="A397" s="216">
        <f>'COLÉGIO GUNNAR VINGREN DE PETRÓ'!F24</f>
        <v/>
      </c>
      <c r="B397" s="217">
        <f>'COLÉGIO GUNNAR VINGREN DE PETRÓ'!C24</f>
        <v/>
      </c>
    </row>
    <row r="398" ht="15" customHeight="1" s="107">
      <c r="A398" s="216">
        <f>'COLÉGIO GUNNAR VINGREN DE PETRÓ'!F25</f>
        <v/>
      </c>
      <c r="B398" s="217">
        <f>'COLÉGIO GUNNAR VINGREN DE PETRÓ'!C25</f>
        <v/>
      </c>
    </row>
    <row r="399" ht="15" customHeight="1" s="107">
      <c r="A399" s="216">
        <f>'COLÉGIO GUNNAR VINGREN DE PETRÓ'!F26</f>
        <v/>
      </c>
      <c r="B399" s="217">
        <f>'COLÉGIO GUNNAR VINGREN DE PETRÓ'!C26</f>
        <v/>
      </c>
    </row>
    <row r="400" ht="15" customHeight="1" s="107">
      <c r="A400" s="216">
        <f>'COLÉGIO GUNNAR VINGREN DE PETRÓ'!F27</f>
        <v/>
      </c>
      <c r="B400" s="217">
        <f>'COLÉGIO GUNNAR VINGREN DE PETRÓ'!C27</f>
        <v/>
      </c>
    </row>
    <row r="401" ht="15" customHeight="1" s="107">
      <c r="A401" s="216">
        <f>'EDUCANDÁRIO TERRA SANTA'!F9</f>
        <v/>
      </c>
      <c r="B401" s="217">
        <f>'EDUCANDÁRIO TERRA SANTA'!C9</f>
        <v/>
      </c>
    </row>
    <row r="402" ht="15" customHeight="1" s="107">
      <c r="A402" s="216">
        <f>'EDUCANDÁRIO TERRA SANTA'!F10</f>
        <v/>
      </c>
      <c r="B402" s="217">
        <f>'EDUCANDÁRIO TERRA SANTA'!C10</f>
        <v/>
      </c>
    </row>
    <row r="403" ht="15" customHeight="1" s="107">
      <c r="A403" s="216">
        <f>'EDUCANDÁRIO TERRA SANTA'!F11</f>
        <v/>
      </c>
      <c r="B403" s="217">
        <f>'EDUCANDÁRIO TERRA SANTA'!C11</f>
        <v/>
      </c>
    </row>
    <row r="404" ht="15" customHeight="1" s="107">
      <c r="A404" s="216">
        <f>'EDUCANDÁRIO TERRA SANTA'!F12</f>
        <v/>
      </c>
      <c r="B404" s="217">
        <f>'EDUCANDÁRIO TERRA SANTA'!C12</f>
        <v/>
      </c>
    </row>
    <row r="405" ht="15" customHeight="1" s="107">
      <c r="A405" s="216">
        <f>'EDUCANDÁRIO TERRA SANTA'!F13</f>
        <v/>
      </c>
      <c r="B405" s="217">
        <f>'EDUCANDÁRIO TERRA SANTA'!C13</f>
        <v/>
      </c>
    </row>
    <row r="406" ht="15" customHeight="1" s="107">
      <c r="A406" s="216">
        <f>'EDUCANDÁRIO TERRA SANTA'!F14</f>
        <v/>
      </c>
      <c r="B406" s="217">
        <f>'EDUCANDÁRIO TERRA SANTA'!C14</f>
        <v/>
      </c>
    </row>
    <row r="407" ht="15" customHeight="1" s="107">
      <c r="A407" s="216">
        <f>'EDUCANDÁRIO TERRA SANTA'!F15</f>
        <v/>
      </c>
      <c r="B407" s="217">
        <f>'EDUCANDÁRIO TERRA SANTA'!C15</f>
        <v/>
      </c>
    </row>
    <row r="408" ht="15" customHeight="1" s="107">
      <c r="A408" s="216">
        <f>'EDUCANDÁRIO TERRA SANTA'!F16</f>
        <v/>
      </c>
      <c r="B408" s="217">
        <f>'EDUCANDÁRIO TERRA SANTA'!C16</f>
        <v/>
      </c>
    </row>
    <row r="409" ht="15" customHeight="1" s="107">
      <c r="A409" s="216">
        <f>'EDUCANDÁRIO TERRA SANTA'!F17</f>
        <v/>
      </c>
      <c r="B409" s="217">
        <f>'EDUCANDÁRIO TERRA SANTA'!C17</f>
        <v/>
      </c>
    </row>
    <row r="410" ht="15" customHeight="1" s="107">
      <c r="A410" s="216">
        <f>'EDUCANDÁRIO TERRA SANTA'!F18</f>
        <v/>
      </c>
      <c r="B410" s="217">
        <f>'EDUCANDÁRIO TERRA SANTA'!C18</f>
        <v/>
      </c>
    </row>
    <row r="411" ht="15" customHeight="1" s="107">
      <c r="A411" s="216">
        <f>'EDUCANDÁRIO TERRA SANTA'!F19</f>
        <v/>
      </c>
      <c r="B411" s="217">
        <f>'EDUCANDÁRIO TERRA SANTA'!C19</f>
        <v/>
      </c>
    </row>
    <row r="412" ht="15" customHeight="1" s="107">
      <c r="A412" s="216">
        <f>'EDUCANDÁRIO TERRA SANTA'!F20</f>
        <v/>
      </c>
      <c r="B412" s="217">
        <f>'EDUCANDÁRIO TERRA SANTA'!C20</f>
        <v/>
      </c>
    </row>
    <row r="413" ht="15" customHeight="1" s="107">
      <c r="A413" s="216">
        <f>'EDUCANDÁRIO TERRA SANTA'!F21</f>
        <v/>
      </c>
      <c r="B413" s="217">
        <f>'EDUCANDÁRIO TERRA SANTA'!C21</f>
        <v/>
      </c>
    </row>
    <row r="414" ht="15" customHeight="1" s="107">
      <c r="A414" s="216">
        <f>'EDUCANDÁRIO TERRA SANTA'!F22</f>
        <v/>
      </c>
      <c r="B414" s="217">
        <f>'EDUCANDÁRIO TERRA SANTA'!C22</f>
        <v/>
      </c>
    </row>
    <row r="415" ht="15" customHeight="1" s="107">
      <c r="A415" s="216">
        <f>'EDUCANDÁRIO TERRA SANTA'!F23</f>
        <v/>
      </c>
      <c r="B415" s="217">
        <f>'EDUCANDÁRIO TERRA SANTA'!C23</f>
        <v/>
      </c>
    </row>
    <row r="416" ht="15" customHeight="1" s="107">
      <c r="A416" s="216">
        <f>'EDUCANDÁRIO TERRA SANTA'!F24</f>
        <v/>
      </c>
      <c r="B416" s="217">
        <f>'EDUCANDÁRIO TERRA SANTA'!C24</f>
        <v/>
      </c>
    </row>
    <row r="417" ht="15" customHeight="1" s="107">
      <c r="A417" s="216">
        <f>'EDUCANDÁRIO TERRA SANTA'!F25</f>
        <v/>
      </c>
      <c r="B417" s="217">
        <f>'EDUCANDÁRIO TERRA SANTA'!C25</f>
        <v/>
      </c>
    </row>
    <row r="418" ht="15" customHeight="1" s="107">
      <c r="A418" s="216">
        <f>'EDUCANDÁRIO TERRA SANTA'!F26</f>
        <v/>
      </c>
      <c r="B418" s="217">
        <f>'EDUCANDÁRIO TERRA SANTA'!C26</f>
        <v/>
      </c>
    </row>
    <row r="419" ht="15" customHeight="1" s="107">
      <c r="A419" s="216">
        <f>'EDUCANDÁRIO TERRA SANTA'!F27</f>
        <v/>
      </c>
      <c r="B419" s="217">
        <f>'EDUCANDÁRIO TERRA SANTA'!C27</f>
        <v/>
      </c>
    </row>
    <row r="420" ht="15" customHeight="1" s="107">
      <c r="A420" s="216">
        <f>'CEI LIONS CLUBE DE PETRÓPOLIS'!F9</f>
        <v/>
      </c>
      <c r="B420" s="217">
        <f>'CEI LIONS CLUBE DE PETRÓPOLIS'!C9</f>
        <v/>
      </c>
    </row>
    <row r="421" ht="15" customHeight="1" s="107">
      <c r="A421" s="216">
        <f>'CEI LIONS CLUBE DE PETRÓPOLIS'!F10</f>
        <v/>
      </c>
      <c r="B421" s="217">
        <f>'CEI LIONS CLUBE DE PETRÓPOLIS'!C10</f>
        <v/>
      </c>
    </row>
    <row r="422" ht="15" customHeight="1" s="107">
      <c r="A422" s="216">
        <f>'CEI LIONS CLUBE DE PETRÓPOLIS'!F11</f>
        <v/>
      </c>
      <c r="B422" s="217">
        <f>'CEI LIONS CLUBE DE PETRÓPOLIS'!C11</f>
        <v/>
      </c>
    </row>
    <row r="423" ht="15" customHeight="1" s="107">
      <c r="A423" s="216">
        <f>'CEI LIONS CLUBE DE PETRÓPOLIS'!F12</f>
        <v/>
      </c>
      <c r="B423" s="217">
        <f>'CEI LIONS CLUBE DE PETRÓPOLIS'!C12</f>
        <v/>
      </c>
    </row>
    <row r="424" ht="15" customHeight="1" s="107">
      <c r="A424" s="216">
        <f>'CEI LIONS CLUBE DE PETRÓPOLIS'!F13</f>
        <v/>
      </c>
      <c r="B424" s="217">
        <f>'CEI LIONS CLUBE DE PETRÓPOLIS'!C13</f>
        <v/>
      </c>
    </row>
    <row r="425" ht="15" customHeight="1" s="107">
      <c r="A425" s="216">
        <f>'CEI LIONS CLUBE DE PETRÓPOLIS'!F14</f>
        <v/>
      </c>
      <c r="B425" s="217">
        <f>'CEI LIONS CLUBE DE PETRÓPOLIS'!C14</f>
        <v/>
      </c>
    </row>
    <row r="426" ht="15" customHeight="1" s="107">
      <c r="A426" s="216">
        <f>'CEI LIONS CLUBE DE PETRÓPOLIS'!F15</f>
        <v/>
      </c>
      <c r="B426" s="217">
        <f>'CEI LIONS CLUBE DE PETRÓPOLIS'!C15</f>
        <v/>
      </c>
    </row>
    <row r="427" ht="15" customHeight="1" s="107">
      <c r="A427" s="216">
        <f>'CEI LIONS CLUBE DE PETRÓPOLIS'!F16</f>
        <v/>
      </c>
      <c r="B427" s="217">
        <f>'CEI LIONS CLUBE DE PETRÓPOLIS'!C16</f>
        <v/>
      </c>
    </row>
    <row r="428" ht="15" customHeight="1" s="107">
      <c r="A428" s="216">
        <f>'CEI LIONS CLUBE DE PETRÓPOLIS'!F17</f>
        <v/>
      </c>
      <c r="B428" s="217">
        <f>'CEI LIONS CLUBE DE PETRÓPOLIS'!C17</f>
        <v/>
      </c>
    </row>
    <row r="429" ht="15" customHeight="1" s="107">
      <c r="A429" s="216">
        <f>'CEI LIONS CLUBE DE PETRÓPOLIS'!F18</f>
        <v/>
      </c>
      <c r="B429" s="217">
        <f>'CEI LIONS CLUBE DE PETRÓPOLIS'!C18</f>
        <v/>
      </c>
    </row>
    <row r="430" ht="15" customHeight="1" s="107">
      <c r="A430" s="216">
        <f>'CEI LIONS CLUBE DE PETRÓPOLIS'!F19</f>
        <v/>
      </c>
      <c r="B430" s="217">
        <f>'CEI LIONS CLUBE DE PETRÓPOLIS'!C19</f>
        <v/>
      </c>
    </row>
    <row r="431" ht="15" customHeight="1" s="107">
      <c r="A431" s="216">
        <f>'CEI LIONS CLUBE DE PETRÓPOLIS'!F20</f>
        <v/>
      </c>
      <c r="B431" s="217">
        <f>'CEI LIONS CLUBE DE PETRÓPOLIS'!C20</f>
        <v/>
      </c>
    </row>
    <row r="432" ht="15" customHeight="1" s="107">
      <c r="A432" s="216">
        <f>'CEI LIONS CLUBE DE PETRÓPOLIS'!F21</f>
        <v/>
      </c>
      <c r="B432" s="217">
        <f>'CEI LIONS CLUBE DE PETRÓPOLIS'!C21</f>
        <v/>
      </c>
    </row>
    <row r="433" ht="15" customHeight="1" s="107">
      <c r="A433" s="216">
        <f>'CEI LIONS CLUBE DE PETRÓPOLIS'!F22</f>
        <v/>
      </c>
      <c r="B433" s="217">
        <f>'CEI LIONS CLUBE DE PETRÓPOLIS'!C22</f>
        <v/>
      </c>
    </row>
    <row r="434" ht="15" customHeight="1" s="107">
      <c r="A434" s="216">
        <f>'CEI LIONS CLUBE DE PETRÓPOLIS'!F23</f>
        <v/>
      </c>
      <c r="B434" s="217">
        <f>'CEI LIONS CLUBE DE PETRÓPOLIS'!C23</f>
        <v/>
      </c>
    </row>
    <row r="435" ht="15" customHeight="1" s="107">
      <c r="A435" s="216">
        <f>'CEI LIONS CLUBE DE PETRÓPOLIS'!F24</f>
        <v/>
      </c>
      <c r="B435" s="217">
        <f>'CEI LIONS CLUBE DE PETRÓPOLIS'!C24</f>
        <v/>
      </c>
    </row>
    <row r="436" ht="15" customHeight="1" s="107">
      <c r="A436" s="216">
        <f>'CEI LIONS CLUBE DE PETRÓPOLIS'!F25</f>
        <v/>
      </c>
      <c r="B436" s="217">
        <f>'CEI LIONS CLUBE DE PETRÓPOLIS'!C25</f>
        <v/>
      </c>
    </row>
    <row r="437" ht="15" customHeight="1" s="107">
      <c r="A437" s="216">
        <f>'CEI LIONS CLUBE DE PETRÓPOLIS'!F26</f>
        <v/>
      </c>
      <c r="B437" s="217">
        <f>'CEI LIONS CLUBE DE PETRÓPOLIS'!C26</f>
        <v/>
      </c>
    </row>
    <row r="438" ht="15" customHeight="1" s="107">
      <c r="A438" s="216">
        <f>'CEI LIONS CLUBE DE PETRÓPOLIS'!F27</f>
        <v/>
      </c>
      <c r="B438" s="217">
        <f>'CEI LIONS CLUBE DE PETRÓPOLIS'!C27</f>
        <v/>
      </c>
    </row>
    <row r="439" ht="15" customHeight="1" s="107">
      <c r="A439" s="216">
        <f>'ESCOLA PAROQUIAL NOSSA SENHO 2'!F9</f>
        <v/>
      </c>
      <c r="B439" s="217">
        <f>'ESCOLA PAROQUIAL NOSSA SENHO 2'!C9</f>
        <v/>
      </c>
    </row>
    <row r="440" ht="15" customHeight="1" s="107">
      <c r="A440" s="216">
        <f>'ESCOLA PAROQUIAL NOSSA SENHO 2'!F10</f>
        <v/>
      </c>
      <c r="B440" s="217">
        <f>'ESCOLA PAROQUIAL NOSSA SENHO 2'!C10</f>
        <v/>
      </c>
    </row>
    <row r="441" ht="15" customHeight="1" s="107">
      <c r="A441" s="216">
        <f>'ESCOLA PAROQUIAL NOSSA SENHO 2'!F11</f>
        <v/>
      </c>
      <c r="B441" s="217">
        <f>'ESCOLA PAROQUIAL NOSSA SENHO 2'!C11</f>
        <v/>
      </c>
    </row>
    <row r="442" ht="15" customHeight="1" s="107">
      <c r="A442" s="216">
        <f>'ESCOLA PAROQUIAL NOSSA SENHO 2'!F12</f>
        <v/>
      </c>
      <c r="B442" s="217">
        <f>'ESCOLA PAROQUIAL NOSSA SENHO 2'!C12</f>
        <v/>
      </c>
    </row>
    <row r="443" ht="15" customHeight="1" s="107">
      <c r="A443" s="216">
        <f>'ESCOLA PAROQUIAL NOSSA SENHO 2'!F13</f>
        <v/>
      </c>
      <c r="B443" s="217">
        <f>'ESCOLA PAROQUIAL NOSSA SENHO 2'!C13</f>
        <v/>
      </c>
    </row>
    <row r="444" ht="15" customHeight="1" s="107">
      <c r="A444" s="216">
        <f>'ESCOLA PAROQUIAL NOSSA SENHO 2'!F14</f>
        <v/>
      </c>
      <c r="B444" s="217">
        <f>'ESCOLA PAROQUIAL NOSSA SENHO 2'!C14</f>
        <v/>
      </c>
    </row>
    <row r="445" ht="15" customHeight="1" s="107">
      <c r="A445" s="216">
        <f>'ESCOLA PAROQUIAL NOSSA SENHO 2'!F15</f>
        <v/>
      </c>
      <c r="B445" s="217">
        <f>'ESCOLA PAROQUIAL NOSSA SENHO 2'!C15</f>
        <v/>
      </c>
    </row>
    <row r="446" ht="15" customHeight="1" s="107">
      <c r="A446" s="216">
        <f>'ESCOLA PAROQUIAL NOSSA SENHO 2'!F16</f>
        <v/>
      </c>
      <c r="B446" s="217">
        <f>'ESCOLA PAROQUIAL NOSSA SENHO 2'!C16</f>
        <v/>
      </c>
    </row>
    <row r="447" ht="15" customHeight="1" s="107">
      <c r="A447" s="216">
        <f>'ESCOLA PAROQUIAL NOSSA SENHO 2'!F17</f>
        <v/>
      </c>
      <c r="B447" s="217">
        <f>'ESCOLA PAROQUIAL NOSSA SENHO 2'!C17</f>
        <v/>
      </c>
    </row>
    <row r="448" ht="15" customHeight="1" s="107">
      <c r="A448" s="216">
        <f>'ESCOLA PAROQUIAL NOSSA SENHO 2'!F18</f>
        <v/>
      </c>
      <c r="B448" s="217">
        <f>'ESCOLA PAROQUIAL NOSSA SENHO 2'!C18</f>
        <v/>
      </c>
    </row>
    <row r="449" ht="15" customHeight="1" s="107">
      <c r="A449" s="216">
        <f>'ESCOLA PAROQUIAL NOSSA SENHO 2'!F19</f>
        <v/>
      </c>
      <c r="B449" s="217">
        <f>'ESCOLA PAROQUIAL NOSSA SENHO 2'!C19</f>
        <v/>
      </c>
    </row>
    <row r="450" ht="15" customHeight="1" s="107">
      <c r="A450" s="216">
        <f>'ESCOLA PAROQUIAL NOSSA SENHO 2'!F20</f>
        <v/>
      </c>
      <c r="B450" s="217">
        <f>'ESCOLA PAROQUIAL NOSSA SENHO 2'!C20</f>
        <v/>
      </c>
    </row>
    <row r="451" ht="15" customHeight="1" s="107">
      <c r="A451" s="216">
        <f>'ESCOLA PAROQUIAL NOSSA SENHO 2'!F21</f>
        <v/>
      </c>
      <c r="B451" s="217">
        <f>'ESCOLA PAROQUIAL NOSSA SENHO 2'!C21</f>
        <v/>
      </c>
    </row>
    <row r="452" ht="15" customHeight="1" s="107">
      <c r="A452" s="216">
        <f>'ESCOLA PAROQUIAL NOSSA SENHO 2'!F22</f>
        <v/>
      </c>
      <c r="B452" s="217">
        <f>'ESCOLA PAROQUIAL NOSSA SENHO 2'!C22</f>
        <v/>
      </c>
    </row>
    <row r="453" ht="15" customHeight="1" s="107">
      <c r="A453" s="216">
        <f>'ESCOLA PAROQUIAL NOSSA SENHO 2'!F23</f>
        <v/>
      </c>
      <c r="B453" s="217">
        <f>'ESCOLA PAROQUIAL NOSSA SENHO 2'!C23</f>
        <v/>
      </c>
    </row>
    <row r="454" ht="15" customHeight="1" s="107">
      <c r="A454" s="216">
        <f>'ESCOLA PAROQUIAL NOSSA SENHO 2'!F24</f>
        <v/>
      </c>
      <c r="B454" s="217">
        <f>'ESCOLA PAROQUIAL NOSSA SENHO 2'!C24</f>
        <v/>
      </c>
    </row>
    <row r="455" ht="15" customHeight="1" s="107">
      <c r="A455" s="216">
        <f>'ESCOLA PAROQUIAL NOSSA SENHO 2'!F25</f>
        <v/>
      </c>
      <c r="B455" s="217">
        <f>'ESCOLA PAROQUIAL NOSSA SENHO 2'!C25</f>
        <v/>
      </c>
    </row>
    <row r="456" ht="15" customHeight="1" s="107">
      <c r="A456" s="216">
        <f>'ESCOLA PAROQUIAL NOSSA SENHO 2'!F26</f>
        <v/>
      </c>
      <c r="B456" s="217">
        <f>'ESCOLA PAROQUIAL NOSSA SENHO 2'!C26</f>
        <v/>
      </c>
    </row>
    <row r="457" ht="15" customHeight="1" s="107">
      <c r="A457" s="216">
        <f>'ESCOLA PAROQUIAL NOSSA SENHO 2'!F27</f>
        <v/>
      </c>
      <c r="B457" s="217">
        <f>'ESCOLA PAROQUIAL NOSSA SENHO 2'!C27</f>
        <v/>
      </c>
    </row>
    <row r="458" ht="15" customHeight="1" s="107">
      <c r="A458" s="216">
        <f>'CENTRO DE EDUCAÇÃO INFANTIL IRM'!F9</f>
        <v/>
      </c>
      <c r="B458" s="217">
        <f>'CENTRO DE EDUCAÇÃO INFANTIL IRM'!C9</f>
        <v/>
      </c>
    </row>
    <row r="459" ht="15" customHeight="1" s="107">
      <c r="A459" s="216">
        <f>'CENTRO DE EDUCAÇÃO INFANTIL IRM'!F10</f>
        <v/>
      </c>
      <c r="B459" s="217">
        <f>'CENTRO DE EDUCAÇÃO INFANTIL IRM'!C10</f>
        <v/>
      </c>
    </row>
    <row r="460" ht="15" customHeight="1" s="107">
      <c r="A460" s="216">
        <f>'CENTRO DE EDUCAÇÃO INFANTIL IRM'!F11</f>
        <v/>
      </c>
      <c r="B460" s="217">
        <f>'CENTRO DE EDUCAÇÃO INFANTIL IRM'!C11</f>
        <v/>
      </c>
    </row>
    <row r="461" ht="15" customHeight="1" s="107">
      <c r="A461" s="216">
        <f>'CENTRO DE EDUCAÇÃO INFANTIL IRM'!F12</f>
        <v/>
      </c>
      <c r="B461" s="217">
        <f>'CENTRO DE EDUCAÇÃO INFANTIL IRM'!C12</f>
        <v/>
      </c>
    </row>
    <row r="462" ht="15" customHeight="1" s="107">
      <c r="A462" s="216">
        <f>'CENTRO DE EDUCAÇÃO INFANTIL IRM'!F13</f>
        <v/>
      </c>
      <c r="B462" s="217">
        <f>'CENTRO DE EDUCAÇÃO INFANTIL IRM'!C13</f>
        <v/>
      </c>
    </row>
    <row r="463" ht="15" customHeight="1" s="107">
      <c r="A463" s="216">
        <f>'CENTRO DE EDUCAÇÃO INFANTIL IRM'!F14</f>
        <v/>
      </c>
      <c r="B463" s="217">
        <f>'CENTRO DE EDUCAÇÃO INFANTIL IRM'!C14</f>
        <v/>
      </c>
    </row>
    <row r="464" ht="15" customHeight="1" s="107">
      <c r="A464" s="216">
        <f>'CENTRO DE EDUCAÇÃO INFANTIL IRM'!F15</f>
        <v/>
      </c>
      <c r="B464" s="217">
        <f>'CENTRO DE EDUCAÇÃO INFANTIL IRM'!C15</f>
        <v/>
      </c>
    </row>
    <row r="465" ht="15" customHeight="1" s="107">
      <c r="A465" s="216">
        <f>'CENTRO DE EDUCAÇÃO INFANTIL IRM'!F16</f>
        <v/>
      </c>
      <c r="B465" s="217">
        <f>'CENTRO DE EDUCAÇÃO INFANTIL IRM'!C16</f>
        <v/>
      </c>
    </row>
    <row r="466" ht="15" customHeight="1" s="107">
      <c r="A466" s="216">
        <f>'CENTRO DE EDUCAÇÃO INFANTIL IRM'!F17</f>
        <v/>
      </c>
      <c r="B466" s="217">
        <f>'CENTRO DE EDUCAÇÃO INFANTIL IRM'!C17</f>
        <v/>
      </c>
    </row>
    <row r="467" ht="15" customHeight="1" s="107">
      <c r="A467" s="216">
        <f>'CENTRO DE EDUCAÇÃO INFANTIL IRM'!F18</f>
        <v/>
      </c>
      <c r="B467" s="217">
        <f>'CENTRO DE EDUCAÇÃO INFANTIL IRM'!C18</f>
        <v/>
      </c>
    </row>
    <row r="468" ht="15" customHeight="1" s="107">
      <c r="A468" s="216">
        <f>'CENTRO DE EDUCAÇÃO INFANTIL IRM'!F19</f>
        <v/>
      </c>
      <c r="B468" s="217">
        <f>'CENTRO DE EDUCAÇÃO INFANTIL IRM'!C19</f>
        <v/>
      </c>
    </row>
    <row r="469" ht="15" customHeight="1" s="107">
      <c r="A469" s="216">
        <f>'CENTRO DE EDUCAÇÃO INFANTIL IRM'!F20</f>
        <v/>
      </c>
      <c r="B469" s="217">
        <f>'CENTRO DE EDUCAÇÃO INFANTIL IRM'!C20</f>
        <v/>
      </c>
    </row>
    <row r="470" ht="15" customHeight="1" s="107">
      <c r="A470" s="216">
        <f>'CENTRO DE EDUCAÇÃO INFANTIL IRM'!F21</f>
        <v/>
      </c>
      <c r="B470" s="217">
        <f>'CENTRO DE EDUCAÇÃO INFANTIL IRM'!C21</f>
        <v/>
      </c>
    </row>
    <row r="471" ht="15" customHeight="1" s="107">
      <c r="A471" s="216">
        <f>'CENTRO DE EDUCAÇÃO INFANTIL IRM'!F22</f>
        <v/>
      </c>
      <c r="B471" s="217">
        <f>'CENTRO DE EDUCAÇÃO INFANTIL IRM'!C22</f>
        <v/>
      </c>
    </row>
    <row r="472" ht="15" customHeight="1" s="107">
      <c r="A472" s="216">
        <f>'CENTRO DE EDUCAÇÃO INFANTIL IRM'!F23</f>
        <v/>
      </c>
      <c r="B472" s="217">
        <f>'CENTRO DE EDUCAÇÃO INFANTIL IRM'!C23</f>
        <v/>
      </c>
    </row>
    <row r="473" ht="15" customHeight="1" s="107">
      <c r="A473" s="216">
        <f>'CENTRO DE EDUCAÇÃO INFANTIL IRM'!F24</f>
        <v/>
      </c>
      <c r="B473" s="217">
        <f>'CENTRO DE EDUCAÇÃO INFANTIL IRM'!C24</f>
        <v/>
      </c>
    </row>
    <row r="474" ht="15" customHeight="1" s="107">
      <c r="A474" s="216">
        <f>'CENTRO DE EDUCAÇÃO INFANTIL IRM'!F25</f>
        <v/>
      </c>
      <c r="B474" s="217">
        <f>'CENTRO DE EDUCAÇÃO INFANTIL IRM'!C25</f>
        <v/>
      </c>
    </row>
    <row r="475" ht="15" customHeight="1" s="107">
      <c r="A475" s="216">
        <f>'CENTRO DE EDUCAÇÃO INFANTIL IRM'!F26</f>
        <v/>
      </c>
      <c r="B475" s="217">
        <f>'CENTRO DE EDUCAÇÃO INFANTIL IRM'!C26</f>
        <v/>
      </c>
    </row>
    <row r="476" ht="15" customHeight="1" s="107">
      <c r="A476" s="216">
        <f>'CENTRO DE EDUCAÇÃO INFANTIL IRM'!F27</f>
        <v/>
      </c>
      <c r="B476" s="217">
        <f>'CENTRO DE EDUCAÇÃO INFANTIL IRM'!C27</f>
        <v/>
      </c>
    </row>
    <row r="477" ht="15" customHeight="1" s="107">
      <c r="A477" s="216">
        <f>'E M LUIZ CARLOS SOARES'!F9</f>
        <v/>
      </c>
      <c r="B477" s="217">
        <f>'E M LUIZ CARLOS SOARES'!C9</f>
        <v/>
      </c>
    </row>
    <row r="478" ht="15" customHeight="1" s="107">
      <c r="A478" s="216">
        <f>'E M LUIZ CARLOS SOARES'!F10</f>
        <v/>
      </c>
      <c r="B478" s="217">
        <f>'E M LUIZ CARLOS SOARES'!C10</f>
        <v/>
      </c>
    </row>
    <row r="479" ht="15" customHeight="1" s="107">
      <c r="A479" s="216">
        <f>'E M LUIZ CARLOS SOARES'!F11</f>
        <v/>
      </c>
      <c r="B479" s="217">
        <f>'E M LUIZ CARLOS SOARES'!C11</f>
        <v/>
      </c>
    </row>
    <row r="480" ht="15" customHeight="1" s="107">
      <c r="A480" s="216">
        <f>'E M LUIZ CARLOS SOARES'!F12</f>
        <v/>
      </c>
      <c r="B480" s="217">
        <f>'E M LUIZ CARLOS SOARES'!C12</f>
        <v/>
      </c>
    </row>
    <row r="481" ht="15" customHeight="1" s="107">
      <c r="A481" s="216">
        <f>'E M LUIZ CARLOS SOARES'!F13</f>
        <v/>
      </c>
      <c r="B481" s="217">
        <f>'E M LUIZ CARLOS SOARES'!C13</f>
        <v/>
      </c>
    </row>
    <row r="482" ht="15" customHeight="1" s="107">
      <c r="A482" s="216">
        <f>'E M LUIZ CARLOS SOARES'!F14</f>
        <v/>
      </c>
      <c r="B482" s="217">
        <f>'E M LUIZ CARLOS SOARES'!C14</f>
        <v/>
      </c>
    </row>
    <row r="483" ht="15" customHeight="1" s="107">
      <c r="A483" s="216">
        <f>'E M LUIZ CARLOS SOARES'!F15</f>
        <v/>
      </c>
      <c r="B483" s="217">
        <f>'E M LUIZ CARLOS SOARES'!C15</f>
        <v/>
      </c>
    </row>
    <row r="484" ht="15" customHeight="1" s="107">
      <c r="A484" s="216">
        <f>'E M LUIZ CARLOS SOARES'!F16</f>
        <v/>
      </c>
      <c r="B484" s="217">
        <f>'E M LUIZ CARLOS SOARES'!C16</f>
        <v/>
      </c>
    </row>
    <row r="485" ht="15" customHeight="1" s="107">
      <c r="A485" s="216">
        <f>'E M LUIZ CARLOS SOARES'!F17</f>
        <v/>
      </c>
      <c r="B485" s="217">
        <f>'E M LUIZ CARLOS SOARES'!C17</f>
        <v/>
      </c>
    </row>
    <row r="486" ht="15" customHeight="1" s="107">
      <c r="A486" s="216">
        <f>'E M LUIZ CARLOS SOARES'!F18</f>
        <v/>
      </c>
      <c r="B486" s="217">
        <f>'E M LUIZ CARLOS SOARES'!C18</f>
        <v/>
      </c>
    </row>
    <row r="487" ht="15" customHeight="1" s="107">
      <c r="A487" s="216">
        <f>'E M LUIZ CARLOS SOARES'!F19</f>
        <v/>
      </c>
      <c r="B487" s="217">
        <f>'E M LUIZ CARLOS SOARES'!C19</f>
        <v/>
      </c>
    </row>
    <row r="488" ht="15" customHeight="1" s="107">
      <c r="A488" s="216">
        <f>'E M LUIZ CARLOS SOARES'!F20</f>
        <v/>
      </c>
      <c r="B488" s="217">
        <f>'E M LUIZ CARLOS SOARES'!C20</f>
        <v/>
      </c>
    </row>
    <row r="489" ht="15" customHeight="1" s="107">
      <c r="A489" s="216">
        <f>'E M LUIZ CARLOS SOARES'!F21</f>
        <v/>
      </c>
      <c r="B489" s="217">
        <f>'E M LUIZ CARLOS SOARES'!C21</f>
        <v/>
      </c>
    </row>
    <row r="490" ht="15" customHeight="1" s="107">
      <c r="A490" s="216">
        <f>'E M LUIZ CARLOS SOARES'!F22</f>
        <v/>
      </c>
      <c r="B490" s="217">
        <f>'E M LUIZ CARLOS SOARES'!C22</f>
        <v/>
      </c>
    </row>
    <row r="491" ht="15" customHeight="1" s="107">
      <c r="A491" s="216">
        <f>'E M LUIZ CARLOS SOARES'!F23</f>
        <v/>
      </c>
      <c r="B491" s="217">
        <f>'E M LUIZ CARLOS SOARES'!C23</f>
        <v/>
      </c>
    </row>
    <row r="492" ht="15" customHeight="1" s="107">
      <c r="A492" s="216">
        <f>'E M LUIZ CARLOS SOARES'!F24</f>
        <v/>
      </c>
      <c r="B492" s="217">
        <f>'E M LUIZ CARLOS SOARES'!C24</f>
        <v/>
      </c>
    </row>
    <row r="493" ht="15" customHeight="1" s="107">
      <c r="A493" s="216">
        <f>'E M LUIZ CARLOS SOARES'!F25</f>
        <v/>
      </c>
      <c r="B493" s="217">
        <f>'E M LUIZ CARLOS SOARES'!C25</f>
        <v/>
      </c>
    </row>
    <row r="494" ht="15" customHeight="1" s="107">
      <c r="A494" s="216">
        <f>'E M LUIZ CARLOS SOARES'!F26</f>
        <v/>
      </c>
      <c r="B494" s="217">
        <f>'E M LUIZ CARLOS SOARES'!C26</f>
        <v/>
      </c>
    </row>
    <row r="495" ht="15" customHeight="1" s="107">
      <c r="A495" s="216">
        <f>'E M LUIZ CARLOS SOARES'!F27</f>
        <v/>
      </c>
      <c r="B495" s="217">
        <f>'E M LUIZ CARLOS SOARES'!C27</f>
        <v/>
      </c>
    </row>
    <row r="496" ht="15" customHeight="1" s="107">
      <c r="A496" s="216">
        <f>'ESCOLA GERMANO VALENTE'!F9</f>
        <v/>
      </c>
      <c r="B496" s="217">
        <f>'ESCOLA GERMANO VALENTE'!C9</f>
        <v/>
      </c>
    </row>
    <row r="497" ht="15" customHeight="1" s="107">
      <c r="A497" s="216">
        <f>'ESCOLA GERMANO VALENTE'!F10</f>
        <v/>
      </c>
      <c r="B497" s="217">
        <f>'ESCOLA GERMANO VALENTE'!C10</f>
        <v/>
      </c>
    </row>
    <row r="498" ht="15" customHeight="1" s="107">
      <c r="A498" s="216">
        <f>'ESCOLA GERMANO VALENTE'!F11</f>
        <v/>
      </c>
      <c r="B498" s="217">
        <f>'ESCOLA GERMANO VALENTE'!C11</f>
        <v/>
      </c>
    </row>
    <row r="499" ht="15" customHeight="1" s="107">
      <c r="A499" s="216">
        <f>'ESCOLA GERMANO VALENTE'!F12</f>
        <v/>
      </c>
      <c r="B499" s="217">
        <f>'ESCOLA GERMANO VALENTE'!C12</f>
        <v/>
      </c>
    </row>
    <row r="500" ht="15" customHeight="1" s="107">
      <c r="A500" s="216">
        <f>'ESCOLA GERMANO VALENTE'!F13</f>
        <v/>
      </c>
      <c r="B500" s="217">
        <f>'ESCOLA GERMANO VALENTE'!C13</f>
        <v/>
      </c>
    </row>
    <row r="501" ht="15" customHeight="1" s="107">
      <c r="A501" s="216">
        <f>'ESCOLA GERMANO VALENTE'!F14</f>
        <v/>
      </c>
      <c r="B501" s="217">
        <f>'ESCOLA GERMANO VALENTE'!C14</f>
        <v/>
      </c>
    </row>
    <row r="502" ht="15" customHeight="1" s="107">
      <c r="A502" s="216">
        <f>'ESCOLA GERMANO VALENTE'!F15</f>
        <v/>
      </c>
      <c r="B502" s="217">
        <f>'ESCOLA GERMANO VALENTE'!C15</f>
        <v/>
      </c>
    </row>
    <row r="503" ht="15" customHeight="1" s="107">
      <c r="A503" s="216">
        <f>'ESCOLA GERMANO VALENTE'!F16</f>
        <v/>
      </c>
      <c r="B503" s="217">
        <f>'ESCOLA GERMANO VALENTE'!C16</f>
        <v/>
      </c>
    </row>
    <row r="504" ht="15" customHeight="1" s="107">
      <c r="A504" s="216">
        <f>'ESCOLA GERMANO VALENTE'!F17</f>
        <v/>
      </c>
      <c r="B504" s="217">
        <f>'ESCOLA GERMANO VALENTE'!C17</f>
        <v/>
      </c>
    </row>
    <row r="505" ht="15" customHeight="1" s="107">
      <c r="A505" s="216">
        <f>'ESCOLA GERMANO VALENTE'!F18</f>
        <v/>
      </c>
      <c r="B505" s="217">
        <f>'ESCOLA GERMANO VALENTE'!C18</f>
        <v/>
      </c>
    </row>
    <row r="506" ht="15" customHeight="1" s="107">
      <c r="A506" s="216">
        <f>'ESCOLA GERMANO VALENTE'!F19</f>
        <v/>
      </c>
      <c r="B506" s="217">
        <f>'ESCOLA GERMANO VALENTE'!C19</f>
        <v/>
      </c>
    </row>
    <row r="507" ht="15" customHeight="1" s="107">
      <c r="A507" s="216">
        <f>'ESCOLA GERMANO VALENTE'!F20</f>
        <v/>
      </c>
      <c r="B507" s="217">
        <f>'ESCOLA GERMANO VALENTE'!C20</f>
        <v/>
      </c>
    </row>
    <row r="508" ht="15" customHeight="1" s="107">
      <c r="A508" s="216">
        <f>'ESCOLA GERMANO VALENTE'!F21</f>
        <v/>
      </c>
      <c r="B508" s="217">
        <f>'ESCOLA GERMANO VALENTE'!C21</f>
        <v/>
      </c>
    </row>
    <row r="509" ht="15" customHeight="1" s="107">
      <c r="A509" s="216">
        <f>'ESCOLA GERMANO VALENTE'!F22</f>
        <v/>
      </c>
      <c r="B509" s="217">
        <f>'ESCOLA GERMANO VALENTE'!C22</f>
        <v/>
      </c>
    </row>
    <row r="510" ht="15" customHeight="1" s="107">
      <c r="A510" s="216">
        <f>'ESCOLA GERMANO VALENTE'!F23</f>
        <v/>
      </c>
      <c r="B510" s="217">
        <f>'ESCOLA GERMANO VALENTE'!C23</f>
        <v/>
      </c>
    </row>
    <row r="511" ht="15" customHeight="1" s="107">
      <c r="A511" s="216">
        <f>'ESCOLA GERMANO VALENTE'!F24</f>
        <v/>
      </c>
      <c r="B511" s="217">
        <f>'ESCOLA GERMANO VALENTE'!C24</f>
        <v/>
      </c>
    </row>
    <row r="512" ht="15" customHeight="1" s="107">
      <c r="A512" s="216">
        <f>'ESCOLA GERMANO VALENTE'!F25</f>
        <v/>
      </c>
      <c r="B512" s="217">
        <f>'ESCOLA GERMANO VALENTE'!C25</f>
        <v/>
      </c>
    </row>
    <row r="513" ht="15" customHeight="1" s="107">
      <c r="A513" s="216">
        <f>'ESCOLA GERMANO VALENTE'!F26</f>
        <v/>
      </c>
      <c r="B513" s="217">
        <f>'ESCOLA GERMANO VALENTE'!C26</f>
        <v/>
      </c>
    </row>
    <row r="514" ht="15" customHeight="1" s="107">
      <c r="A514" s="216">
        <f>'ESCOLA GERMANO VALENTE'!F27</f>
        <v/>
      </c>
      <c r="B514" s="217">
        <f>'ESCOLA GERMANO VALENTE'!C27</f>
        <v/>
      </c>
    </row>
    <row r="515" ht="15" customHeight="1" s="107">
      <c r="A515" s="216">
        <f>'ESCOLA PAROQUIAL NOSSA SENHO 3'!F9</f>
        <v/>
      </c>
      <c r="B515" s="217">
        <f>'ESCOLA PAROQUIAL NOSSA SENHO 3'!C9</f>
        <v/>
      </c>
    </row>
    <row r="516" ht="15" customHeight="1" s="107">
      <c r="A516" s="216">
        <f>'ESCOLA PAROQUIAL NOSSA SENHO 3'!F10</f>
        <v/>
      </c>
      <c r="B516" s="217">
        <f>'ESCOLA PAROQUIAL NOSSA SENHO 3'!C10</f>
        <v/>
      </c>
    </row>
    <row r="517" ht="15" customHeight="1" s="107">
      <c r="A517" s="216">
        <f>'ESCOLA PAROQUIAL NOSSA SENHO 3'!F11</f>
        <v/>
      </c>
      <c r="B517" s="217">
        <f>'ESCOLA PAROQUIAL NOSSA SENHO 3'!C11</f>
        <v/>
      </c>
    </row>
    <row r="518" ht="15" customHeight="1" s="107">
      <c r="A518" s="216">
        <f>'ESCOLA PAROQUIAL NOSSA SENHO 3'!F12</f>
        <v/>
      </c>
      <c r="B518" s="217">
        <f>'ESCOLA PAROQUIAL NOSSA SENHO 3'!C12</f>
        <v/>
      </c>
    </row>
    <row r="519" ht="15" customHeight="1" s="107">
      <c r="A519" s="216">
        <f>'ESCOLA PAROQUIAL NOSSA SENHO 3'!F13</f>
        <v/>
      </c>
      <c r="B519" s="217">
        <f>'ESCOLA PAROQUIAL NOSSA SENHO 3'!C13</f>
        <v/>
      </c>
    </row>
    <row r="520" ht="15" customHeight="1" s="107">
      <c r="A520" s="216">
        <f>'ESCOLA PAROQUIAL NOSSA SENHO 3'!F14</f>
        <v/>
      </c>
      <c r="B520" s="217">
        <f>'ESCOLA PAROQUIAL NOSSA SENHO 3'!C14</f>
        <v/>
      </c>
    </row>
    <row r="521" ht="15" customHeight="1" s="107">
      <c r="A521" s="216">
        <f>'ESCOLA PAROQUIAL NOSSA SENHO 3'!F15</f>
        <v/>
      </c>
      <c r="B521" s="217">
        <f>'ESCOLA PAROQUIAL NOSSA SENHO 3'!C15</f>
        <v/>
      </c>
    </row>
    <row r="522" ht="15" customHeight="1" s="107">
      <c r="A522" s="216">
        <f>'ESCOLA PAROQUIAL NOSSA SENHO 3'!F16</f>
        <v/>
      </c>
      <c r="B522" s="217">
        <f>'ESCOLA PAROQUIAL NOSSA SENHO 3'!C16</f>
        <v/>
      </c>
    </row>
    <row r="523" ht="15" customHeight="1" s="107">
      <c r="A523" s="216">
        <f>'ESCOLA PAROQUIAL NOSSA SENHO 3'!F17</f>
        <v/>
      </c>
      <c r="B523" s="217">
        <f>'ESCOLA PAROQUIAL NOSSA SENHO 3'!C17</f>
        <v/>
      </c>
    </row>
    <row r="524" ht="15" customHeight="1" s="107">
      <c r="A524" s="216">
        <f>'ESCOLA PAROQUIAL NOSSA SENHO 3'!F18</f>
        <v/>
      </c>
      <c r="B524" s="217">
        <f>'ESCOLA PAROQUIAL NOSSA SENHO 3'!C18</f>
        <v/>
      </c>
    </row>
    <row r="525" ht="15" customHeight="1" s="107">
      <c r="A525" s="216">
        <f>'ESCOLA PAROQUIAL NOSSA SENHO 3'!F19</f>
        <v/>
      </c>
      <c r="B525" s="217">
        <f>'ESCOLA PAROQUIAL NOSSA SENHO 3'!C19</f>
        <v/>
      </c>
    </row>
    <row r="526" ht="15" customHeight="1" s="107">
      <c r="A526" s="216">
        <f>'ESCOLA PAROQUIAL NOSSA SENHO 3'!F20</f>
        <v/>
      </c>
      <c r="B526" s="217">
        <f>'ESCOLA PAROQUIAL NOSSA SENHO 3'!C20</f>
        <v/>
      </c>
    </row>
    <row r="527" ht="15" customHeight="1" s="107">
      <c r="A527" s="216">
        <f>'ESCOLA PAROQUIAL NOSSA SENHO 3'!F21</f>
        <v/>
      </c>
      <c r="B527" s="217">
        <f>'ESCOLA PAROQUIAL NOSSA SENHO 3'!C21</f>
        <v/>
      </c>
    </row>
    <row r="528" ht="15" customHeight="1" s="107">
      <c r="A528" s="216">
        <f>'ESCOLA PAROQUIAL NOSSA SENHO 3'!F22</f>
        <v/>
      </c>
      <c r="B528" s="217">
        <f>'ESCOLA PAROQUIAL NOSSA SENHO 3'!C22</f>
        <v/>
      </c>
    </row>
    <row r="529" ht="15" customHeight="1" s="107">
      <c r="A529" s="216">
        <f>'ESCOLA PAROQUIAL NOSSA SENHO 3'!F23</f>
        <v/>
      </c>
      <c r="B529" s="217">
        <f>'ESCOLA PAROQUIAL NOSSA SENHO 3'!C23</f>
        <v/>
      </c>
    </row>
    <row r="530" ht="15" customHeight="1" s="107">
      <c r="A530" s="216">
        <f>'ESCOLA PAROQUIAL NOSSA SENHO 3'!F24</f>
        <v/>
      </c>
      <c r="B530" s="217">
        <f>'ESCOLA PAROQUIAL NOSSA SENHO 3'!C24</f>
        <v/>
      </c>
    </row>
    <row r="531" ht="15" customHeight="1" s="107">
      <c r="A531" s="216">
        <f>'ESCOLA PAROQUIAL NOSSA SENHO 3'!F25</f>
        <v/>
      </c>
      <c r="B531" s="217">
        <f>'ESCOLA PAROQUIAL NOSSA SENHO 3'!C25</f>
        <v/>
      </c>
    </row>
    <row r="532" ht="15" customHeight="1" s="107">
      <c r="A532" s="216">
        <f>'ESCOLA PAROQUIAL NOSSA SENHO 3'!F26</f>
        <v/>
      </c>
      <c r="B532" s="217">
        <f>'ESCOLA PAROQUIAL NOSSA SENHO 3'!C26</f>
        <v/>
      </c>
    </row>
    <row r="533" ht="15" customHeight="1" s="107">
      <c r="A533" s="216">
        <f>'ESCOLA PAROQUIAL NOSSA SENHO 3'!F27</f>
        <v/>
      </c>
      <c r="B533" s="217">
        <f>'ESCOLA PAROQUIAL NOSSA SENHO 3'!C27</f>
        <v/>
      </c>
    </row>
    <row r="534" ht="15" customHeight="1" s="107">
      <c r="A534" s="216">
        <f>'CEI JORGE ROLANDO DA SILVA'!F9</f>
        <v/>
      </c>
      <c r="B534" s="217">
        <f>'CEI JORGE ROLANDO DA SILVA'!C9</f>
        <v/>
      </c>
    </row>
    <row r="535" ht="15" customHeight="1" s="107">
      <c r="A535" s="216">
        <f>'CEI JORGE ROLANDO DA SILVA'!F10</f>
        <v/>
      </c>
      <c r="B535" s="217">
        <f>'CEI JORGE ROLANDO DA SILVA'!C10</f>
        <v/>
      </c>
    </row>
    <row r="536" ht="15" customHeight="1" s="107">
      <c r="A536" s="216">
        <f>'CEI JORGE ROLANDO DA SILVA'!F11</f>
        <v/>
      </c>
      <c r="B536" s="217">
        <f>'CEI JORGE ROLANDO DA SILVA'!C11</f>
        <v/>
      </c>
    </row>
    <row r="537" ht="15" customHeight="1" s="107">
      <c r="A537" s="216">
        <f>'CEI JORGE ROLANDO DA SILVA'!F12</f>
        <v/>
      </c>
      <c r="B537" s="217">
        <f>'CEI JORGE ROLANDO DA SILVA'!C12</f>
        <v/>
      </c>
    </row>
    <row r="538" ht="15" customHeight="1" s="107">
      <c r="A538" s="216">
        <f>'CEI JORGE ROLANDO DA SILVA'!F13</f>
        <v/>
      </c>
      <c r="B538" s="217">
        <f>'CEI JORGE ROLANDO DA SILVA'!C13</f>
        <v/>
      </c>
    </row>
    <row r="539" ht="15" customHeight="1" s="107">
      <c r="A539" s="216">
        <f>'CEI JORGE ROLANDO DA SILVA'!F14</f>
        <v/>
      </c>
      <c r="B539" s="217">
        <f>'CEI JORGE ROLANDO DA SILVA'!C14</f>
        <v/>
      </c>
    </row>
    <row r="540" ht="15" customHeight="1" s="107">
      <c r="A540" s="216">
        <f>'CEI JORGE ROLANDO DA SILVA'!F15</f>
        <v/>
      </c>
      <c r="B540" s="217">
        <f>'CEI JORGE ROLANDO DA SILVA'!C15</f>
        <v/>
      </c>
    </row>
    <row r="541" ht="15" customHeight="1" s="107">
      <c r="A541" s="216">
        <f>'CEI JORGE ROLANDO DA SILVA'!F16</f>
        <v/>
      </c>
      <c r="B541" s="217">
        <f>'CEI JORGE ROLANDO DA SILVA'!C16</f>
        <v/>
      </c>
    </row>
    <row r="542" ht="15" customHeight="1" s="107">
      <c r="A542" s="216">
        <f>'CEI JORGE ROLANDO DA SILVA'!F17</f>
        <v/>
      </c>
      <c r="B542" s="217">
        <f>'CEI JORGE ROLANDO DA SILVA'!C17</f>
        <v/>
      </c>
    </row>
    <row r="543" ht="15" customHeight="1" s="107">
      <c r="A543" s="216">
        <f>'CEI JORGE ROLANDO DA SILVA'!F18</f>
        <v/>
      </c>
      <c r="B543" s="217">
        <f>'CEI JORGE ROLANDO DA SILVA'!C18</f>
        <v/>
      </c>
    </row>
    <row r="544" ht="15" customHeight="1" s="107">
      <c r="A544" s="216">
        <f>'CEI JORGE ROLANDO DA SILVA'!F19</f>
        <v/>
      </c>
      <c r="B544" s="217">
        <f>'CEI JORGE ROLANDO DA SILVA'!C19</f>
        <v/>
      </c>
    </row>
    <row r="545" ht="15" customHeight="1" s="107">
      <c r="A545" s="216">
        <f>'CEI JORGE ROLANDO DA SILVA'!F20</f>
        <v/>
      </c>
      <c r="B545" s="217">
        <f>'CEI JORGE ROLANDO DA SILVA'!C20</f>
        <v/>
      </c>
    </row>
    <row r="546" ht="15" customHeight="1" s="107">
      <c r="A546" s="216">
        <f>'CEI JORGE ROLANDO DA SILVA'!F21</f>
        <v/>
      </c>
      <c r="B546" s="217">
        <f>'CEI JORGE ROLANDO DA SILVA'!C21</f>
        <v/>
      </c>
    </row>
    <row r="547" ht="15" customHeight="1" s="107">
      <c r="A547" s="216">
        <f>'CEI JORGE ROLANDO DA SILVA'!F22</f>
        <v/>
      </c>
      <c r="B547" s="217">
        <f>'CEI JORGE ROLANDO DA SILVA'!C22</f>
        <v/>
      </c>
    </row>
    <row r="548" ht="15" customHeight="1" s="107">
      <c r="A548" s="216">
        <f>'CEI JORGE ROLANDO DA SILVA'!F23</f>
        <v/>
      </c>
      <c r="B548" s="217">
        <f>'CEI JORGE ROLANDO DA SILVA'!C23</f>
        <v/>
      </c>
    </row>
    <row r="549" ht="15" customHeight="1" s="107">
      <c r="A549" s="216">
        <f>'CEI JORGE ROLANDO DA SILVA'!F24</f>
        <v/>
      </c>
      <c r="B549" s="217">
        <f>'CEI JORGE ROLANDO DA SILVA'!C24</f>
        <v/>
      </c>
    </row>
    <row r="550" ht="15" customHeight="1" s="107">
      <c r="A550" s="216">
        <f>'CEI JORGE ROLANDO DA SILVA'!F25</f>
        <v/>
      </c>
      <c r="B550" s="217">
        <f>'CEI JORGE ROLANDO DA SILVA'!C25</f>
        <v/>
      </c>
    </row>
    <row r="551" ht="15" customHeight="1" s="107">
      <c r="A551" s="216">
        <f>'CEI JORGE ROLANDO DA SILVA'!F26</f>
        <v/>
      </c>
      <c r="B551" s="217">
        <f>'CEI JORGE ROLANDO DA SILVA'!C26</f>
        <v/>
      </c>
    </row>
    <row r="552" ht="15" customHeight="1" s="107">
      <c r="A552" s="216">
        <f>'CEI JORGE ROLANDO DA SILVA'!F27</f>
        <v/>
      </c>
      <c r="B552" s="217">
        <f>'CEI JORGE ROLANDO DA SILVA'!C27</f>
        <v/>
      </c>
    </row>
    <row r="553" ht="15" customHeight="1" s="107">
      <c r="A553" s="216">
        <f>'E M CLEMENTE FERNANDES'!F9</f>
        <v/>
      </c>
      <c r="B553" s="217">
        <f>'E M CLEMENTE FERNANDES'!C9</f>
        <v/>
      </c>
    </row>
    <row r="554" ht="15" customHeight="1" s="107">
      <c r="A554" s="216">
        <f>'E M CLEMENTE FERNANDES'!F10</f>
        <v/>
      </c>
      <c r="B554" s="217">
        <f>'E M CLEMENTE FERNANDES'!C10</f>
        <v/>
      </c>
    </row>
    <row r="555" ht="15" customHeight="1" s="107">
      <c r="A555" s="216">
        <f>'E M CLEMENTE FERNANDES'!F11</f>
        <v/>
      </c>
      <c r="B555" s="217">
        <f>'E M CLEMENTE FERNANDES'!C11</f>
        <v/>
      </c>
    </row>
    <row r="556" ht="15" customHeight="1" s="107">
      <c r="A556" s="216">
        <f>'E M CLEMENTE FERNANDES'!F12</f>
        <v/>
      </c>
      <c r="B556" s="217">
        <f>'E M CLEMENTE FERNANDES'!C12</f>
        <v/>
      </c>
    </row>
    <row r="557" ht="15" customHeight="1" s="107">
      <c r="A557" s="216">
        <f>'E M CLEMENTE FERNANDES'!F13</f>
        <v/>
      </c>
      <c r="B557" s="217">
        <f>'E M CLEMENTE FERNANDES'!C13</f>
        <v/>
      </c>
    </row>
    <row r="558" ht="15" customHeight="1" s="107">
      <c r="A558" s="216">
        <f>'E M CLEMENTE FERNANDES'!F14</f>
        <v/>
      </c>
      <c r="B558" s="217">
        <f>'E M CLEMENTE FERNANDES'!C14</f>
        <v/>
      </c>
    </row>
    <row r="559" ht="15" customHeight="1" s="107">
      <c r="A559" s="216">
        <f>'E M CLEMENTE FERNANDES'!F15</f>
        <v/>
      </c>
      <c r="B559" s="217">
        <f>'E M CLEMENTE FERNANDES'!C15</f>
        <v/>
      </c>
    </row>
    <row r="560" ht="15" customHeight="1" s="107">
      <c r="A560" s="216">
        <f>'E M CLEMENTE FERNANDES'!F16</f>
        <v/>
      </c>
      <c r="B560" s="217">
        <f>'E M CLEMENTE FERNANDES'!C16</f>
        <v/>
      </c>
    </row>
    <row r="561" ht="15" customHeight="1" s="107">
      <c r="A561" s="216">
        <f>'E M CLEMENTE FERNANDES'!F17</f>
        <v/>
      </c>
      <c r="B561" s="217">
        <f>'E M CLEMENTE FERNANDES'!C17</f>
        <v/>
      </c>
    </row>
    <row r="562" ht="15" customHeight="1" s="107">
      <c r="A562" s="216">
        <f>'E M CLEMENTE FERNANDES'!F18</f>
        <v/>
      </c>
      <c r="B562" s="217">
        <f>'E M CLEMENTE FERNANDES'!C18</f>
        <v/>
      </c>
    </row>
    <row r="563" ht="15" customHeight="1" s="107">
      <c r="A563" s="216">
        <f>'E M CLEMENTE FERNANDES'!F19</f>
        <v/>
      </c>
      <c r="B563" s="217">
        <f>'E M CLEMENTE FERNANDES'!C19</f>
        <v/>
      </c>
    </row>
    <row r="564" ht="15" customHeight="1" s="107">
      <c r="A564" s="216">
        <f>'E M CLEMENTE FERNANDES'!F20</f>
        <v/>
      </c>
      <c r="B564" s="217">
        <f>'E M CLEMENTE FERNANDES'!C20</f>
        <v/>
      </c>
    </row>
    <row r="565" ht="15" customHeight="1" s="107">
      <c r="A565" s="216">
        <f>'E M CLEMENTE FERNANDES'!F21</f>
        <v/>
      </c>
      <c r="B565" s="217">
        <f>'E M CLEMENTE FERNANDES'!C21</f>
        <v/>
      </c>
    </row>
    <row r="566" ht="15" customHeight="1" s="107">
      <c r="A566" s="216">
        <f>'E M CLEMENTE FERNANDES'!F22</f>
        <v/>
      </c>
      <c r="B566" s="217">
        <f>'E M CLEMENTE FERNANDES'!C22</f>
        <v/>
      </c>
    </row>
    <row r="567" ht="15" customHeight="1" s="107">
      <c r="A567" s="216">
        <f>'E M CLEMENTE FERNANDES'!F23</f>
        <v/>
      </c>
      <c r="B567" s="217">
        <f>'E M CLEMENTE FERNANDES'!C23</f>
        <v/>
      </c>
    </row>
    <row r="568" ht="15" customHeight="1" s="107">
      <c r="A568" s="216">
        <f>'E M CLEMENTE FERNANDES'!F24</f>
        <v/>
      </c>
      <c r="B568" s="217">
        <f>'E M CLEMENTE FERNANDES'!C24</f>
        <v/>
      </c>
    </row>
    <row r="569" ht="15" customHeight="1" s="107">
      <c r="A569" s="216">
        <f>'E M CLEMENTE FERNANDES'!F25</f>
        <v/>
      </c>
      <c r="B569" s="217">
        <f>'E M CLEMENTE FERNANDES'!C25</f>
        <v/>
      </c>
    </row>
    <row r="570" ht="15" customHeight="1" s="107">
      <c r="A570" s="216">
        <f>'E M CLEMENTE FERNANDES'!F26</f>
        <v/>
      </c>
      <c r="B570" s="217">
        <f>'E M CLEMENTE FERNANDES'!C26</f>
        <v/>
      </c>
    </row>
    <row r="571" ht="15" customHeight="1" s="107">
      <c r="A571" s="216">
        <f>'E M CLEMENTE FERNANDES'!F27</f>
        <v/>
      </c>
      <c r="B571" s="217">
        <f>'E M CLEMENTE FERNANDES'!C27</f>
        <v/>
      </c>
    </row>
    <row r="572" ht="15" customHeight="1" s="107">
      <c r="A572" s="216">
        <f>'E M GERALDO VENTURA DIAS'!F9</f>
        <v/>
      </c>
      <c r="B572" s="217">
        <f>'E M GERALDO VENTURA DIAS'!C9</f>
        <v/>
      </c>
    </row>
    <row r="573" ht="15" customHeight="1" s="107">
      <c r="A573" s="216">
        <f>'E M GERALDO VENTURA DIAS'!F10</f>
        <v/>
      </c>
      <c r="B573" s="217">
        <f>'E M GERALDO VENTURA DIAS'!C10</f>
        <v/>
      </c>
    </row>
    <row r="574" ht="15" customHeight="1" s="107">
      <c r="A574" s="216">
        <f>'E M GERALDO VENTURA DIAS'!F11</f>
        <v/>
      </c>
      <c r="B574" s="217">
        <f>'E M GERALDO VENTURA DIAS'!C11</f>
        <v/>
      </c>
    </row>
    <row r="575" ht="15" customHeight="1" s="107">
      <c r="A575" s="216">
        <f>'E M GERALDO VENTURA DIAS'!F12</f>
        <v/>
      </c>
      <c r="B575" s="217">
        <f>'E M GERALDO VENTURA DIAS'!C12</f>
        <v/>
      </c>
    </row>
    <row r="576" ht="15" customHeight="1" s="107">
      <c r="A576" s="216">
        <f>'E M GERALDO VENTURA DIAS'!F13</f>
        <v/>
      </c>
      <c r="B576" s="217">
        <f>'E M GERALDO VENTURA DIAS'!C13</f>
        <v/>
      </c>
    </row>
    <row r="577" ht="15" customHeight="1" s="107">
      <c r="A577" s="216">
        <f>'E M GERALDO VENTURA DIAS'!F14</f>
        <v/>
      </c>
      <c r="B577" s="217">
        <f>'E M GERALDO VENTURA DIAS'!C14</f>
        <v/>
      </c>
    </row>
    <row r="578" ht="15" customHeight="1" s="107">
      <c r="A578" s="216">
        <f>'E M GERALDO VENTURA DIAS'!F15</f>
        <v/>
      </c>
      <c r="B578" s="217">
        <f>'E M GERALDO VENTURA DIAS'!C15</f>
        <v/>
      </c>
    </row>
    <row r="579" ht="15" customHeight="1" s="107">
      <c r="A579" s="216">
        <f>'E M GERALDO VENTURA DIAS'!F16</f>
        <v/>
      </c>
      <c r="B579" s="217">
        <f>'E M GERALDO VENTURA DIAS'!C16</f>
        <v/>
      </c>
    </row>
    <row r="580" ht="15" customHeight="1" s="107">
      <c r="A580" s="216">
        <f>'E M GERALDO VENTURA DIAS'!F17</f>
        <v/>
      </c>
      <c r="B580" s="217">
        <f>'E M GERALDO VENTURA DIAS'!C17</f>
        <v/>
      </c>
    </row>
    <row r="581" ht="15" customHeight="1" s="107">
      <c r="A581" s="216">
        <f>'E M GERALDO VENTURA DIAS'!F18</f>
        <v/>
      </c>
      <c r="B581" s="217">
        <f>'E M GERALDO VENTURA DIAS'!C18</f>
        <v/>
      </c>
    </row>
    <row r="582" ht="15" customHeight="1" s="107">
      <c r="A582" s="216">
        <f>'E M GERALDO VENTURA DIAS'!F19</f>
        <v/>
      </c>
      <c r="B582" s="217">
        <f>'E M GERALDO VENTURA DIAS'!C19</f>
        <v/>
      </c>
    </row>
    <row r="583" ht="15" customHeight="1" s="107">
      <c r="A583" s="216">
        <f>'E M GERALDO VENTURA DIAS'!F20</f>
        <v/>
      </c>
      <c r="B583" s="217">
        <f>'E M GERALDO VENTURA DIAS'!C20</f>
        <v/>
      </c>
    </row>
    <row r="584" ht="15" customHeight="1" s="107">
      <c r="A584" s="216">
        <f>'E M GERALDO VENTURA DIAS'!F21</f>
        <v/>
      </c>
      <c r="B584" s="217">
        <f>'E M GERALDO VENTURA DIAS'!C21</f>
        <v/>
      </c>
    </row>
    <row r="585" ht="15" customHeight="1" s="107">
      <c r="A585" s="216">
        <f>'E M GERALDO VENTURA DIAS'!F22</f>
        <v/>
      </c>
      <c r="B585" s="217">
        <f>'E M GERALDO VENTURA DIAS'!C22</f>
        <v/>
      </c>
    </row>
    <row r="586" ht="15" customHeight="1" s="107">
      <c r="A586" s="216">
        <f>'E M GERALDO VENTURA DIAS'!F23</f>
        <v/>
      </c>
      <c r="B586" s="217">
        <f>'E M GERALDO VENTURA DIAS'!C23</f>
        <v/>
      </c>
    </row>
    <row r="587" ht="15" customHeight="1" s="107">
      <c r="A587" s="216">
        <f>'E M GERALDO VENTURA DIAS'!F24</f>
        <v/>
      </c>
      <c r="B587" s="217">
        <f>'E M GERALDO VENTURA DIAS'!C24</f>
        <v/>
      </c>
    </row>
    <row r="588" ht="15" customHeight="1" s="107">
      <c r="A588" s="216">
        <f>'E M GERALDO VENTURA DIAS'!F25</f>
        <v/>
      </c>
      <c r="B588" s="217">
        <f>'E M GERALDO VENTURA DIAS'!C25</f>
        <v/>
      </c>
    </row>
    <row r="589" ht="15" customHeight="1" s="107">
      <c r="A589" s="216">
        <f>'E M GERALDO VENTURA DIAS'!F26</f>
        <v/>
      </c>
      <c r="B589" s="217">
        <f>'E M GERALDO VENTURA DIAS'!C26</f>
        <v/>
      </c>
    </row>
    <row r="590" ht="15" customHeight="1" s="107">
      <c r="A590" s="216">
        <f>'E M GERALDO VENTURA DIAS'!F27</f>
        <v/>
      </c>
      <c r="B590" s="217">
        <f>'E M GERALDO VENTURA DIAS'!C27</f>
        <v/>
      </c>
    </row>
    <row r="591" ht="15" customHeight="1" s="107">
      <c r="A591" s="216">
        <f>'ESCOLA DAS COMUNIDADES SANTO AN'!F9</f>
        <v/>
      </c>
      <c r="B591" s="217">
        <f>'ESCOLA DAS COMUNIDADES SANTO AN'!C9</f>
        <v/>
      </c>
    </row>
    <row r="592" ht="15" customHeight="1" s="107">
      <c r="A592" s="216">
        <f>'ESCOLA DAS COMUNIDADES SANTO AN'!F10</f>
        <v/>
      </c>
      <c r="B592" s="217">
        <f>'ESCOLA DAS COMUNIDADES SANTO AN'!C10</f>
        <v/>
      </c>
    </row>
    <row r="593" ht="15" customHeight="1" s="107">
      <c r="A593" s="216">
        <f>'ESCOLA DAS COMUNIDADES SANTO AN'!F11</f>
        <v/>
      </c>
      <c r="B593" s="217">
        <f>'ESCOLA DAS COMUNIDADES SANTO AN'!C11</f>
        <v/>
      </c>
    </row>
    <row r="594" ht="15" customHeight="1" s="107">
      <c r="A594" s="216">
        <f>'ESCOLA DAS COMUNIDADES SANTO AN'!F12</f>
        <v/>
      </c>
      <c r="B594" s="217">
        <f>'ESCOLA DAS COMUNIDADES SANTO AN'!C12</f>
        <v/>
      </c>
    </row>
    <row r="595" ht="15" customHeight="1" s="107">
      <c r="A595" s="216">
        <f>'ESCOLA DAS COMUNIDADES SANTO AN'!F13</f>
        <v/>
      </c>
      <c r="B595" s="217">
        <f>'ESCOLA DAS COMUNIDADES SANTO AN'!C13</f>
        <v/>
      </c>
    </row>
    <row r="596" ht="15" customHeight="1" s="107">
      <c r="A596" s="216">
        <f>'ESCOLA DAS COMUNIDADES SANTO AN'!F14</f>
        <v/>
      </c>
      <c r="B596" s="217">
        <f>'ESCOLA DAS COMUNIDADES SANTO AN'!C14</f>
        <v/>
      </c>
    </row>
    <row r="597" ht="15" customHeight="1" s="107">
      <c r="A597" s="216">
        <f>'ESCOLA DAS COMUNIDADES SANTO AN'!F15</f>
        <v/>
      </c>
      <c r="B597" s="217">
        <f>'ESCOLA DAS COMUNIDADES SANTO AN'!C15</f>
        <v/>
      </c>
    </row>
    <row r="598" ht="15" customHeight="1" s="107">
      <c r="A598" s="216">
        <f>'ESCOLA DAS COMUNIDADES SANTO AN'!F16</f>
        <v/>
      </c>
      <c r="B598" s="217">
        <f>'ESCOLA DAS COMUNIDADES SANTO AN'!C16</f>
        <v/>
      </c>
    </row>
    <row r="599" ht="15" customHeight="1" s="107">
      <c r="A599" s="216">
        <f>'ESCOLA DAS COMUNIDADES SANTO AN'!F17</f>
        <v/>
      </c>
      <c r="B599" s="217">
        <f>'ESCOLA DAS COMUNIDADES SANTO AN'!C17</f>
        <v/>
      </c>
    </row>
    <row r="600" ht="15" customHeight="1" s="107">
      <c r="A600" s="216">
        <f>'ESCOLA DAS COMUNIDADES SANTO AN'!F18</f>
        <v/>
      </c>
      <c r="B600" s="217">
        <f>'ESCOLA DAS COMUNIDADES SANTO AN'!C18</f>
        <v/>
      </c>
    </row>
    <row r="601" ht="15" customHeight="1" s="107">
      <c r="A601" s="216">
        <f>'ESCOLA DAS COMUNIDADES SANTO AN'!F19</f>
        <v/>
      </c>
      <c r="B601" s="217">
        <f>'ESCOLA DAS COMUNIDADES SANTO AN'!C19</f>
        <v/>
      </c>
    </row>
    <row r="602" ht="15" customHeight="1" s="107">
      <c r="A602" s="216">
        <f>'ESCOLA DAS COMUNIDADES SANTO AN'!F20</f>
        <v/>
      </c>
      <c r="B602" s="217">
        <f>'ESCOLA DAS COMUNIDADES SANTO AN'!C20</f>
        <v/>
      </c>
    </row>
    <row r="603" ht="15" customHeight="1" s="107">
      <c r="A603" s="216">
        <f>'ESCOLA DAS COMUNIDADES SANTO AN'!F21</f>
        <v/>
      </c>
      <c r="B603" s="217">
        <f>'ESCOLA DAS COMUNIDADES SANTO AN'!C21</f>
        <v/>
      </c>
    </row>
    <row r="604" ht="15" customHeight="1" s="107">
      <c r="A604" s="216">
        <f>'ESCOLA DAS COMUNIDADES SANTO AN'!F22</f>
        <v/>
      </c>
      <c r="B604" s="217">
        <f>'ESCOLA DAS COMUNIDADES SANTO AN'!C22</f>
        <v/>
      </c>
    </row>
    <row r="605" ht="15" customHeight="1" s="107">
      <c r="A605" s="216">
        <f>'ESCOLA DAS COMUNIDADES SANTO AN'!F23</f>
        <v/>
      </c>
      <c r="B605" s="217">
        <f>'ESCOLA DAS COMUNIDADES SANTO AN'!C23</f>
        <v/>
      </c>
    </row>
    <row r="606" ht="15" customHeight="1" s="107">
      <c r="A606" s="216">
        <f>'ESCOLA DAS COMUNIDADES SANTO AN'!F24</f>
        <v/>
      </c>
      <c r="B606" s="217">
        <f>'ESCOLA DAS COMUNIDADES SANTO AN'!C24</f>
        <v/>
      </c>
    </row>
    <row r="607" ht="15" customHeight="1" s="107">
      <c r="A607" s="216">
        <f>'ESCOLA DAS COMUNIDADES SANTO AN'!F25</f>
        <v/>
      </c>
      <c r="B607" s="217">
        <f>'ESCOLA DAS COMUNIDADES SANTO AN'!C25</f>
        <v/>
      </c>
    </row>
    <row r="608" ht="15" customHeight="1" s="107">
      <c r="A608" s="216">
        <f>'ESCOLA DAS COMUNIDADES SANTO AN'!F26</f>
        <v/>
      </c>
      <c r="B608" s="217">
        <f>'ESCOLA DAS COMUNIDADES SANTO AN'!C26</f>
        <v/>
      </c>
    </row>
    <row r="609" ht="15" customHeight="1" s="107">
      <c r="A609" s="216">
        <f>'ESCOLA DAS COMUNIDADES SANTO AN'!F27</f>
        <v/>
      </c>
      <c r="B609" s="217">
        <f>'ESCOLA DAS COMUNIDADES SANTO AN'!C27</f>
        <v/>
      </c>
    </row>
    <row r="610" ht="15" customHeight="1" s="107">
      <c r="A610" s="216">
        <f>'CEI PROFª ROSANGELA DA SILVA LE'!F9</f>
        <v/>
      </c>
      <c r="B610" s="217">
        <f>'CEI PROFª ROSANGELA DA SILVA LE'!C9</f>
        <v/>
      </c>
    </row>
    <row r="611" ht="15" customHeight="1" s="107">
      <c r="A611" s="216">
        <f>'CEI PROFª ROSANGELA DA SILVA LE'!F10</f>
        <v/>
      </c>
      <c r="B611" s="217">
        <f>'CEI PROFª ROSANGELA DA SILVA LE'!C10</f>
        <v/>
      </c>
    </row>
    <row r="612" ht="15" customHeight="1" s="107">
      <c r="A612" s="216">
        <f>'CEI PROFª ROSANGELA DA SILVA LE'!F11</f>
        <v/>
      </c>
      <c r="B612" s="217">
        <f>'CEI PROFª ROSANGELA DA SILVA LE'!C11</f>
        <v/>
      </c>
    </row>
    <row r="613" ht="15" customHeight="1" s="107">
      <c r="A613" s="216">
        <f>'CEI PROFª ROSANGELA DA SILVA LE'!F12</f>
        <v/>
      </c>
      <c r="B613" s="217">
        <f>'CEI PROFª ROSANGELA DA SILVA LE'!C12</f>
        <v/>
      </c>
    </row>
    <row r="614" ht="15" customHeight="1" s="107">
      <c r="A614" s="216">
        <f>'CEI PROFª ROSANGELA DA SILVA LE'!F13</f>
        <v/>
      </c>
      <c r="B614" s="217">
        <f>'CEI PROFª ROSANGELA DA SILVA LE'!C13</f>
        <v/>
      </c>
    </row>
    <row r="615" ht="15" customHeight="1" s="107">
      <c r="A615" s="216">
        <f>'CEI PROFª ROSANGELA DA SILVA LE'!F14</f>
        <v/>
      </c>
      <c r="B615" s="217">
        <f>'CEI PROFª ROSANGELA DA SILVA LE'!C14</f>
        <v/>
      </c>
    </row>
    <row r="616" ht="15" customHeight="1" s="107">
      <c r="A616" s="216">
        <f>'CEI PROFª ROSANGELA DA SILVA LE'!F15</f>
        <v/>
      </c>
      <c r="B616" s="217">
        <f>'CEI PROFª ROSANGELA DA SILVA LE'!C15</f>
        <v/>
      </c>
    </row>
    <row r="617" ht="15" customHeight="1" s="107">
      <c r="A617" s="216">
        <f>'CEI PROFª ROSANGELA DA SILVA LE'!F16</f>
        <v/>
      </c>
      <c r="B617" s="217">
        <f>'CEI PROFª ROSANGELA DA SILVA LE'!C16</f>
        <v/>
      </c>
    </row>
    <row r="618" ht="15" customHeight="1" s="107">
      <c r="A618" s="216">
        <f>'CEI PROFª ROSANGELA DA SILVA LE'!F17</f>
        <v/>
      </c>
      <c r="B618" s="217">
        <f>'CEI PROFª ROSANGELA DA SILVA LE'!C17</f>
        <v/>
      </c>
    </row>
    <row r="619" ht="15" customHeight="1" s="107">
      <c r="A619" s="216">
        <f>'CEI PROFª ROSANGELA DA SILVA LE'!F18</f>
        <v/>
      </c>
      <c r="B619" s="217">
        <f>'CEI PROFª ROSANGELA DA SILVA LE'!C18</f>
        <v/>
      </c>
    </row>
    <row r="620" ht="15" customHeight="1" s="107">
      <c r="A620" s="216">
        <f>'CEI PROFª ROSANGELA DA SILVA LE'!F19</f>
        <v/>
      </c>
      <c r="B620" s="217">
        <f>'CEI PROFª ROSANGELA DA SILVA LE'!C19</f>
        <v/>
      </c>
    </row>
    <row r="621" ht="15" customHeight="1" s="107">
      <c r="A621" s="216">
        <f>'CEI PROFª ROSANGELA DA SILVA LE'!F20</f>
        <v/>
      </c>
      <c r="B621" s="217">
        <f>'CEI PROFª ROSANGELA DA SILVA LE'!C20</f>
        <v/>
      </c>
    </row>
    <row r="622" ht="15" customHeight="1" s="107">
      <c r="A622" s="216">
        <f>'CEI PROFª ROSANGELA DA SILVA LE'!F21</f>
        <v/>
      </c>
      <c r="B622" s="217">
        <f>'CEI PROFª ROSANGELA DA SILVA LE'!C21</f>
        <v/>
      </c>
    </row>
    <row r="623" ht="15" customHeight="1" s="107">
      <c r="A623" s="216">
        <f>'CEI PROFª ROSANGELA DA SILVA LE'!F22</f>
        <v/>
      </c>
      <c r="B623" s="217">
        <f>'CEI PROFª ROSANGELA DA SILVA LE'!C22</f>
        <v/>
      </c>
    </row>
    <row r="624" ht="15" customHeight="1" s="107">
      <c r="A624" s="216">
        <f>'CEI PROFª ROSANGELA DA SILVA LE'!F23</f>
        <v/>
      </c>
      <c r="B624" s="217">
        <f>'CEI PROFª ROSANGELA DA SILVA LE'!C23</f>
        <v/>
      </c>
    </row>
    <row r="625" ht="15" customHeight="1" s="107">
      <c r="A625" s="216">
        <f>'CEI PROFª ROSANGELA DA SILVA LE'!F24</f>
        <v/>
      </c>
      <c r="B625" s="217">
        <f>'CEI PROFª ROSANGELA DA SILVA LE'!C24</f>
        <v/>
      </c>
    </row>
    <row r="626" ht="15" customHeight="1" s="107">
      <c r="A626" s="216">
        <f>'CEI PROFª ROSANGELA DA SILVA LE'!F25</f>
        <v/>
      </c>
      <c r="B626" s="217">
        <f>'CEI PROFª ROSANGELA DA SILVA LE'!C25</f>
        <v/>
      </c>
    </row>
    <row r="627" ht="15" customHeight="1" s="107">
      <c r="A627" s="216">
        <f>'CEI PROFª ROSANGELA DA SILVA LE'!F26</f>
        <v/>
      </c>
      <c r="B627" s="217">
        <f>'CEI PROFª ROSANGELA DA SILVA LE'!C26</f>
        <v/>
      </c>
    </row>
    <row r="628" ht="15" customHeight="1" s="107">
      <c r="A628" s="216">
        <f>'CEI PROFª ROSANGELA DA SILVA LE'!F27</f>
        <v/>
      </c>
      <c r="B628" s="217">
        <f>'CEI PROFª ROSANGELA DA SILVA LE'!C27</f>
        <v/>
      </c>
    </row>
    <row r="629" ht="15" customHeight="1" s="107">
      <c r="A629" s="216">
        <f>'CEI DEISE ELOY GOMES'!F9</f>
        <v/>
      </c>
      <c r="B629" s="217">
        <f>'CEI DEISE ELOY GOMES'!C9</f>
        <v/>
      </c>
    </row>
    <row r="630" ht="15" customHeight="1" s="107">
      <c r="A630" s="216">
        <f>'CEI DEISE ELOY GOMES'!F10</f>
        <v/>
      </c>
      <c r="B630" s="217">
        <f>'CEI DEISE ELOY GOMES'!C10</f>
        <v/>
      </c>
    </row>
    <row r="631" ht="15" customHeight="1" s="107">
      <c r="A631" s="216">
        <f>'CEI DEISE ELOY GOMES'!F11</f>
        <v/>
      </c>
      <c r="B631" s="217">
        <f>'CEI DEISE ELOY GOMES'!C11</f>
        <v/>
      </c>
    </row>
    <row r="632" ht="15" customHeight="1" s="107">
      <c r="A632" s="216">
        <f>'CEI DEISE ELOY GOMES'!F12</f>
        <v/>
      </c>
      <c r="B632" s="217">
        <f>'CEI DEISE ELOY GOMES'!C12</f>
        <v/>
      </c>
    </row>
    <row r="633" ht="15" customHeight="1" s="107">
      <c r="A633" s="216">
        <f>'CEI DEISE ELOY GOMES'!F13</f>
        <v/>
      </c>
      <c r="B633" s="217">
        <f>'CEI DEISE ELOY GOMES'!C13</f>
        <v/>
      </c>
    </row>
    <row r="634" ht="15" customHeight="1" s="107">
      <c r="A634" s="216">
        <f>'CEI DEISE ELOY GOMES'!F14</f>
        <v/>
      </c>
      <c r="B634" s="217">
        <f>'CEI DEISE ELOY GOMES'!C14</f>
        <v/>
      </c>
    </row>
    <row r="635" ht="15" customHeight="1" s="107">
      <c r="A635" s="216">
        <f>'CEI DEISE ELOY GOMES'!F15</f>
        <v/>
      </c>
      <c r="B635" s="217">
        <f>'CEI DEISE ELOY GOMES'!C15</f>
        <v/>
      </c>
    </row>
    <row r="636" ht="15" customHeight="1" s="107">
      <c r="A636" s="216">
        <f>'CEI DEISE ELOY GOMES'!F16</f>
        <v/>
      </c>
      <c r="B636" s="217">
        <f>'CEI DEISE ELOY GOMES'!C16</f>
        <v/>
      </c>
    </row>
    <row r="637" ht="15" customHeight="1" s="107">
      <c r="A637" s="216">
        <f>'CEI DEISE ELOY GOMES'!F17</f>
        <v/>
      </c>
      <c r="B637" s="217">
        <f>'CEI DEISE ELOY GOMES'!C17</f>
        <v/>
      </c>
    </row>
    <row r="638" ht="15" customHeight="1" s="107">
      <c r="A638" s="216">
        <f>'CEI DEISE ELOY GOMES'!F18</f>
        <v/>
      </c>
      <c r="B638" s="217">
        <f>'CEI DEISE ELOY GOMES'!C18</f>
        <v/>
      </c>
    </row>
    <row r="639" ht="15" customHeight="1" s="107">
      <c r="A639" s="216">
        <f>'CEI DEISE ELOY GOMES'!F19</f>
        <v/>
      </c>
      <c r="B639" s="217">
        <f>'CEI DEISE ELOY GOMES'!C19</f>
        <v/>
      </c>
    </row>
    <row r="640" ht="15" customHeight="1" s="107">
      <c r="A640" s="216">
        <f>'CEI DEISE ELOY GOMES'!F20</f>
        <v/>
      </c>
      <c r="B640" s="217">
        <f>'CEI DEISE ELOY GOMES'!C20</f>
        <v/>
      </c>
    </row>
    <row r="641" ht="15" customHeight="1" s="107">
      <c r="A641" s="216">
        <f>'CEI DEISE ELOY GOMES'!F21</f>
        <v/>
      </c>
      <c r="B641" s="217">
        <f>'CEI DEISE ELOY GOMES'!C21</f>
        <v/>
      </c>
    </row>
    <row r="642" ht="15" customHeight="1" s="107">
      <c r="A642" s="216">
        <f>'CEI DEISE ELOY GOMES'!F22</f>
        <v/>
      </c>
      <c r="B642" s="217">
        <f>'CEI DEISE ELOY GOMES'!C22</f>
        <v/>
      </c>
    </row>
    <row r="643" ht="15" customHeight="1" s="107">
      <c r="A643" s="216">
        <f>'CEI DEISE ELOY GOMES'!F23</f>
        <v/>
      </c>
      <c r="B643" s="217">
        <f>'CEI DEISE ELOY GOMES'!C23</f>
        <v/>
      </c>
    </row>
    <row r="644" ht="15" customHeight="1" s="107">
      <c r="A644" s="216">
        <f>'CEI DEISE ELOY GOMES'!F24</f>
        <v/>
      </c>
      <c r="B644" s="217">
        <f>'CEI DEISE ELOY GOMES'!C24</f>
        <v/>
      </c>
    </row>
    <row r="645" ht="15" customHeight="1" s="107">
      <c r="A645" s="216">
        <f>'CEI DEISE ELOY GOMES'!F25</f>
        <v/>
      </c>
      <c r="B645" s="217">
        <f>'CEI DEISE ELOY GOMES'!C25</f>
        <v/>
      </c>
    </row>
    <row r="646" ht="15" customHeight="1" s="107">
      <c r="A646" s="216">
        <f>'CEI DEISE ELOY GOMES'!F26</f>
        <v/>
      </c>
      <c r="B646" s="217">
        <f>'CEI DEISE ELOY GOMES'!C26</f>
        <v/>
      </c>
    </row>
    <row r="647" ht="15" customHeight="1" s="107">
      <c r="A647" s="216">
        <f>'CEI DEISE ELOY GOMES'!F27</f>
        <v/>
      </c>
      <c r="B647" s="217">
        <f>'CEI DEISE ELOY GOMES'!C27</f>
        <v/>
      </c>
    </row>
    <row r="648" ht="15" customHeight="1" s="107">
      <c r="A648" s="216">
        <f>'CEI PROFª SONIA REGINA SCUDESE '!F9</f>
        <v/>
      </c>
      <c r="B648" s="217">
        <f>'CEI PROFª SONIA REGINA SCUDESE '!C9</f>
        <v/>
      </c>
    </row>
    <row r="649" ht="15" customHeight="1" s="107">
      <c r="A649" s="216">
        <f>'CEI PROFª SONIA REGINA SCUDESE '!F10</f>
        <v/>
      </c>
      <c r="B649" s="217">
        <f>'CEI PROFª SONIA REGINA SCUDESE '!C10</f>
        <v/>
      </c>
    </row>
    <row r="650" ht="15" customHeight="1" s="107">
      <c r="A650" s="216">
        <f>'CEI PROFª SONIA REGINA SCUDESE '!F11</f>
        <v/>
      </c>
      <c r="B650" s="217">
        <f>'CEI PROFª SONIA REGINA SCUDESE '!C11</f>
        <v/>
      </c>
    </row>
    <row r="651" ht="15" customHeight="1" s="107">
      <c r="A651" s="216">
        <f>'CEI PROFª SONIA REGINA SCUDESE '!F12</f>
        <v/>
      </c>
      <c r="B651" s="217">
        <f>'CEI PROFª SONIA REGINA SCUDESE '!C12</f>
        <v/>
      </c>
    </row>
    <row r="652" ht="15" customHeight="1" s="107">
      <c r="A652" s="216">
        <f>'CEI PROFª SONIA REGINA SCUDESE '!F13</f>
        <v/>
      </c>
      <c r="B652" s="217">
        <f>'CEI PROFª SONIA REGINA SCUDESE '!C13</f>
        <v/>
      </c>
    </row>
    <row r="653" ht="15" customHeight="1" s="107">
      <c r="A653" s="216">
        <f>'CEI PROFª SONIA REGINA SCUDESE '!F14</f>
        <v/>
      </c>
      <c r="B653" s="217">
        <f>'CEI PROFª SONIA REGINA SCUDESE '!C14</f>
        <v/>
      </c>
    </row>
    <row r="654" ht="15" customHeight="1" s="107">
      <c r="A654" s="216">
        <f>'CEI PROFª SONIA REGINA SCUDESE '!F15</f>
        <v/>
      </c>
      <c r="B654" s="217">
        <f>'CEI PROFª SONIA REGINA SCUDESE '!C15</f>
        <v/>
      </c>
    </row>
    <row r="655" ht="15" customHeight="1" s="107">
      <c r="A655" s="216">
        <f>'CEI PROFª SONIA REGINA SCUDESE '!F16</f>
        <v/>
      </c>
      <c r="B655" s="217">
        <f>'CEI PROFª SONIA REGINA SCUDESE '!C16</f>
        <v/>
      </c>
    </row>
    <row r="656" ht="15" customHeight="1" s="107">
      <c r="A656" s="216">
        <f>'CEI PROFª SONIA REGINA SCUDESE '!F17</f>
        <v/>
      </c>
      <c r="B656" s="217">
        <f>'CEI PROFª SONIA REGINA SCUDESE '!C17</f>
        <v/>
      </c>
    </row>
    <row r="657" ht="15" customHeight="1" s="107">
      <c r="A657" s="216">
        <f>'CEI PROFª SONIA REGINA SCUDESE '!F18</f>
        <v/>
      </c>
      <c r="B657" s="217">
        <f>'CEI PROFª SONIA REGINA SCUDESE '!C18</f>
        <v/>
      </c>
    </row>
    <row r="658" ht="15" customHeight="1" s="107">
      <c r="A658" s="216">
        <f>'CEI PROFª SONIA REGINA SCUDESE '!F19</f>
        <v/>
      </c>
      <c r="B658" s="217">
        <f>'CEI PROFª SONIA REGINA SCUDESE '!C19</f>
        <v/>
      </c>
    </row>
    <row r="659" ht="15" customHeight="1" s="107">
      <c r="A659" s="216">
        <f>'CEI PROFª SONIA REGINA SCUDESE '!F20</f>
        <v/>
      </c>
      <c r="B659" s="217">
        <f>'CEI PROFª SONIA REGINA SCUDESE '!C20</f>
        <v/>
      </c>
    </row>
    <row r="660" ht="15" customHeight="1" s="107">
      <c r="A660" s="216">
        <f>'CEI PROFª SONIA REGINA SCUDESE '!F21</f>
        <v/>
      </c>
      <c r="B660" s="217">
        <f>'CEI PROFª SONIA REGINA SCUDESE '!C21</f>
        <v/>
      </c>
    </row>
    <row r="661" ht="15" customHeight="1" s="107">
      <c r="A661" s="216">
        <f>'CEI PROFª SONIA REGINA SCUDESE '!F22</f>
        <v/>
      </c>
      <c r="B661" s="217">
        <f>'CEI PROFª SONIA REGINA SCUDESE '!C22</f>
        <v/>
      </c>
    </row>
    <row r="662" ht="15" customHeight="1" s="107">
      <c r="A662" s="216">
        <f>'CEI PROFª SONIA REGINA SCUDESE '!F23</f>
        <v/>
      </c>
      <c r="B662" s="217">
        <f>'CEI PROFª SONIA REGINA SCUDESE '!C23</f>
        <v/>
      </c>
    </row>
    <row r="663" ht="15" customHeight="1" s="107">
      <c r="A663" s="216">
        <f>'CEI PROFª SONIA REGINA SCUDESE '!F24</f>
        <v/>
      </c>
      <c r="B663" s="217">
        <f>'CEI PROFª SONIA REGINA SCUDESE '!C24</f>
        <v/>
      </c>
    </row>
    <row r="664" ht="15" customHeight="1" s="107">
      <c r="A664" s="216">
        <f>'CEI PROFª SONIA REGINA SCUDESE '!F25</f>
        <v/>
      </c>
      <c r="B664" s="217">
        <f>'CEI PROFª SONIA REGINA SCUDESE '!C25</f>
        <v/>
      </c>
    </row>
    <row r="665" ht="15" customHeight="1" s="107">
      <c r="A665" s="216">
        <f>'CEI PROFª SONIA REGINA SCUDESE '!F26</f>
        <v/>
      </c>
      <c r="B665" s="217">
        <f>'CEI PROFª SONIA REGINA SCUDESE '!C26</f>
        <v/>
      </c>
    </row>
    <row r="666" ht="15" customHeight="1" s="107">
      <c r="A666" s="216">
        <f>'CEI PROFª SONIA REGINA SCUDESE '!F27</f>
        <v/>
      </c>
      <c r="B666" s="217">
        <f>'CEI PROFª SONIA REGINA SCUDESE '!C27</f>
        <v/>
      </c>
    </row>
    <row r="667" ht="15" customHeight="1" s="107">
      <c r="A667" s="216">
        <f>'CEI TIA ALICE'!F9</f>
        <v/>
      </c>
      <c r="B667" s="217">
        <f>'CEI TIA ALICE'!C9</f>
        <v/>
      </c>
    </row>
    <row r="668" ht="15" customHeight="1" s="107">
      <c r="A668" s="216">
        <f>'CEI TIA ALICE'!F10</f>
        <v/>
      </c>
      <c r="B668" s="217">
        <f>'CEI TIA ALICE'!C10</f>
        <v/>
      </c>
    </row>
    <row r="669" ht="15" customHeight="1" s="107">
      <c r="A669" s="216">
        <f>'CEI TIA ALICE'!F11</f>
        <v/>
      </c>
      <c r="B669" s="217">
        <f>'CEI TIA ALICE'!C11</f>
        <v/>
      </c>
    </row>
    <row r="670" ht="15" customHeight="1" s="107">
      <c r="A670" s="216">
        <f>'CEI TIA ALICE'!F12</f>
        <v/>
      </c>
      <c r="B670" s="217">
        <f>'CEI TIA ALICE'!C12</f>
        <v/>
      </c>
    </row>
    <row r="671" ht="15" customHeight="1" s="107">
      <c r="A671" s="216">
        <f>'CEI TIA ALICE'!F13</f>
        <v/>
      </c>
      <c r="B671" s="217">
        <f>'CEI TIA ALICE'!C13</f>
        <v/>
      </c>
    </row>
    <row r="672" ht="15" customHeight="1" s="107">
      <c r="A672" s="216">
        <f>'CEI TIA ALICE'!F14</f>
        <v/>
      </c>
      <c r="B672" s="217">
        <f>'CEI TIA ALICE'!C14</f>
        <v/>
      </c>
    </row>
    <row r="673" ht="15" customHeight="1" s="107">
      <c r="A673" s="216">
        <f>'CEI TIA ALICE'!F15</f>
        <v/>
      </c>
      <c r="B673" s="217">
        <f>'CEI TIA ALICE'!C15</f>
        <v/>
      </c>
    </row>
    <row r="674" ht="15" customHeight="1" s="107">
      <c r="A674" s="216">
        <f>'CEI TIA ALICE'!F16</f>
        <v/>
      </c>
      <c r="B674" s="217">
        <f>'CEI TIA ALICE'!C16</f>
        <v/>
      </c>
    </row>
    <row r="675" ht="15" customHeight="1" s="107">
      <c r="A675" s="216">
        <f>'CEI TIA ALICE'!F17</f>
        <v/>
      </c>
      <c r="B675" s="217">
        <f>'CEI TIA ALICE'!C17</f>
        <v/>
      </c>
    </row>
    <row r="676" ht="15" customHeight="1" s="107">
      <c r="A676" s="216">
        <f>'CEI TIA ALICE'!F18</f>
        <v/>
      </c>
      <c r="B676" s="217">
        <f>'CEI TIA ALICE'!C18</f>
        <v/>
      </c>
    </row>
    <row r="677" ht="15" customHeight="1" s="107">
      <c r="A677" s="216">
        <f>'CEI TIA ALICE'!F19</f>
        <v/>
      </c>
      <c r="B677" s="217">
        <f>'CEI TIA ALICE'!C19</f>
        <v/>
      </c>
    </row>
    <row r="678" ht="15" customHeight="1" s="107">
      <c r="A678" s="216">
        <f>'CEI TIA ALICE'!F20</f>
        <v/>
      </c>
      <c r="B678" s="217">
        <f>'CEI TIA ALICE'!C20</f>
        <v/>
      </c>
    </row>
    <row r="679" ht="15" customHeight="1" s="107">
      <c r="A679" s="216">
        <f>'CEI TIA ALICE'!F21</f>
        <v/>
      </c>
      <c r="B679" s="217">
        <f>'CEI TIA ALICE'!C21</f>
        <v/>
      </c>
    </row>
    <row r="680" ht="15" customHeight="1" s="107">
      <c r="A680" s="216">
        <f>'CEI TIA ALICE'!F22</f>
        <v/>
      </c>
      <c r="B680" s="217">
        <f>'CEI TIA ALICE'!C22</f>
        <v/>
      </c>
    </row>
    <row r="681" ht="15" customHeight="1" s="107">
      <c r="A681" s="216">
        <f>'CEI TIA ALICE'!F23</f>
        <v/>
      </c>
      <c r="B681" s="217">
        <f>'CEI TIA ALICE'!C23</f>
        <v/>
      </c>
    </row>
    <row r="682" ht="15" customHeight="1" s="107">
      <c r="A682" s="216">
        <f>'CEI TIA ALICE'!F24</f>
        <v/>
      </c>
      <c r="B682" s="217">
        <f>'CEI TIA ALICE'!C24</f>
        <v/>
      </c>
    </row>
    <row r="683" ht="15" customHeight="1" s="107">
      <c r="A683" s="216">
        <f>'CEI TIA ALICE'!F25</f>
        <v/>
      </c>
      <c r="B683" s="217">
        <f>'CEI TIA ALICE'!C25</f>
        <v/>
      </c>
    </row>
    <row r="684" ht="15" customHeight="1" s="107">
      <c r="A684" s="216">
        <f>'CEI TIA ALICE'!F26</f>
        <v/>
      </c>
      <c r="B684" s="217">
        <f>'CEI TIA ALICE'!C26</f>
        <v/>
      </c>
    </row>
    <row r="685" ht="15" customHeight="1" s="107">
      <c r="A685" s="216">
        <f>'CEI TIA ALICE'!F27</f>
        <v/>
      </c>
      <c r="B685" s="217">
        <f>'CEI TIA ALICE'!C27</f>
        <v/>
      </c>
    </row>
    <row r="686" ht="15" customHeight="1" s="107">
      <c r="A686" s="216">
        <f>'E M BATAILLARD'!F9</f>
        <v/>
      </c>
      <c r="B686" s="217">
        <f>'E M BATAILLARD'!C9</f>
        <v/>
      </c>
    </row>
    <row r="687" ht="15" customHeight="1" s="107">
      <c r="A687" s="216">
        <f>'E M BATAILLARD'!F10</f>
        <v/>
      </c>
      <c r="B687" s="217">
        <f>'E M BATAILLARD'!C10</f>
        <v/>
      </c>
    </row>
    <row r="688" ht="15" customHeight="1" s="107">
      <c r="A688" s="216">
        <f>'E M BATAILLARD'!F11</f>
        <v/>
      </c>
      <c r="B688" s="217">
        <f>'E M BATAILLARD'!C11</f>
        <v/>
      </c>
    </row>
    <row r="689" ht="15" customHeight="1" s="107">
      <c r="A689" s="216">
        <f>'E M BATAILLARD'!F12</f>
        <v/>
      </c>
      <c r="B689" s="217">
        <f>'E M BATAILLARD'!C12</f>
        <v/>
      </c>
    </row>
    <row r="690" ht="15" customHeight="1" s="107">
      <c r="A690" s="216">
        <f>'E M BATAILLARD'!F13</f>
        <v/>
      </c>
      <c r="B690" s="217">
        <f>'E M BATAILLARD'!C13</f>
        <v/>
      </c>
    </row>
    <row r="691" ht="15" customHeight="1" s="107">
      <c r="A691" s="216">
        <f>'E M BATAILLARD'!F14</f>
        <v/>
      </c>
      <c r="B691" s="217">
        <f>'E M BATAILLARD'!C14</f>
        <v/>
      </c>
    </row>
    <row r="692" ht="15" customHeight="1" s="107">
      <c r="A692" s="216">
        <f>'E M BATAILLARD'!F15</f>
        <v/>
      </c>
      <c r="B692" s="217">
        <f>'E M BATAILLARD'!C15</f>
        <v/>
      </c>
    </row>
    <row r="693" ht="15" customHeight="1" s="107">
      <c r="A693" s="216">
        <f>'E M BATAILLARD'!F16</f>
        <v/>
      </c>
      <c r="B693" s="217">
        <f>'E M BATAILLARD'!C16</f>
        <v/>
      </c>
    </row>
    <row r="694" ht="15" customHeight="1" s="107">
      <c r="A694" s="216">
        <f>'E M BATAILLARD'!F17</f>
        <v/>
      </c>
      <c r="B694" s="217">
        <f>'E M BATAILLARD'!C17</f>
        <v/>
      </c>
    </row>
    <row r="695" ht="15" customHeight="1" s="107">
      <c r="A695" s="216">
        <f>'E M BATAILLARD'!F18</f>
        <v/>
      </c>
      <c r="B695" s="217">
        <f>'E M BATAILLARD'!C18</f>
        <v/>
      </c>
    </row>
    <row r="696" ht="15" customHeight="1" s="107">
      <c r="A696" s="216">
        <f>'E M BATAILLARD'!F19</f>
        <v/>
      </c>
      <c r="B696" s="217">
        <f>'E M BATAILLARD'!C19</f>
        <v/>
      </c>
    </row>
    <row r="697" ht="15" customHeight="1" s="107">
      <c r="A697" s="216">
        <f>'E M BATAILLARD'!F20</f>
        <v/>
      </c>
      <c r="B697" s="217">
        <f>'E M BATAILLARD'!C20</f>
        <v/>
      </c>
    </row>
    <row r="698" ht="15" customHeight="1" s="107">
      <c r="A698" s="216">
        <f>'E M BATAILLARD'!F21</f>
        <v/>
      </c>
      <c r="B698" s="217">
        <f>'E M BATAILLARD'!C21</f>
        <v/>
      </c>
    </row>
    <row r="699" ht="15" customHeight="1" s="107">
      <c r="A699" s="216">
        <f>'E M BATAILLARD'!F22</f>
        <v/>
      </c>
      <c r="B699" s="217">
        <f>'E M BATAILLARD'!C22</f>
        <v/>
      </c>
    </row>
    <row r="700" ht="15" customHeight="1" s="107">
      <c r="A700" s="216">
        <f>'E M BATAILLARD'!F23</f>
        <v/>
      </c>
      <c r="B700" s="217">
        <f>'E M BATAILLARD'!C23</f>
        <v/>
      </c>
    </row>
    <row r="701" ht="15" customHeight="1" s="107">
      <c r="A701" s="216">
        <f>'E M BATAILLARD'!F24</f>
        <v/>
      </c>
      <c r="B701" s="217">
        <f>'E M BATAILLARD'!C24</f>
        <v/>
      </c>
    </row>
    <row r="702" ht="15" customHeight="1" s="107">
      <c r="A702" s="216">
        <f>'E M BATAILLARD'!F25</f>
        <v/>
      </c>
      <c r="B702" s="217">
        <f>'E M BATAILLARD'!C25</f>
        <v/>
      </c>
    </row>
    <row r="703" ht="15" customHeight="1" s="107">
      <c r="A703" s="216">
        <f>'E M BATAILLARD'!F26</f>
        <v/>
      </c>
      <c r="B703" s="217">
        <f>'E M BATAILLARD'!C26</f>
        <v/>
      </c>
    </row>
    <row r="704" ht="15" customHeight="1" s="107">
      <c r="A704" s="216">
        <f>'E M BATAILLARD'!F27</f>
        <v/>
      </c>
      <c r="B704" s="217">
        <f>'E M BATAILLARD'!C27</f>
        <v/>
      </c>
    </row>
    <row r="705" ht="15" customHeight="1" s="107">
      <c r="A705" s="216">
        <f>'E M SOROPTIMISTA'!F9</f>
        <v/>
      </c>
      <c r="B705" s="217">
        <f>'E M SOROPTIMISTA'!C9</f>
        <v/>
      </c>
    </row>
    <row r="706" ht="15" customHeight="1" s="107">
      <c r="A706" s="216">
        <f>'E M SOROPTIMISTA'!F10</f>
        <v/>
      </c>
      <c r="B706" s="217">
        <f>'E M SOROPTIMISTA'!C10</f>
        <v/>
      </c>
    </row>
    <row r="707" ht="15" customHeight="1" s="107">
      <c r="A707" s="216">
        <f>'E M SOROPTIMISTA'!F11</f>
        <v/>
      </c>
      <c r="B707" s="217">
        <f>'E M SOROPTIMISTA'!C11</f>
        <v/>
      </c>
    </row>
    <row r="708" ht="15" customHeight="1" s="107">
      <c r="A708" s="216">
        <f>'E M SOROPTIMISTA'!F12</f>
        <v/>
      </c>
      <c r="B708" s="217">
        <f>'E M SOROPTIMISTA'!C12</f>
        <v/>
      </c>
    </row>
    <row r="709" ht="15" customHeight="1" s="107">
      <c r="A709" s="216">
        <f>'E M SOROPTIMISTA'!F13</f>
        <v/>
      </c>
      <c r="B709" s="217">
        <f>'E M SOROPTIMISTA'!C13</f>
        <v/>
      </c>
    </row>
    <row r="710" ht="15" customHeight="1" s="107">
      <c r="A710" s="216">
        <f>'E M SOROPTIMISTA'!F14</f>
        <v/>
      </c>
      <c r="B710" s="217">
        <f>'E M SOROPTIMISTA'!C14</f>
        <v/>
      </c>
    </row>
    <row r="711" ht="15" customHeight="1" s="107">
      <c r="A711" s="216">
        <f>'E M SOROPTIMISTA'!F15</f>
        <v/>
      </c>
      <c r="B711" s="217">
        <f>'E M SOROPTIMISTA'!C15</f>
        <v/>
      </c>
    </row>
    <row r="712" ht="15" customHeight="1" s="107">
      <c r="A712" s="216">
        <f>'E M SOROPTIMISTA'!F16</f>
        <v/>
      </c>
      <c r="B712" s="217">
        <f>'E M SOROPTIMISTA'!C16</f>
        <v/>
      </c>
    </row>
    <row r="713" ht="15" customHeight="1" s="107">
      <c r="A713" s="216">
        <f>'E M SOROPTIMISTA'!F17</f>
        <v/>
      </c>
      <c r="B713" s="217">
        <f>'E M SOROPTIMISTA'!C17</f>
        <v/>
      </c>
    </row>
    <row r="714" ht="15" customHeight="1" s="107">
      <c r="A714" s="216">
        <f>'E M SOROPTIMISTA'!F18</f>
        <v/>
      </c>
      <c r="B714" s="217">
        <f>'E M SOROPTIMISTA'!C18</f>
        <v/>
      </c>
    </row>
    <row r="715" ht="15" customHeight="1" s="107">
      <c r="A715" s="216">
        <f>'E M SOROPTIMISTA'!F19</f>
        <v/>
      </c>
      <c r="B715" s="217">
        <f>'E M SOROPTIMISTA'!C19</f>
        <v/>
      </c>
    </row>
    <row r="716" ht="15" customHeight="1" s="107">
      <c r="A716" s="216">
        <f>'E M SOROPTIMISTA'!F20</f>
        <v/>
      </c>
      <c r="B716" s="217">
        <f>'E M SOROPTIMISTA'!C20</f>
        <v/>
      </c>
    </row>
    <row r="717" ht="15" customHeight="1" s="107">
      <c r="A717" s="216">
        <f>'E M SOROPTIMISTA'!F21</f>
        <v/>
      </c>
      <c r="B717" s="217">
        <f>'E M SOROPTIMISTA'!C21</f>
        <v/>
      </c>
    </row>
    <row r="718" ht="15" customHeight="1" s="107">
      <c r="A718" s="216">
        <f>'E M SOROPTIMISTA'!F22</f>
        <v/>
      </c>
      <c r="B718" s="217">
        <f>'E M SOROPTIMISTA'!C22</f>
        <v/>
      </c>
    </row>
    <row r="719" ht="15" customHeight="1" s="107">
      <c r="A719" s="216">
        <f>'E M SOROPTIMISTA'!F23</f>
        <v/>
      </c>
      <c r="B719" s="217">
        <f>'E M SOROPTIMISTA'!C23</f>
        <v/>
      </c>
    </row>
    <row r="720" ht="15" customHeight="1" s="107">
      <c r="A720" s="216">
        <f>'E M SOROPTIMISTA'!F24</f>
        <v/>
      </c>
      <c r="B720" s="217">
        <f>'E M SOROPTIMISTA'!C24</f>
        <v/>
      </c>
    </row>
    <row r="721" ht="15" customHeight="1" s="107">
      <c r="A721" s="216">
        <f>'E M SOROPTIMISTA'!F25</f>
        <v/>
      </c>
      <c r="B721" s="217">
        <f>'E M SOROPTIMISTA'!C25</f>
        <v/>
      </c>
    </row>
    <row r="722" ht="15" customHeight="1" s="107">
      <c r="A722" s="216">
        <f>'E M SOROPTIMISTA'!F26</f>
        <v/>
      </c>
      <c r="B722" s="217">
        <f>'E M SOROPTIMISTA'!C26</f>
        <v/>
      </c>
    </row>
    <row r="723" ht="15" customHeight="1" s="107">
      <c r="A723" s="216">
        <f>'E M SOROPTIMISTA'!F27</f>
        <v/>
      </c>
      <c r="B723" s="217">
        <f>'E M SOROPTIMISTA'!C27</f>
        <v/>
      </c>
    </row>
    <row r="724" ht="15" customHeight="1" s="107">
      <c r="A724" s="216">
        <f>'E M SALVADOR KLING'!F9</f>
        <v/>
      </c>
      <c r="B724" s="217">
        <f>'E M SALVADOR KLING'!C9</f>
        <v/>
      </c>
    </row>
    <row r="725" ht="15" customHeight="1" s="107">
      <c r="A725" s="216">
        <f>'E M SALVADOR KLING'!F10</f>
        <v/>
      </c>
      <c r="B725" s="217">
        <f>'E M SALVADOR KLING'!C10</f>
        <v/>
      </c>
    </row>
    <row r="726" ht="15" customHeight="1" s="107">
      <c r="A726" s="216">
        <f>'E M SALVADOR KLING'!F11</f>
        <v/>
      </c>
      <c r="B726" s="217">
        <f>'E M SALVADOR KLING'!C11</f>
        <v/>
      </c>
    </row>
    <row r="727" ht="15" customHeight="1" s="107">
      <c r="A727" s="216">
        <f>'E M SALVADOR KLING'!F12</f>
        <v/>
      </c>
      <c r="B727" s="217">
        <f>'E M SALVADOR KLING'!C12</f>
        <v/>
      </c>
    </row>
    <row r="728" ht="15" customHeight="1" s="107">
      <c r="A728" s="216">
        <f>'E M SALVADOR KLING'!F13</f>
        <v/>
      </c>
      <c r="B728" s="217">
        <f>'E M SALVADOR KLING'!C13</f>
        <v/>
      </c>
    </row>
    <row r="729" ht="15" customHeight="1" s="107">
      <c r="A729" s="216">
        <f>'E M SALVADOR KLING'!F14</f>
        <v/>
      </c>
      <c r="B729" s="217">
        <f>'E M SALVADOR KLING'!C14</f>
        <v/>
      </c>
    </row>
    <row r="730" ht="15" customHeight="1" s="107">
      <c r="A730" s="216">
        <f>'E M SALVADOR KLING'!F15</f>
        <v/>
      </c>
      <c r="B730" s="217">
        <f>'E M SALVADOR KLING'!C15</f>
        <v/>
      </c>
    </row>
    <row r="731" ht="15" customHeight="1" s="107">
      <c r="A731" s="216">
        <f>'E M SALVADOR KLING'!F16</f>
        <v/>
      </c>
      <c r="B731" s="217">
        <f>'E M SALVADOR KLING'!C16</f>
        <v/>
      </c>
    </row>
    <row r="732" ht="15" customHeight="1" s="107">
      <c r="A732" s="216">
        <f>'E M SALVADOR KLING'!F17</f>
        <v/>
      </c>
      <c r="B732" s="217">
        <f>'E M SALVADOR KLING'!C17</f>
        <v/>
      </c>
    </row>
    <row r="733" ht="15" customHeight="1" s="107">
      <c r="A733" s="216">
        <f>'E M SALVADOR KLING'!F18</f>
        <v/>
      </c>
      <c r="B733" s="217">
        <f>'E M SALVADOR KLING'!C18</f>
        <v/>
      </c>
    </row>
    <row r="734" ht="15" customHeight="1" s="107">
      <c r="A734" s="216">
        <f>'E M SALVADOR KLING'!F19</f>
        <v/>
      </c>
      <c r="B734" s="217">
        <f>'E M SALVADOR KLING'!C19</f>
        <v/>
      </c>
    </row>
    <row r="735" ht="15" customHeight="1" s="107">
      <c r="A735" s="216">
        <f>'E M SALVADOR KLING'!F20</f>
        <v/>
      </c>
      <c r="B735" s="217">
        <f>'E M SALVADOR KLING'!C20</f>
        <v/>
      </c>
    </row>
    <row r="736" ht="15" customHeight="1" s="107">
      <c r="A736" s="216">
        <f>'E M SALVADOR KLING'!F21</f>
        <v/>
      </c>
      <c r="B736" s="217">
        <f>'E M SALVADOR KLING'!C21</f>
        <v/>
      </c>
    </row>
    <row r="737" ht="15" customHeight="1" s="107">
      <c r="A737" s="216">
        <f>'E M SALVADOR KLING'!F22</f>
        <v/>
      </c>
      <c r="B737" s="217">
        <f>'E M SALVADOR KLING'!C22</f>
        <v/>
      </c>
    </row>
    <row r="738" ht="15" customHeight="1" s="107">
      <c r="A738" s="216">
        <f>'E M SALVADOR KLING'!F23</f>
        <v/>
      </c>
      <c r="B738" s="217">
        <f>'E M SALVADOR KLING'!C23</f>
        <v/>
      </c>
    </row>
    <row r="739" ht="15" customHeight="1" s="107">
      <c r="A739" s="216">
        <f>'E M SALVADOR KLING'!F24</f>
        <v/>
      </c>
      <c r="B739" s="217">
        <f>'E M SALVADOR KLING'!C24</f>
        <v/>
      </c>
    </row>
    <row r="740" ht="15" customHeight="1" s="107">
      <c r="A740" s="216">
        <f>'E M SALVADOR KLING'!F25</f>
        <v/>
      </c>
      <c r="B740" s="217">
        <f>'E M SALVADOR KLING'!C25</f>
        <v/>
      </c>
    </row>
    <row r="741" ht="15" customHeight="1" s="107">
      <c r="A741" s="216">
        <f>'E M SALVADOR KLING'!F26</f>
        <v/>
      </c>
      <c r="B741" s="217">
        <f>'E M SALVADOR KLING'!C26</f>
        <v/>
      </c>
    </row>
    <row r="742" ht="15" customHeight="1" s="107">
      <c r="A742" s="216">
        <f>'E M SALVADOR KLING'!F27</f>
        <v/>
      </c>
      <c r="B742" s="217">
        <f>'E M SALVADOR KLING'!C27</f>
        <v/>
      </c>
    </row>
    <row r="743" ht="15" customHeight="1" s="107">
      <c r="A743" s="216">
        <f>'ESCOLA MUNICIPALIZADA FREI ANIC'!F9</f>
        <v/>
      </c>
      <c r="B743" s="217">
        <f>'ESCOLA MUNICIPALIZADA FREI ANIC'!C9</f>
        <v/>
      </c>
    </row>
    <row r="744" ht="15" customHeight="1" s="107">
      <c r="A744" s="216">
        <f>'ESCOLA MUNICIPALIZADA FREI ANIC'!F10</f>
        <v/>
      </c>
      <c r="B744" s="217">
        <f>'ESCOLA MUNICIPALIZADA FREI ANIC'!C10</f>
        <v/>
      </c>
    </row>
    <row r="745" ht="15" customHeight="1" s="107">
      <c r="A745" s="216">
        <f>'ESCOLA MUNICIPALIZADA FREI ANIC'!F11</f>
        <v/>
      </c>
      <c r="B745" s="217">
        <f>'ESCOLA MUNICIPALIZADA FREI ANIC'!C11</f>
        <v/>
      </c>
    </row>
    <row r="746" ht="15" customHeight="1" s="107">
      <c r="A746" s="216">
        <f>'ESCOLA MUNICIPALIZADA FREI ANIC'!F12</f>
        <v/>
      </c>
      <c r="B746" s="217">
        <f>'ESCOLA MUNICIPALIZADA FREI ANIC'!C12</f>
        <v/>
      </c>
    </row>
    <row r="747" ht="15" customHeight="1" s="107">
      <c r="A747" s="216">
        <f>'ESCOLA MUNICIPALIZADA FREI ANIC'!F13</f>
        <v/>
      </c>
      <c r="B747" s="217">
        <f>'ESCOLA MUNICIPALIZADA FREI ANIC'!C13</f>
        <v/>
      </c>
    </row>
    <row r="748" ht="15" customHeight="1" s="107">
      <c r="A748" s="216">
        <f>'ESCOLA MUNICIPALIZADA FREI ANIC'!F14</f>
        <v/>
      </c>
      <c r="B748" s="217">
        <f>'ESCOLA MUNICIPALIZADA FREI ANIC'!C14</f>
        <v/>
      </c>
    </row>
    <row r="749" ht="15" customHeight="1" s="107">
      <c r="A749" s="216">
        <f>'ESCOLA MUNICIPALIZADA FREI ANIC'!F15</f>
        <v/>
      </c>
      <c r="B749" s="217">
        <f>'ESCOLA MUNICIPALIZADA FREI ANIC'!C15</f>
        <v/>
      </c>
    </row>
    <row r="750" ht="15" customHeight="1" s="107">
      <c r="A750" s="216">
        <f>'ESCOLA MUNICIPALIZADA FREI ANIC'!F16</f>
        <v/>
      </c>
      <c r="B750" s="217">
        <f>'ESCOLA MUNICIPALIZADA FREI ANIC'!C16</f>
        <v/>
      </c>
    </row>
    <row r="751" ht="15" customHeight="1" s="107">
      <c r="A751" s="216">
        <f>'ESCOLA MUNICIPALIZADA FREI ANIC'!F17</f>
        <v/>
      </c>
      <c r="B751" s="217">
        <f>'ESCOLA MUNICIPALIZADA FREI ANIC'!C17</f>
        <v/>
      </c>
    </row>
    <row r="752" ht="15" customHeight="1" s="107">
      <c r="A752" s="216">
        <f>'ESCOLA MUNICIPALIZADA FREI ANIC'!F18</f>
        <v/>
      </c>
      <c r="B752" s="217">
        <f>'ESCOLA MUNICIPALIZADA FREI ANIC'!C18</f>
        <v/>
      </c>
    </row>
    <row r="753" ht="15" customHeight="1" s="107">
      <c r="A753" s="216">
        <f>'ESCOLA MUNICIPALIZADA FREI ANIC'!F19</f>
        <v/>
      </c>
      <c r="B753" s="217">
        <f>'ESCOLA MUNICIPALIZADA FREI ANIC'!C19</f>
        <v/>
      </c>
    </row>
    <row r="754" ht="15" customHeight="1" s="107">
      <c r="A754" s="216">
        <f>'ESCOLA MUNICIPALIZADA FREI ANIC'!F20</f>
        <v/>
      </c>
      <c r="B754" s="217">
        <f>'ESCOLA MUNICIPALIZADA FREI ANIC'!C20</f>
        <v/>
      </c>
    </row>
    <row r="755" ht="15" customHeight="1" s="107">
      <c r="A755" s="216">
        <f>'ESCOLA MUNICIPALIZADA FREI ANIC'!F21</f>
        <v/>
      </c>
      <c r="B755" s="217">
        <f>'ESCOLA MUNICIPALIZADA FREI ANIC'!C21</f>
        <v/>
      </c>
    </row>
    <row r="756" ht="15" customHeight="1" s="107">
      <c r="A756" s="216">
        <f>'ESCOLA MUNICIPALIZADA FREI ANIC'!F22</f>
        <v/>
      </c>
      <c r="B756" s="217">
        <f>'ESCOLA MUNICIPALIZADA FREI ANIC'!C22</f>
        <v/>
      </c>
    </row>
    <row r="757" ht="15" customHeight="1" s="107">
      <c r="A757" s="216">
        <f>'ESCOLA MUNICIPALIZADA FREI ANIC'!F23</f>
        <v/>
      </c>
      <c r="B757" s="217">
        <f>'ESCOLA MUNICIPALIZADA FREI ANIC'!C23</f>
        <v/>
      </c>
    </row>
    <row r="758" ht="15" customHeight="1" s="107">
      <c r="A758" s="216">
        <f>'ESCOLA MUNICIPALIZADA FREI ANIC'!F24</f>
        <v/>
      </c>
      <c r="B758" s="217">
        <f>'ESCOLA MUNICIPALIZADA FREI ANIC'!C24</f>
        <v/>
      </c>
    </row>
    <row r="759" ht="15" customHeight="1" s="107">
      <c r="A759" s="216">
        <f>'ESCOLA MUNICIPALIZADA FREI ANIC'!F25</f>
        <v/>
      </c>
      <c r="B759" s="217">
        <f>'ESCOLA MUNICIPALIZADA FREI ANIC'!C25</f>
        <v/>
      </c>
    </row>
    <row r="760" ht="15" customHeight="1" s="107">
      <c r="A760" s="216">
        <f>'ESCOLA MUNICIPALIZADA FREI ANIC'!F26</f>
        <v/>
      </c>
      <c r="B760" s="217">
        <f>'ESCOLA MUNICIPALIZADA FREI ANIC'!C26</f>
        <v/>
      </c>
    </row>
    <row r="761" ht="15" customHeight="1" s="107">
      <c r="A761" s="216">
        <f>'ESCOLA MUNICIPALIZADA FREI ANIC'!F27</f>
        <v/>
      </c>
      <c r="B761" s="217">
        <f>'ESCOLA MUNICIPALIZADA FREI ANIC'!C27</f>
        <v/>
      </c>
    </row>
    <row r="762" ht="15" customHeight="1" s="107">
      <c r="A762" s="216">
        <f>'ESCOLA SÃO JUDAS TADEU'!F9</f>
        <v/>
      </c>
      <c r="B762" s="217">
        <f>'ESCOLA SÃO JUDAS TADEU'!C9</f>
        <v/>
      </c>
    </row>
    <row r="763" ht="15" customHeight="1" s="107">
      <c r="A763" s="216">
        <f>'ESCOLA SÃO JUDAS TADEU'!F10</f>
        <v/>
      </c>
      <c r="B763" s="217">
        <f>'ESCOLA SÃO JUDAS TADEU'!C10</f>
        <v/>
      </c>
    </row>
    <row r="764" ht="15" customHeight="1" s="107">
      <c r="A764" s="216">
        <f>'ESCOLA SÃO JUDAS TADEU'!F11</f>
        <v/>
      </c>
      <c r="B764" s="217">
        <f>'ESCOLA SÃO JUDAS TADEU'!C11</f>
        <v/>
      </c>
    </row>
    <row r="765" ht="15" customHeight="1" s="107">
      <c r="A765" s="216">
        <f>'ESCOLA SÃO JUDAS TADEU'!F12</f>
        <v/>
      </c>
      <c r="B765" s="217">
        <f>'ESCOLA SÃO JUDAS TADEU'!C12</f>
        <v/>
      </c>
    </row>
    <row r="766" ht="15" customHeight="1" s="107">
      <c r="A766" s="216">
        <f>'ESCOLA SÃO JUDAS TADEU'!F13</f>
        <v/>
      </c>
      <c r="B766" s="217">
        <f>'ESCOLA SÃO JUDAS TADEU'!C13</f>
        <v/>
      </c>
    </row>
    <row r="767" ht="15" customHeight="1" s="107">
      <c r="A767" s="216">
        <f>'ESCOLA SÃO JUDAS TADEU'!F14</f>
        <v/>
      </c>
      <c r="B767" s="217">
        <f>'ESCOLA SÃO JUDAS TADEU'!C14</f>
        <v/>
      </c>
    </row>
    <row r="768" ht="15" customHeight="1" s="107">
      <c r="A768" s="216">
        <f>'ESCOLA SÃO JUDAS TADEU'!F15</f>
        <v/>
      </c>
      <c r="B768" s="217">
        <f>'ESCOLA SÃO JUDAS TADEU'!C15</f>
        <v/>
      </c>
    </row>
    <row r="769" ht="15" customHeight="1" s="107">
      <c r="A769" s="216">
        <f>'ESCOLA SÃO JUDAS TADEU'!F16</f>
        <v/>
      </c>
      <c r="B769" s="217">
        <f>'ESCOLA SÃO JUDAS TADEU'!C16</f>
        <v/>
      </c>
    </row>
    <row r="770" ht="15" customHeight="1" s="107">
      <c r="A770" s="216">
        <f>'ESCOLA SÃO JUDAS TADEU'!F17</f>
        <v/>
      </c>
      <c r="B770" s="217">
        <f>'ESCOLA SÃO JUDAS TADEU'!C17</f>
        <v/>
      </c>
    </row>
    <row r="771" ht="15" customHeight="1" s="107">
      <c r="A771" s="216">
        <f>'ESCOLA SÃO JUDAS TADEU'!F18</f>
        <v/>
      </c>
      <c r="B771" s="217">
        <f>'ESCOLA SÃO JUDAS TADEU'!C18</f>
        <v/>
      </c>
    </row>
    <row r="772" ht="15" customHeight="1" s="107">
      <c r="A772" s="216">
        <f>'ESCOLA SÃO JUDAS TADEU'!F19</f>
        <v/>
      </c>
      <c r="B772" s="217">
        <f>'ESCOLA SÃO JUDAS TADEU'!C19</f>
        <v/>
      </c>
    </row>
    <row r="773" ht="15" customHeight="1" s="107">
      <c r="A773" s="216">
        <f>'ESCOLA SÃO JUDAS TADEU'!F20</f>
        <v/>
      </c>
      <c r="B773" s="217">
        <f>'ESCOLA SÃO JUDAS TADEU'!C20</f>
        <v/>
      </c>
    </row>
    <row r="774" ht="15" customHeight="1" s="107">
      <c r="A774" s="216">
        <f>'ESCOLA SÃO JUDAS TADEU'!F21</f>
        <v/>
      </c>
      <c r="B774" s="217">
        <f>'ESCOLA SÃO JUDAS TADEU'!C21</f>
        <v/>
      </c>
    </row>
    <row r="775" ht="15" customHeight="1" s="107">
      <c r="A775" s="216">
        <f>'ESCOLA SÃO JUDAS TADEU'!F22</f>
        <v/>
      </c>
      <c r="B775" s="217">
        <f>'ESCOLA SÃO JUDAS TADEU'!C22</f>
        <v/>
      </c>
    </row>
    <row r="776" ht="15" customHeight="1" s="107">
      <c r="A776" s="216">
        <f>'ESCOLA SÃO JUDAS TADEU'!F23</f>
        <v/>
      </c>
      <c r="B776" s="217">
        <f>'ESCOLA SÃO JUDAS TADEU'!C23</f>
        <v/>
      </c>
    </row>
    <row r="777" ht="15" customHeight="1" s="107">
      <c r="A777" s="216">
        <f>'ESCOLA SÃO JUDAS TADEU'!F24</f>
        <v/>
      </c>
      <c r="B777" s="217">
        <f>'ESCOLA SÃO JUDAS TADEU'!C24</f>
        <v/>
      </c>
    </row>
    <row r="778" ht="15" customHeight="1" s="107">
      <c r="A778" s="216">
        <f>'ESCOLA SÃO JUDAS TADEU'!F25</f>
        <v/>
      </c>
      <c r="B778" s="217">
        <f>'ESCOLA SÃO JUDAS TADEU'!C25</f>
        <v/>
      </c>
    </row>
    <row r="779" ht="15" customHeight="1" s="107">
      <c r="A779" s="216">
        <f>'ESCOLA SÃO JUDAS TADEU'!F26</f>
        <v/>
      </c>
      <c r="B779" s="217">
        <f>'ESCOLA SÃO JUDAS TADEU'!C26</f>
        <v/>
      </c>
    </row>
    <row r="780" ht="15" customHeight="1" s="107">
      <c r="A780" s="216">
        <f>'ESCOLA SÃO JUDAS TADEU'!F27</f>
        <v/>
      </c>
      <c r="B780" s="217">
        <f>'ESCOLA SÃO JUDAS TADEU'!C27</f>
        <v/>
      </c>
    </row>
    <row r="781" ht="15" customHeight="1" s="107">
      <c r="A781" s="216">
        <f>'CEI PEDRAS BRANCAS'!F9</f>
        <v/>
      </c>
      <c r="B781" s="217">
        <f>'CEI PEDRAS BRANCAS'!C9</f>
        <v/>
      </c>
    </row>
    <row r="782" ht="15" customHeight="1" s="107">
      <c r="A782" s="216">
        <f>'CEI PEDRAS BRANCAS'!F10</f>
        <v/>
      </c>
      <c r="B782" s="217">
        <f>'CEI PEDRAS BRANCAS'!C10</f>
        <v/>
      </c>
    </row>
    <row r="783" ht="15" customHeight="1" s="107">
      <c r="A783" s="216">
        <f>'CEI PEDRAS BRANCAS'!F11</f>
        <v/>
      </c>
      <c r="B783" s="217">
        <f>'CEI PEDRAS BRANCAS'!C11</f>
        <v/>
      </c>
    </row>
    <row r="784" ht="15" customHeight="1" s="107">
      <c r="A784" s="216">
        <f>'CEI PEDRAS BRANCAS'!F12</f>
        <v/>
      </c>
      <c r="B784" s="217">
        <f>'CEI PEDRAS BRANCAS'!C12</f>
        <v/>
      </c>
    </row>
    <row r="785" ht="15" customHeight="1" s="107">
      <c r="A785" s="216">
        <f>'CEI PEDRAS BRANCAS'!F13</f>
        <v/>
      </c>
      <c r="B785" s="217">
        <f>'CEI PEDRAS BRANCAS'!C13</f>
        <v/>
      </c>
    </row>
    <row r="786" ht="15" customHeight="1" s="107">
      <c r="A786" s="216">
        <f>'CEI PEDRAS BRANCAS'!F14</f>
        <v/>
      </c>
      <c r="B786" s="217">
        <f>'CEI PEDRAS BRANCAS'!C14</f>
        <v/>
      </c>
    </row>
    <row r="787" ht="15" customHeight="1" s="107">
      <c r="A787" s="216">
        <f>'CEI PEDRAS BRANCAS'!F15</f>
        <v/>
      </c>
      <c r="B787" s="217">
        <f>'CEI PEDRAS BRANCAS'!C15</f>
        <v/>
      </c>
    </row>
    <row r="788" ht="15" customHeight="1" s="107">
      <c r="A788" s="216">
        <f>'CEI PEDRAS BRANCAS'!F16</f>
        <v/>
      </c>
      <c r="B788" s="217">
        <f>'CEI PEDRAS BRANCAS'!C16</f>
        <v/>
      </c>
    </row>
    <row r="789" ht="15" customHeight="1" s="107">
      <c r="A789" s="216">
        <f>'CEI PEDRAS BRANCAS'!F17</f>
        <v/>
      </c>
      <c r="B789" s="217">
        <f>'CEI PEDRAS BRANCAS'!C17</f>
        <v/>
      </c>
    </row>
    <row r="790" ht="15" customHeight="1" s="107">
      <c r="A790" s="216">
        <f>'CEI PEDRAS BRANCAS'!F18</f>
        <v/>
      </c>
      <c r="B790" s="217">
        <f>'CEI PEDRAS BRANCAS'!C18</f>
        <v/>
      </c>
    </row>
    <row r="791" ht="15" customHeight="1" s="107">
      <c r="A791" s="216">
        <f>'CEI PEDRAS BRANCAS'!F19</f>
        <v/>
      </c>
      <c r="B791" s="217">
        <f>'CEI PEDRAS BRANCAS'!C19</f>
        <v/>
      </c>
    </row>
    <row r="792" ht="15" customHeight="1" s="107">
      <c r="A792" s="216">
        <f>'CEI PEDRAS BRANCAS'!F20</f>
        <v/>
      </c>
      <c r="B792" s="217">
        <f>'CEI PEDRAS BRANCAS'!C20</f>
        <v/>
      </c>
    </row>
    <row r="793" ht="15" customHeight="1" s="107">
      <c r="A793" s="216">
        <f>'CEI PEDRAS BRANCAS'!F21</f>
        <v/>
      </c>
      <c r="B793" s="217">
        <f>'CEI PEDRAS BRANCAS'!C21</f>
        <v/>
      </c>
    </row>
    <row r="794" ht="15" customHeight="1" s="107">
      <c r="A794" s="216">
        <f>'CEI PEDRAS BRANCAS'!F22</f>
        <v/>
      </c>
      <c r="B794" s="217">
        <f>'CEI PEDRAS BRANCAS'!C22</f>
        <v/>
      </c>
    </row>
    <row r="795" ht="15" customHeight="1" s="107">
      <c r="A795" s="216">
        <f>'CEI PEDRAS BRANCAS'!F23</f>
        <v/>
      </c>
      <c r="B795" s="217">
        <f>'CEI PEDRAS BRANCAS'!C23</f>
        <v/>
      </c>
    </row>
    <row r="796" ht="15" customHeight="1" s="107">
      <c r="A796" s="216">
        <f>'CEI PEDRAS BRANCAS'!F24</f>
        <v/>
      </c>
      <c r="B796" s="217">
        <f>'CEI PEDRAS BRANCAS'!C24</f>
        <v/>
      </c>
    </row>
    <row r="797" ht="15" customHeight="1" s="107">
      <c r="A797" s="216">
        <f>'CEI PEDRAS BRANCAS'!F25</f>
        <v/>
      </c>
      <c r="B797" s="217">
        <f>'CEI PEDRAS BRANCAS'!C25</f>
        <v/>
      </c>
    </row>
    <row r="798" ht="15" customHeight="1" s="107">
      <c r="A798" s="216">
        <f>'CEI PEDRAS BRANCAS'!F26</f>
        <v/>
      </c>
      <c r="B798" s="217">
        <f>'CEI PEDRAS BRANCAS'!C26</f>
        <v/>
      </c>
    </row>
    <row r="799" ht="15" customHeight="1" s="107">
      <c r="A799" s="216">
        <f>'CEI PEDRAS BRANCAS'!F27</f>
        <v/>
      </c>
      <c r="B799" s="217">
        <f>'CEI PEDRAS BRANCAS'!C27</f>
        <v/>
      </c>
    </row>
    <row r="800" ht="15" customHeight="1" s="107">
      <c r="A800" s="216">
        <f>'CEI MARIA THEREZA KLING DO VALL'!F9</f>
        <v/>
      </c>
      <c r="B800" s="217">
        <f>'CEI MARIA THEREZA KLING DO VALL'!C9</f>
        <v/>
      </c>
    </row>
    <row r="801" ht="15" customHeight="1" s="107">
      <c r="A801" s="216">
        <f>'CEI MARIA THEREZA KLING DO VALL'!F10</f>
        <v/>
      </c>
      <c r="B801" s="217">
        <f>'CEI MARIA THEREZA KLING DO VALL'!C10</f>
        <v/>
      </c>
    </row>
    <row r="802" ht="15" customHeight="1" s="107">
      <c r="A802" s="216">
        <f>'CEI MARIA THEREZA KLING DO VALL'!F11</f>
        <v/>
      </c>
      <c r="B802" s="217">
        <f>'CEI MARIA THEREZA KLING DO VALL'!C11</f>
        <v/>
      </c>
    </row>
    <row r="803" ht="15" customHeight="1" s="107">
      <c r="A803" s="216">
        <f>'CEI MARIA THEREZA KLING DO VALL'!F12</f>
        <v/>
      </c>
      <c r="B803" s="217">
        <f>'CEI MARIA THEREZA KLING DO VALL'!C12</f>
        <v/>
      </c>
    </row>
    <row r="804" ht="15" customHeight="1" s="107">
      <c r="A804" s="216">
        <f>'CEI MARIA THEREZA KLING DO VALL'!F13</f>
        <v/>
      </c>
      <c r="B804" s="217">
        <f>'CEI MARIA THEREZA KLING DO VALL'!C13</f>
        <v/>
      </c>
    </row>
    <row r="805" ht="15" customHeight="1" s="107">
      <c r="A805" s="216">
        <f>'CEI MARIA THEREZA KLING DO VALL'!F14</f>
        <v/>
      </c>
      <c r="B805" s="217">
        <f>'CEI MARIA THEREZA KLING DO VALL'!C14</f>
        <v/>
      </c>
    </row>
    <row r="806" ht="15" customHeight="1" s="107">
      <c r="A806" s="216">
        <f>'CEI MARIA THEREZA KLING DO VALL'!F15</f>
        <v/>
      </c>
      <c r="B806" s="217">
        <f>'CEI MARIA THEREZA KLING DO VALL'!C15</f>
        <v/>
      </c>
    </row>
    <row r="807" ht="15" customHeight="1" s="107">
      <c r="A807" s="216">
        <f>'CEI MARIA THEREZA KLING DO VALL'!F16</f>
        <v/>
      </c>
      <c r="B807" s="217">
        <f>'CEI MARIA THEREZA KLING DO VALL'!C16</f>
        <v/>
      </c>
    </row>
    <row r="808" ht="15" customHeight="1" s="107">
      <c r="A808" s="216">
        <f>'CEI MARIA THEREZA KLING DO VALL'!F17</f>
        <v/>
      </c>
      <c r="B808" s="217">
        <f>'CEI MARIA THEREZA KLING DO VALL'!C17</f>
        <v/>
      </c>
    </row>
    <row r="809" ht="15" customHeight="1" s="107">
      <c r="A809" s="216">
        <f>'CEI MARIA THEREZA KLING DO VALL'!F18</f>
        <v/>
      </c>
      <c r="B809" s="217">
        <f>'CEI MARIA THEREZA KLING DO VALL'!C18</f>
        <v/>
      </c>
    </row>
    <row r="810" ht="15" customHeight="1" s="107">
      <c r="A810" s="216">
        <f>'CEI MARIA THEREZA KLING DO VALL'!F19</f>
        <v/>
      </c>
      <c r="B810" s="217">
        <f>'CEI MARIA THEREZA KLING DO VALL'!C19</f>
        <v/>
      </c>
    </row>
    <row r="811" ht="15" customHeight="1" s="107">
      <c r="A811" s="216">
        <f>'CEI MARIA THEREZA KLING DO VALL'!F20</f>
        <v/>
      </c>
      <c r="B811" s="217">
        <f>'CEI MARIA THEREZA KLING DO VALL'!C20</f>
        <v/>
      </c>
    </row>
    <row r="812" ht="15" customHeight="1" s="107">
      <c r="A812" s="216">
        <f>'CEI MARIA THEREZA KLING DO VALL'!F21</f>
        <v/>
      </c>
      <c r="B812" s="217">
        <f>'CEI MARIA THEREZA KLING DO VALL'!C21</f>
        <v/>
      </c>
    </row>
    <row r="813" ht="15" customHeight="1" s="107">
      <c r="A813" s="216">
        <f>'CEI MARIA THEREZA KLING DO VALL'!F22</f>
        <v/>
      </c>
      <c r="B813" s="217">
        <f>'CEI MARIA THEREZA KLING DO VALL'!C22</f>
        <v/>
      </c>
    </row>
    <row r="814" ht="15" customHeight="1" s="107">
      <c r="A814" s="216">
        <f>'CEI MARIA THEREZA KLING DO VALL'!F23</f>
        <v/>
      </c>
      <c r="B814" s="217">
        <f>'CEI MARIA THEREZA KLING DO VALL'!C23</f>
        <v/>
      </c>
    </row>
    <row r="815" ht="15" customHeight="1" s="107">
      <c r="A815" s="216">
        <f>'CEI MARIA THEREZA KLING DO VALL'!F24</f>
        <v/>
      </c>
      <c r="B815" s="217">
        <f>'CEI MARIA THEREZA KLING DO VALL'!C24</f>
        <v/>
      </c>
    </row>
    <row r="816" ht="15" customHeight="1" s="107">
      <c r="A816" s="216">
        <f>'CEI MARIA THEREZA KLING DO VALL'!F25</f>
        <v/>
      </c>
      <c r="B816" s="217">
        <f>'CEI MARIA THEREZA KLING DO VALL'!C25</f>
        <v/>
      </c>
    </row>
    <row r="817" ht="15" customHeight="1" s="107">
      <c r="A817" s="216">
        <f>'CEI MARIA THEREZA KLING DO VALL'!F26</f>
        <v/>
      </c>
      <c r="B817" s="217">
        <f>'CEI MARIA THEREZA KLING DO VALL'!C26</f>
        <v/>
      </c>
    </row>
    <row r="818" ht="15" customHeight="1" s="107">
      <c r="A818" s="216">
        <f>'CEI MARIA THEREZA KLING DO VALL'!F27</f>
        <v/>
      </c>
      <c r="B818" s="217">
        <f>'CEI MARIA THEREZA KLING DO VALL'!C27</f>
        <v/>
      </c>
    </row>
    <row r="819" ht="15" customHeight="1" s="107">
      <c r="A819" s="216">
        <f>'CEI DONA ESPERANZA DE BOURBON D'!F9</f>
        <v/>
      </c>
      <c r="B819" s="217">
        <f>'CEI DONA ESPERANZA DE BOURBON D'!C9</f>
        <v/>
      </c>
    </row>
    <row r="820" ht="15" customHeight="1" s="107">
      <c r="A820" s="216">
        <f>'CEI DONA ESPERANZA DE BOURBON D'!F10</f>
        <v/>
      </c>
      <c r="B820" s="217">
        <f>'CEI DONA ESPERANZA DE BOURBON D'!C10</f>
        <v/>
      </c>
    </row>
    <row r="821" ht="15" customHeight="1" s="107">
      <c r="A821" s="216">
        <f>'CEI DONA ESPERANZA DE BOURBON D'!F11</f>
        <v/>
      </c>
      <c r="B821" s="217">
        <f>'CEI DONA ESPERANZA DE BOURBON D'!C11</f>
        <v/>
      </c>
    </row>
    <row r="822" ht="15" customHeight="1" s="107">
      <c r="A822" s="216">
        <f>'CEI DONA ESPERANZA DE BOURBON D'!F12</f>
        <v/>
      </c>
      <c r="B822" s="217">
        <f>'CEI DONA ESPERANZA DE BOURBON D'!C12</f>
        <v/>
      </c>
    </row>
    <row r="823" ht="15" customHeight="1" s="107">
      <c r="A823" s="216">
        <f>'CEI DONA ESPERANZA DE BOURBON D'!F13</f>
        <v/>
      </c>
      <c r="B823" s="217">
        <f>'CEI DONA ESPERANZA DE BOURBON D'!C13</f>
        <v/>
      </c>
    </row>
    <row r="824" ht="15" customHeight="1" s="107">
      <c r="A824" s="216">
        <f>'CEI DONA ESPERANZA DE BOURBON D'!F14</f>
        <v/>
      </c>
      <c r="B824" s="217">
        <f>'CEI DONA ESPERANZA DE BOURBON D'!C14</f>
        <v/>
      </c>
    </row>
    <row r="825" ht="15" customHeight="1" s="107">
      <c r="A825" s="216">
        <f>'CEI DONA ESPERANZA DE BOURBON D'!F15</f>
        <v/>
      </c>
      <c r="B825" s="217">
        <f>'CEI DONA ESPERANZA DE BOURBON D'!C15</f>
        <v/>
      </c>
    </row>
    <row r="826" ht="15" customHeight="1" s="107">
      <c r="A826" s="216">
        <f>'CEI DONA ESPERANZA DE BOURBON D'!F16</f>
        <v/>
      </c>
      <c r="B826" s="217">
        <f>'CEI DONA ESPERANZA DE BOURBON D'!C16</f>
        <v/>
      </c>
    </row>
    <row r="827" ht="15" customHeight="1" s="107">
      <c r="A827" s="216">
        <f>'CEI DONA ESPERANZA DE BOURBON D'!F17</f>
        <v/>
      </c>
      <c r="B827" s="217">
        <f>'CEI DONA ESPERANZA DE BOURBON D'!C17</f>
        <v/>
      </c>
    </row>
    <row r="828" ht="15" customHeight="1" s="107">
      <c r="A828" s="216">
        <f>'CEI DONA ESPERANZA DE BOURBON D'!F18</f>
        <v/>
      </c>
      <c r="B828" s="217">
        <f>'CEI DONA ESPERANZA DE BOURBON D'!C18</f>
        <v/>
      </c>
    </row>
    <row r="829" ht="15" customHeight="1" s="107">
      <c r="A829" s="216">
        <f>'CEI DONA ESPERANZA DE BOURBON D'!F19</f>
        <v/>
      </c>
      <c r="B829" s="217">
        <f>'CEI DONA ESPERANZA DE BOURBON D'!C19</f>
        <v/>
      </c>
    </row>
    <row r="830" ht="15" customHeight="1" s="107">
      <c r="A830" s="216">
        <f>'CEI DONA ESPERANZA DE BOURBON D'!F20</f>
        <v/>
      </c>
      <c r="B830" s="217">
        <f>'CEI DONA ESPERANZA DE BOURBON D'!C20</f>
        <v/>
      </c>
    </row>
    <row r="831" ht="15" customHeight="1" s="107">
      <c r="A831" s="216">
        <f>'CEI DONA ESPERANZA DE BOURBON D'!F21</f>
        <v/>
      </c>
      <c r="B831" s="217">
        <f>'CEI DONA ESPERANZA DE BOURBON D'!C21</f>
        <v/>
      </c>
    </row>
    <row r="832" ht="15" customHeight="1" s="107">
      <c r="A832" s="216">
        <f>'CEI DONA ESPERANZA DE BOURBON D'!F22</f>
        <v/>
      </c>
      <c r="B832" s="217">
        <f>'CEI DONA ESPERANZA DE BOURBON D'!C22</f>
        <v/>
      </c>
    </row>
    <row r="833" ht="15" customHeight="1" s="107">
      <c r="A833" s="216">
        <f>'CEI DONA ESPERANZA DE BOURBON D'!F23</f>
        <v/>
      </c>
      <c r="B833" s="217">
        <f>'CEI DONA ESPERANZA DE BOURBON D'!C23</f>
        <v/>
      </c>
    </row>
    <row r="834" ht="15" customHeight="1" s="107">
      <c r="A834" s="216">
        <f>'CEI DONA ESPERANZA DE BOURBON D'!F24</f>
        <v/>
      </c>
      <c r="B834" s="217">
        <f>'CEI DONA ESPERANZA DE BOURBON D'!C24</f>
        <v/>
      </c>
    </row>
    <row r="835" ht="15" customHeight="1" s="107">
      <c r="A835" s="216">
        <f>'CEI DONA ESPERANZA DE BOURBON D'!F25</f>
        <v/>
      </c>
      <c r="B835" s="217">
        <f>'CEI DONA ESPERANZA DE BOURBON D'!C25</f>
        <v/>
      </c>
    </row>
    <row r="836" ht="15" customHeight="1" s="107">
      <c r="A836" s="216">
        <f>'CEI DONA ESPERANZA DE BOURBON D'!F26</f>
        <v/>
      </c>
      <c r="B836" s="217">
        <f>'CEI DONA ESPERANZA DE BOURBON D'!C26</f>
        <v/>
      </c>
    </row>
    <row r="837" ht="15" customHeight="1" s="107">
      <c r="A837" s="216">
        <f>'CEI DONA ESPERANZA DE BOURBON D'!F27</f>
        <v/>
      </c>
      <c r="B837" s="217">
        <f>'CEI DONA ESPERANZA DE BOURBON D'!C27</f>
        <v/>
      </c>
    </row>
    <row r="838" ht="15" customHeight="1" s="107">
      <c r="A838" s="216">
        <f>'CEI GIUSEPPE-NEVA VOLONTERIO'!F9</f>
        <v/>
      </c>
      <c r="B838" s="217">
        <f>'CEI GIUSEPPE-NEVA VOLONTERIO'!C9</f>
        <v/>
      </c>
    </row>
    <row r="839" ht="15" customHeight="1" s="107">
      <c r="A839" s="216">
        <f>'CEI GIUSEPPE-NEVA VOLONTERIO'!F10</f>
        <v/>
      </c>
      <c r="B839" s="217">
        <f>'CEI GIUSEPPE-NEVA VOLONTERIO'!C10</f>
        <v/>
      </c>
    </row>
    <row r="840" ht="15" customHeight="1" s="107">
      <c r="A840" s="216">
        <f>'CEI GIUSEPPE-NEVA VOLONTERIO'!F11</f>
        <v/>
      </c>
      <c r="B840" s="217">
        <f>'CEI GIUSEPPE-NEVA VOLONTERIO'!C11</f>
        <v/>
      </c>
    </row>
    <row r="841" ht="15" customHeight="1" s="107">
      <c r="A841" s="216">
        <f>'CEI GIUSEPPE-NEVA VOLONTERIO'!F12</f>
        <v/>
      </c>
      <c r="B841" s="217">
        <f>'CEI GIUSEPPE-NEVA VOLONTERIO'!C12</f>
        <v/>
      </c>
    </row>
    <row r="842" ht="15" customHeight="1" s="107">
      <c r="A842" s="216">
        <f>'CEI GIUSEPPE-NEVA VOLONTERIO'!F13</f>
        <v/>
      </c>
      <c r="B842" s="217">
        <f>'CEI GIUSEPPE-NEVA VOLONTERIO'!C13</f>
        <v/>
      </c>
    </row>
    <row r="843" ht="15" customHeight="1" s="107">
      <c r="A843" s="216">
        <f>'CEI GIUSEPPE-NEVA VOLONTERIO'!F14</f>
        <v/>
      </c>
      <c r="B843" s="217">
        <f>'CEI GIUSEPPE-NEVA VOLONTERIO'!C14</f>
        <v/>
      </c>
    </row>
    <row r="844" ht="15" customHeight="1" s="107">
      <c r="A844" s="216">
        <f>'CEI GIUSEPPE-NEVA VOLONTERIO'!F15</f>
        <v/>
      </c>
      <c r="B844" s="217">
        <f>'CEI GIUSEPPE-NEVA VOLONTERIO'!C15</f>
        <v/>
      </c>
    </row>
    <row r="845" ht="15" customHeight="1" s="107">
      <c r="A845" s="216">
        <f>'CEI GIUSEPPE-NEVA VOLONTERIO'!F16</f>
        <v/>
      </c>
      <c r="B845" s="217">
        <f>'CEI GIUSEPPE-NEVA VOLONTERIO'!C16</f>
        <v/>
      </c>
    </row>
    <row r="846" ht="15" customHeight="1" s="107">
      <c r="A846" s="216">
        <f>'CEI GIUSEPPE-NEVA VOLONTERIO'!F17</f>
        <v/>
      </c>
      <c r="B846" s="217">
        <f>'CEI GIUSEPPE-NEVA VOLONTERIO'!C17</f>
        <v/>
      </c>
    </row>
    <row r="847" ht="15" customHeight="1" s="107">
      <c r="A847" s="216">
        <f>'CEI GIUSEPPE-NEVA VOLONTERIO'!F18</f>
        <v/>
      </c>
      <c r="B847" s="217">
        <f>'CEI GIUSEPPE-NEVA VOLONTERIO'!C18</f>
        <v/>
      </c>
    </row>
    <row r="848" ht="15" customHeight="1" s="107">
      <c r="A848" s="216">
        <f>'CEI GIUSEPPE-NEVA VOLONTERIO'!F19</f>
        <v/>
      </c>
      <c r="B848" s="217">
        <f>'CEI GIUSEPPE-NEVA VOLONTERIO'!C19</f>
        <v/>
      </c>
    </row>
    <row r="849" ht="15" customHeight="1" s="107">
      <c r="A849" s="216">
        <f>'CEI GIUSEPPE-NEVA VOLONTERIO'!F20</f>
        <v/>
      </c>
      <c r="B849" s="217">
        <f>'CEI GIUSEPPE-NEVA VOLONTERIO'!C20</f>
        <v/>
      </c>
    </row>
    <row r="850" ht="15" customHeight="1" s="107">
      <c r="A850" s="216">
        <f>'CEI GIUSEPPE-NEVA VOLONTERIO'!F21</f>
        <v/>
      </c>
      <c r="B850" s="217">
        <f>'CEI GIUSEPPE-NEVA VOLONTERIO'!C21</f>
        <v/>
      </c>
    </row>
    <row r="851" ht="15" customHeight="1" s="107">
      <c r="A851" s="216">
        <f>'CEI GIUSEPPE-NEVA VOLONTERIO'!F22</f>
        <v/>
      </c>
      <c r="B851" s="217">
        <f>'CEI GIUSEPPE-NEVA VOLONTERIO'!C22</f>
        <v/>
      </c>
    </row>
    <row r="852" ht="15" customHeight="1" s="107">
      <c r="A852" s="216">
        <f>'CEI GIUSEPPE-NEVA VOLONTERIO'!F23</f>
        <v/>
      </c>
      <c r="B852" s="217">
        <f>'CEI GIUSEPPE-NEVA VOLONTERIO'!C23</f>
        <v/>
      </c>
    </row>
    <row r="853" ht="15" customHeight="1" s="107">
      <c r="A853" s="216">
        <f>'CEI GIUSEPPE-NEVA VOLONTERIO'!F24</f>
        <v/>
      </c>
      <c r="B853" s="217">
        <f>'CEI GIUSEPPE-NEVA VOLONTERIO'!C24</f>
        <v/>
      </c>
    </row>
    <row r="854" ht="15" customHeight="1" s="107">
      <c r="A854" s="216">
        <f>'CEI GIUSEPPE-NEVA VOLONTERIO'!F25</f>
        <v/>
      </c>
      <c r="B854" s="217">
        <f>'CEI GIUSEPPE-NEVA VOLONTERIO'!C25</f>
        <v/>
      </c>
    </row>
    <row r="855" ht="15" customHeight="1" s="107">
      <c r="A855" s="216">
        <f>'CEI GIUSEPPE-NEVA VOLONTERIO'!F26</f>
        <v/>
      </c>
      <c r="B855" s="217">
        <f>'CEI GIUSEPPE-NEVA VOLONTERIO'!C26</f>
        <v/>
      </c>
    </row>
    <row r="856" ht="15" customHeight="1" s="107">
      <c r="A856" s="216">
        <f>'CEI GIUSEPPE-NEVA VOLONTERIO'!F27</f>
        <v/>
      </c>
      <c r="B856" s="217">
        <f>'CEI GIUSEPPE-NEVA VOLONTERIO'!C27</f>
        <v/>
      </c>
    </row>
    <row r="857" ht="15" customHeight="1" s="107">
      <c r="A857" s="216">
        <f>'CENTRO DE EDUCAÇÃO INFANTIL SÃO'!F9</f>
        <v/>
      </c>
      <c r="B857" s="217">
        <f>'CENTRO DE EDUCAÇÃO INFANTIL SÃO'!C9</f>
        <v/>
      </c>
    </row>
    <row r="858" ht="15" customHeight="1" s="107">
      <c r="A858" s="216">
        <f>'CENTRO DE EDUCAÇÃO INFANTIL SÃO'!F10</f>
        <v/>
      </c>
      <c r="B858" s="217">
        <f>'CENTRO DE EDUCAÇÃO INFANTIL SÃO'!C10</f>
        <v/>
      </c>
    </row>
    <row r="859" ht="15" customHeight="1" s="107">
      <c r="A859" s="216">
        <f>'CENTRO DE EDUCAÇÃO INFANTIL SÃO'!F11</f>
        <v/>
      </c>
      <c r="B859" s="217">
        <f>'CENTRO DE EDUCAÇÃO INFANTIL SÃO'!C11</f>
        <v/>
      </c>
    </row>
    <row r="860" ht="15" customHeight="1" s="107">
      <c r="A860" s="216">
        <f>'CENTRO DE EDUCAÇÃO INFANTIL SÃO'!F12</f>
        <v/>
      </c>
      <c r="B860" s="217">
        <f>'CENTRO DE EDUCAÇÃO INFANTIL SÃO'!C12</f>
        <v/>
      </c>
    </row>
    <row r="861" ht="15" customHeight="1" s="107">
      <c r="A861" s="216">
        <f>'CENTRO DE EDUCAÇÃO INFANTIL SÃO'!F13</f>
        <v/>
      </c>
      <c r="B861" s="217">
        <f>'CENTRO DE EDUCAÇÃO INFANTIL SÃO'!C13</f>
        <v/>
      </c>
    </row>
    <row r="862" ht="15" customHeight="1" s="107">
      <c r="A862" s="216">
        <f>'CENTRO DE EDUCAÇÃO INFANTIL SÃO'!F14</f>
        <v/>
      </c>
      <c r="B862" s="217">
        <f>'CENTRO DE EDUCAÇÃO INFANTIL SÃO'!C14</f>
        <v/>
      </c>
    </row>
    <row r="863" ht="15" customHeight="1" s="107">
      <c r="A863" s="216">
        <f>'CENTRO DE EDUCAÇÃO INFANTIL SÃO'!F15</f>
        <v/>
      </c>
      <c r="B863" s="217">
        <f>'CENTRO DE EDUCAÇÃO INFANTIL SÃO'!C15</f>
        <v/>
      </c>
    </row>
    <row r="864" ht="15" customHeight="1" s="107">
      <c r="A864" s="216">
        <f>'CENTRO DE EDUCAÇÃO INFANTIL SÃO'!F16</f>
        <v/>
      </c>
      <c r="B864" s="217">
        <f>'CENTRO DE EDUCAÇÃO INFANTIL SÃO'!C16</f>
        <v/>
      </c>
    </row>
    <row r="865" ht="15" customHeight="1" s="107">
      <c r="A865" s="216">
        <f>'CENTRO DE EDUCAÇÃO INFANTIL SÃO'!F17</f>
        <v/>
      </c>
      <c r="B865" s="217">
        <f>'CENTRO DE EDUCAÇÃO INFANTIL SÃO'!C17</f>
        <v/>
      </c>
    </row>
    <row r="866" ht="15" customHeight="1" s="107">
      <c r="A866" s="216">
        <f>'CENTRO DE EDUCAÇÃO INFANTIL SÃO'!F18</f>
        <v/>
      </c>
      <c r="B866" s="217">
        <f>'CENTRO DE EDUCAÇÃO INFANTIL SÃO'!C18</f>
        <v/>
      </c>
    </row>
    <row r="867" ht="15" customHeight="1" s="107">
      <c r="A867" s="216">
        <f>'CENTRO DE EDUCAÇÃO INFANTIL SÃO'!F19</f>
        <v/>
      </c>
      <c r="B867" s="217">
        <f>'CENTRO DE EDUCAÇÃO INFANTIL SÃO'!C19</f>
        <v/>
      </c>
    </row>
    <row r="868" ht="15" customHeight="1" s="107">
      <c r="A868" s="216">
        <f>'CENTRO DE EDUCAÇÃO INFANTIL SÃO'!F20</f>
        <v/>
      </c>
      <c r="B868" s="217">
        <f>'CENTRO DE EDUCAÇÃO INFANTIL SÃO'!C20</f>
        <v/>
      </c>
    </row>
    <row r="869" ht="15" customHeight="1" s="107">
      <c r="A869" s="216">
        <f>'CENTRO DE EDUCAÇÃO INFANTIL SÃO'!F21</f>
        <v/>
      </c>
      <c r="B869" s="217">
        <f>'CENTRO DE EDUCAÇÃO INFANTIL SÃO'!C21</f>
        <v/>
      </c>
    </row>
    <row r="870" ht="15" customHeight="1" s="107">
      <c r="A870" s="216">
        <f>'CENTRO DE EDUCAÇÃO INFANTIL SÃO'!F22</f>
        <v/>
      </c>
      <c r="B870" s="217">
        <f>'CENTRO DE EDUCAÇÃO INFANTIL SÃO'!C22</f>
        <v/>
      </c>
    </row>
    <row r="871" ht="15" customHeight="1" s="107">
      <c r="A871" s="216">
        <f>'CENTRO DE EDUCAÇÃO INFANTIL SÃO'!F23</f>
        <v/>
      </c>
      <c r="B871" s="217">
        <f>'CENTRO DE EDUCAÇÃO INFANTIL SÃO'!C23</f>
        <v/>
      </c>
    </row>
    <row r="872" ht="15" customHeight="1" s="107">
      <c r="A872" s="216">
        <f>'CENTRO DE EDUCAÇÃO INFANTIL SÃO'!F24</f>
        <v/>
      </c>
      <c r="B872" s="217">
        <f>'CENTRO DE EDUCAÇÃO INFANTIL SÃO'!C24</f>
        <v/>
      </c>
    </row>
    <row r="873" ht="15" customHeight="1" s="107">
      <c r="A873" s="216">
        <f>'CENTRO DE EDUCAÇÃO INFANTIL SÃO'!F25</f>
        <v/>
      </c>
      <c r="B873" s="217">
        <f>'CENTRO DE EDUCAÇÃO INFANTIL SÃO'!C25</f>
        <v/>
      </c>
    </row>
    <row r="874" ht="15" customHeight="1" s="107">
      <c r="A874" s="216">
        <f>'CENTRO DE EDUCAÇÃO INFANTIL SÃO'!F26</f>
        <v/>
      </c>
      <c r="B874" s="217">
        <f>'CENTRO DE EDUCAÇÃO INFANTIL SÃO'!C26</f>
        <v/>
      </c>
    </row>
    <row r="875" ht="15" customHeight="1" s="107">
      <c r="A875" s="216">
        <f>'CENTRO DE EDUCAÇÃO INFANTIL SÃO'!F27</f>
        <v/>
      </c>
      <c r="B875" s="217">
        <f>'CENTRO DE EDUCAÇÃO INFANTIL SÃO'!C27</f>
        <v/>
      </c>
    </row>
    <row r="876" ht="15" customHeight="1" s="107">
      <c r="A876" s="216">
        <f>'E M LEONARDO BOFF'!F9</f>
        <v/>
      </c>
      <c r="B876" s="217">
        <f>'E M LEONARDO BOFF'!C9</f>
        <v/>
      </c>
    </row>
    <row r="877" ht="15" customHeight="1" s="107">
      <c r="A877" s="216">
        <f>'E M LEONARDO BOFF'!F10</f>
        <v/>
      </c>
      <c r="B877" s="217">
        <f>'E M LEONARDO BOFF'!C10</f>
        <v/>
      </c>
    </row>
    <row r="878" ht="15" customHeight="1" s="107">
      <c r="A878" s="216">
        <f>'E M LEONARDO BOFF'!F11</f>
        <v/>
      </c>
      <c r="B878" s="217">
        <f>'E M LEONARDO BOFF'!C11</f>
        <v/>
      </c>
    </row>
    <row r="879" ht="15" customHeight="1" s="107">
      <c r="A879" s="216">
        <f>'E M LEONARDO BOFF'!F12</f>
        <v/>
      </c>
      <c r="B879" s="217">
        <f>'E M LEONARDO BOFF'!C12</f>
        <v/>
      </c>
    </row>
    <row r="880" ht="15" customHeight="1" s="107">
      <c r="A880" s="216">
        <f>'E M LEONARDO BOFF'!F13</f>
        <v/>
      </c>
      <c r="B880" s="217">
        <f>'E M LEONARDO BOFF'!C13</f>
        <v/>
      </c>
    </row>
    <row r="881" ht="15" customHeight="1" s="107">
      <c r="A881" s="216">
        <f>'E M LEONARDO BOFF'!F14</f>
        <v/>
      </c>
      <c r="B881" s="217">
        <f>'E M LEONARDO BOFF'!C14</f>
        <v/>
      </c>
    </row>
    <row r="882" ht="15" customHeight="1" s="107">
      <c r="A882" s="216">
        <f>'E M LEONARDO BOFF'!F15</f>
        <v/>
      </c>
      <c r="B882" s="217">
        <f>'E M LEONARDO BOFF'!C15</f>
        <v/>
      </c>
    </row>
    <row r="883" ht="15" customHeight="1" s="107">
      <c r="A883" s="216">
        <f>'E M LEONARDO BOFF'!F16</f>
        <v/>
      </c>
      <c r="B883" s="217">
        <f>'E M LEONARDO BOFF'!C16</f>
        <v/>
      </c>
    </row>
    <row r="884" ht="15" customHeight="1" s="107">
      <c r="A884" s="216">
        <f>'E M LEONARDO BOFF'!F17</f>
        <v/>
      </c>
      <c r="B884" s="217">
        <f>'E M LEONARDO BOFF'!C17</f>
        <v/>
      </c>
    </row>
    <row r="885" ht="15" customHeight="1" s="107">
      <c r="A885" s="216">
        <f>'E M LEONARDO BOFF'!F18</f>
        <v/>
      </c>
      <c r="B885" s="217">
        <f>'E M LEONARDO BOFF'!C18</f>
        <v/>
      </c>
    </row>
    <row r="886" ht="15" customHeight="1" s="107">
      <c r="A886" s="216">
        <f>'E M LEONARDO BOFF'!F19</f>
        <v/>
      </c>
      <c r="B886" s="217">
        <f>'E M LEONARDO BOFF'!C19</f>
        <v/>
      </c>
    </row>
    <row r="887" ht="15" customHeight="1" s="107">
      <c r="A887" s="216">
        <f>'E M LEONARDO BOFF'!F20</f>
        <v/>
      </c>
      <c r="B887" s="217">
        <f>'E M LEONARDO BOFF'!C20</f>
        <v/>
      </c>
    </row>
    <row r="888" ht="15" customHeight="1" s="107">
      <c r="A888" s="216">
        <f>'E M LEONARDO BOFF'!F21</f>
        <v/>
      </c>
      <c r="B888" s="217">
        <f>'E M LEONARDO BOFF'!C21</f>
        <v/>
      </c>
    </row>
    <row r="889" ht="15" customHeight="1" s="107">
      <c r="A889" s="216">
        <f>'E M LEONARDO BOFF'!F22</f>
        <v/>
      </c>
      <c r="B889" s="217">
        <f>'E M LEONARDO BOFF'!C22</f>
        <v/>
      </c>
    </row>
    <row r="890" ht="15" customHeight="1" s="107">
      <c r="A890" s="216">
        <f>'E M LEONARDO BOFF'!F23</f>
        <v/>
      </c>
      <c r="B890" s="217">
        <f>'E M LEONARDO BOFF'!C23</f>
        <v/>
      </c>
    </row>
    <row r="891" ht="15" customHeight="1" s="107">
      <c r="A891" s="216">
        <f>'E M LEONARDO BOFF'!F24</f>
        <v/>
      </c>
      <c r="B891" s="217">
        <f>'E M LEONARDO BOFF'!C24</f>
        <v/>
      </c>
    </row>
    <row r="892" ht="15" customHeight="1" s="107">
      <c r="A892" s="216">
        <f>'E M LEONARDO BOFF'!F25</f>
        <v/>
      </c>
      <c r="B892" s="217">
        <f>'E M LEONARDO BOFF'!C25</f>
        <v/>
      </c>
    </row>
    <row r="893" ht="15" customHeight="1" s="107">
      <c r="A893" s="216">
        <f>'E M LEONARDO BOFF'!F26</f>
        <v/>
      </c>
      <c r="B893" s="217">
        <f>'E M LEONARDO BOFF'!C26</f>
        <v/>
      </c>
    </row>
    <row r="894" ht="15" customHeight="1" s="107">
      <c r="A894" s="216">
        <f>'E M LEONARDO BOFF'!F27</f>
        <v/>
      </c>
      <c r="B894" s="217">
        <f>'E M LEONARDO BOFF'!C27</f>
        <v/>
      </c>
    </row>
    <row r="895" ht="15" customHeight="1" s="107">
      <c r="A895" s="216">
        <f>'ESCOLA MUNICIPAL GENERAL HEITOR'!F9</f>
        <v/>
      </c>
      <c r="B895" s="217">
        <f>'ESCOLA MUNICIPAL GENERAL HEITOR'!C9</f>
        <v/>
      </c>
    </row>
    <row r="896" ht="15" customHeight="1" s="107">
      <c r="A896" s="216">
        <f>'ESCOLA MUNICIPAL GENERAL HEITOR'!F10</f>
        <v/>
      </c>
      <c r="B896" s="217">
        <f>'ESCOLA MUNICIPAL GENERAL HEITOR'!C10</f>
        <v/>
      </c>
    </row>
    <row r="897" ht="15" customHeight="1" s="107">
      <c r="A897" s="216">
        <f>'ESCOLA MUNICIPAL GENERAL HEITOR'!F11</f>
        <v/>
      </c>
      <c r="B897" s="217">
        <f>'ESCOLA MUNICIPAL GENERAL HEITOR'!C11</f>
        <v/>
      </c>
    </row>
    <row r="898" ht="15" customHeight="1" s="107">
      <c r="A898" s="216">
        <f>'ESCOLA MUNICIPAL GENERAL HEITOR'!F12</f>
        <v/>
      </c>
      <c r="B898" s="217">
        <f>'ESCOLA MUNICIPAL GENERAL HEITOR'!C12</f>
        <v/>
      </c>
    </row>
    <row r="899" ht="15" customHeight="1" s="107">
      <c r="A899" s="216">
        <f>'ESCOLA MUNICIPAL GENERAL HEITOR'!F13</f>
        <v/>
      </c>
      <c r="B899" s="217">
        <f>'ESCOLA MUNICIPAL GENERAL HEITOR'!C13</f>
        <v/>
      </c>
    </row>
    <row r="900" ht="15" customHeight="1" s="107">
      <c r="A900" s="216">
        <f>'ESCOLA MUNICIPAL GENERAL HEITOR'!F14</f>
        <v/>
      </c>
      <c r="B900" s="217">
        <f>'ESCOLA MUNICIPAL GENERAL HEITOR'!C14</f>
        <v/>
      </c>
    </row>
    <row r="901" ht="15" customHeight="1" s="107">
      <c r="A901" s="216">
        <f>'ESCOLA MUNICIPAL GENERAL HEITOR'!F15</f>
        <v/>
      </c>
      <c r="B901" s="217">
        <f>'ESCOLA MUNICIPAL GENERAL HEITOR'!C15</f>
        <v/>
      </c>
    </row>
    <row r="902" ht="15" customHeight="1" s="107">
      <c r="A902" s="216">
        <f>'ESCOLA MUNICIPAL GENERAL HEITOR'!F16</f>
        <v/>
      </c>
      <c r="B902" s="217">
        <f>'ESCOLA MUNICIPAL GENERAL HEITOR'!C16</f>
        <v/>
      </c>
    </row>
    <row r="903" ht="15" customHeight="1" s="107">
      <c r="A903" s="216">
        <f>'ESCOLA MUNICIPAL GENERAL HEITOR'!F17</f>
        <v/>
      </c>
      <c r="B903" s="217">
        <f>'ESCOLA MUNICIPAL GENERAL HEITOR'!C17</f>
        <v/>
      </c>
    </row>
    <row r="904" ht="15" customHeight="1" s="107">
      <c r="A904" s="216">
        <f>'ESCOLA MUNICIPAL GENERAL HEITOR'!F18</f>
        <v/>
      </c>
      <c r="B904" s="217">
        <f>'ESCOLA MUNICIPAL GENERAL HEITOR'!C18</f>
        <v/>
      </c>
    </row>
    <row r="905" ht="15" customHeight="1" s="107">
      <c r="A905" s="216">
        <f>'ESCOLA MUNICIPAL GENERAL HEITOR'!F19</f>
        <v/>
      </c>
      <c r="B905" s="217">
        <f>'ESCOLA MUNICIPAL GENERAL HEITOR'!C19</f>
        <v/>
      </c>
    </row>
    <row r="906" ht="15" customHeight="1" s="107">
      <c r="A906" s="216">
        <f>'ESCOLA MUNICIPAL GENERAL HEITOR'!F20</f>
        <v/>
      </c>
      <c r="B906" s="217">
        <f>'ESCOLA MUNICIPAL GENERAL HEITOR'!C20</f>
        <v/>
      </c>
    </row>
    <row r="907" ht="15" customHeight="1" s="107">
      <c r="A907" s="216">
        <f>'ESCOLA MUNICIPAL GENERAL HEITOR'!F21</f>
        <v/>
      </c>
      <c r="B907" s="217">
        <f>'ESCOLA MUNICIPAL GENERAL HEITOR'!C21</f>
        <v/>
      </c>
    </row>
    <row r="908" ht="15" customHeight="1" s="107">
      <c r="A908" s="216">
        <f>'ESCOLA MUNICIPAL GENERAL HEITOR'!F22</f>
        <v/>
      </c>
      <c r="B908" s="217">
        <f>'ESCOLA MUNICIPAL GENERAL HEITOR'!C22</f>
        <v/>
      </c>
    </row>
    <row r="909" ht="15" customHeight="1" s="107">
      <c r="A909" s="216">
        <f>'ESCOLA MUNICIPAL GENERAL HEITOR'!F23</f>
        <v/>
      </c>
      <c r="B909" s="217">
        <f>'ESCOLA MUNICIPAL GENERAL HEITOR'!C23</f>
        <v/>
      </c>
    </row>
    <row r="910" ht="15" customHeight="1" s="107">
      <c r="A910" s="216">
        <f>'ESCOLA MUNICIPAL GENERAL HEITOR'!F24</f>
        <v/>
      </c>
      <c r="B910" s="217">
        <f>'ESCOLA MUNICIPAL GENERAL HEITOR'!C24</f>
        <v/>
      </c>
    </row>
    <row r="911" ht="15" customHeight="1" s="107">
      <c r="A911" s="216">
        <f>'ESCOLA MUNICIPAL GENERAL HEITOR'!F25</f>
        <v/>
      </c>
      <c r="B911" s="217">
        <f>'ESCOLA MUNICIPAL GENERAL HEITOR'!C25</f>
        <v/>
      </c>
    </row>
    <row r="912" ht="15" customHeight="1" s="107">
      <c r="A912" s="216">
        <f>'ESCOLA MUNICIPAL GENERAL HEITOR'!F26</f>
        <v/>
      </c>
      <c r="B912" s="217">
        <f>'ESCOLA MUNICIPAL GENERAL HEITOR'!C26</f>
        <v/>
      </c>
    </row>
    <row r="913" ht="15" customHeight="1" s="107">
      <c r="A913" s="216">
        <f>'ESCOLA MUNICIPAL GENERAL HEITOR'!F27</f>
        <v/>
      </c>
      <c r="B913" s="217">
        <f>'ESCOLA MUNICIPAL GENERAL HEITOR'!C27</f>
        <v/>
      </c>
    </row>
    <row r="914" ht="15" customHeight="1" s="107">
      <c r="A914" s="216">
        <f>'E M JOHANN NOEL'!F9</f>
        <v/>
      </c>
      <c r="B914" s="217">
        <f>'E M JOHANN NOEL'!C9</f>
        <v/>
      </c>
    </row>
    <row r="915" ht="15" customHeight="1" s="107">
      <c r="A915" s="216">
        <f>'E M JOHANN NOEL'!F10</f>
        <v/>
      </c>
      <c r="B915" s="217">
        <f>'E M JOHANN NOEL'!C10</f>
        <v/>
      </c>
    </row>
    <row r="916" ht="15" customHeight="1" s="107">
      <c r="A916" s="216">
        <f>'E M JOHANN NOEL'!F11</f>
        <v/>
      </c>
      <c r="B916" s="217">
        <f>'E M JOHANN NOEL'!C11</f>
        <v/>
      </c>
    </row>
    <row r="917" ht="15" customHeight="1" s="107">
      <c r="A917" s="216">
        <f>'E M JOHANN NOEL'!F12</f>
        <v/>
      </c>
      <c r="B917" s="217">
        <f>'E M JOHANN NOEL'!C12</f>
        <v/>
      </c>
    </row>
    <row r="918" ht="15" customHeight="1" s="107">
      <c r="A918" s="216">
        <f>'E M JOHANN NOEL'!F13</f>
        <v/>
      </c>
      <c r="B918" s="217">
        <f>'E M JOHANN NOEL'!C13</f>
        <v/>
      </c>
    </row>
    <row r="919" ht="15" customHeight="1" s="107">
      <c r="A919" s="216">
        <f>'E M JOHANN NOEL'!F14</f>
        <v/>
      </c>
      <c r="B919" s="217">
        <f>'E M JOHANN NOEL'!C14</f>
        <v/>
      </c>
    </row>
    <row r="920" ht="15" customHeight="1" s="107">
      <c r="A920" s="216">
        <f>'E M JOHANN NOEL'!F15</f>
        <v/>
      </c>
      <c r="B920" s="217">
        <f>'E M JOHANN NOEL'!C15</f>
        <v/>
      </c>
    </row>
    <row r="921" ht="15" customHeight="1" s="107">
      <c r="A921" s="216">
        <f>'E M JOHANN NOEL'!F16</f>
        <v/>
      </c>
      <c r="B921" s="217">
        <f>'E M JOHANN NOEL'!C16</f>
        <v/>
      </c>
    </row>
    <row r="922" ht="15" customHeight="1" s="107">
      <c r="A922" s="216">
        <f>'E M JOHANN NOEL'!F17</f>
        <v/>
      </c>
      <c r="B922" s="217">
        <f>'E M JOHANN NOEL'!C17</f>
        <v/>
      </c>
    </row>
    <row r="923" ht="15" customHeight="1" s="107">
      <c r="A923" s="216">
        <f>'E M JOHANN NOEL'!F18</f>
        <v/>
      </c>
      <c r="B923" s="217">
        <f>'E M JOHANN NOEL'!C18</f>
        <v/>
      </c>
    </row>
    <row r="924" ht="15" customHeight="1" s="107">
      <c r="A924" s="216">
        <f>'E M JOHANN NOEL'!F19</f>
        <v/>
      </c>
      <c r="B924" s="217">
        <f>'E M JOHANN NOEL'!C19</f>
        <v/>
      </c>
    </row>
    <row r="925" ht="15" customHeight="1" s="107">
      <c r="A925" s="216">
        <f>'E M JOHANN NOEL'!F20</f>
        <v/>
      </c>
      <c r="B925" s="217">
        <f>'E M JOHANN NOEL'!C20</f>
        <v/>
      </c>
    </row>
    <row r="926" ht="15" customHeight="1" s="107">
      <c r="A926" s="216">
        <f>'E M JOHANN NOEL'!F21</f>
        <v/>
      </c>
      <c r="B926" s="217">
        <f>'E M JOHANN NOEL'!C21</f>
        <v/>
      </c>
    </row>
    <row r="927" ht="15" customHeight="1" s="107">
      <c r="A927" s="216">
        <f>'E M JOHANN NOEL'!F22</f>
        <v/>
      </c>
      <c r="B927" s="217">
        <f>'E M JOHANN NOEL'!C22</f>
        <v/>
      </c>
    </row>
    <row r="928" ht="15" customHeight="1" s="107">
      <c r="A928" s="216">
        <f>'E M JOHANN NOEL'!F23</f>
        <v/>
      </c>
      <c r="B928" s="217">
        <f>'E M JOHANN NOEL'!C23</f>
        <v/>
      </c>
    </row>
    <row r="929" ht="15" customHeight="1" s="107">
      <c r="A929" s="216">
        <f>'E M JOHANN NOEL'!F24</f>
        <v/>
      </c>
      <c r="B929" s="217">
        <f>'E M JOHANN NOEL'!C24</f>
        <v/>
      </c>
    </row>
    <row r="930" ht="15" customHeight="1" s="107">
      <c r="A930" s="216">
        <f>'E M JOHANN NOEL'!F25</f>
        <v/>
      </c>
      <c r="B930" s="217">
        <f>'E M JOHANN NOEL'!C25</f>
        <v/>
      </c>
    </row>
    <row r="931" ht="15" customHeight="1" s="107">
      <c r="A931" s="216">
        <f>'E M JOHANN NOEL'!F26</f>
        <v/>
      </c>
      <c r="B931" s="217">
        <f>'E M JOHANN NOEL'!C26</f>
        <v/>
      </c>
    </row>
    <row r="932" ht="15" customHeight="1" s="107">
      <c r="A932" s="216">
        <f>'E M JOHANN NOEL'!F27</f>
        <v/>
      </c>
      <c r="B932" s="217">
        <f>'E M JOHANN NOEL'!C27</f>
        <v/>
      </c>
    </row>
    <row r="933" ht="15" customHeight="1" s="107">
      <c r="A933" s="216">
        <f>'ESCOLA SANTA MARIA GORETTI'!F9</f>
        <v/>
      </c>
      <c r="B933" s="217">
        <f>'ESCOLA SANTA MARIA GORETTI'!C9</f>
        <v/>
      </c>
    </row>
    <row r="934" ht="15" customHeight="1" s="107">
      <c r="A934" s="216">
        <f>'ESCOLA SANTA MARIA GORETTI'!F10</f>
        <v/>
      </c>
      <c r="B934" s="217">
        <f>'ESCOLA SANTA MARIA GORETTI'!C10</f>
        <v/>
      </c>
    </row>
    <row r="935" ht="15" customHeight="1" s="107">
      <c r="A935" s="216">
        <f>'ESCOLA SANTA MARIA GORETTI'!F11</f>
        <v/>
      </c>
      <c r="B935" s="217">
        <f>'ESCOLA SANTA MARIA GORETTI'!C11</f>
        <v/>
      </c>
    </row>
    <row r="936" ht="15" customHeight="1" s="107">
      <c r="A936" s="216">
        <f>'ESCOLA SANTA MARIA GORETTI'!F12</f>
        <v/>
      </c>
      <c r="B936" s="217">
        <f>'ESCOLA SANTA MARIA GORETTI'!C12</f>
        <v/>
      </c>
    </row>
    <row r="937" ht="15" customHeight="1" s="107">
      <c r="A937" s="216">
        <f>'ESCOLA SANTA MARIA GORETTI'!F13</f>
        <v/>
      </c>
      <c r="B937" s="217">
        <f>'ESCOLA SANTA MARIA GORETTI'!C13</f>
        <v/>
      </c>
    </row>
    <row r="938" ht="15" customHeight="1" s="107">
      <c r="A938" s="216">
        <f>'ESCOLA SANTA MARIA GORETTI'!F14</f>
        <v/>
      </c>
      <c r="B938" s="217">
        <f>'ESCOLA SANTA MARIA GORETTI'!C14</f>
        <v/>
      </c>
    </row>
    <row r="939" ht="15" customHeight="1" s="107">
      <c r="A939" s="216">
        <f>'ESCOLA SANTA MARIA GORETTI'!F15</f>
        <v/>
      </c>
      <c r="B939" s="217">
        <f>'ESCOLA SANTA MARIA GORETTI'!C15</f>
        <v/>
      </c>
    </row>
    <row r="940" ht="15" customHeight="1" s="107">
      <c r="A940" s="216">
        <f>'ESCOLA SANTA MARIA GORETTI'!F16</f>
        <v/>
      </c>
      <c r="B940" s="217">
        <f>'ESCOLA SANTA MARIA GORETTI'!C16</f>
        <v/>
      </c>
    </row>
    <row r="941" ht="15" customHeight="1" s="107">
      <c r="A941" s="216">
        <f>'ESCOLA SANTA MARIA GORETTI'!F17</f>
        <v/>
      </c>
      <c r="B941" s="217">
        <f>'ESCOLA SANTA MARIA GORETTI'!C17</f>
        <v/>
      </c>
    </row>
    <row r="942" ht="15" customHeight="1" s="107">
      <c r="A942" s="216">
        <f>'ESCOLA SANTA MARIA GORETTI'!F18</f>
        <v/>
      </c>
      <c r="B942" s="217">
        <f>'ESCOLA SANTA MARIA GORETTI'!C18</f>
        <v/>
      </c>
    </row>
    <row r="943" ht="15" customHeight="1" s="107">
      <c r="A943" s="216">
        <f>'ESCOLA SANTA MARIA GORETTI'!F19</f>
        <v/>
      </c>
      <c r="B943" s="217">
        <f>'ESCOLA SANTA MARIA GORETTI'!C19</f>
        <v/>
      </c>
    </row>
    <row r="944" ht="15" customHeight="1" s="107">
      <c r="A944" s="216">
        <f>'ESCOLA SANTA MARIA GORETTI'!F20</f>
        <v/>
      </c>
      <c r="B944" s="217">
        <f>'ESCOLA SANTA MARIA GORETTI'!C20</f>
        <v/>
      </c>
    </row>
    <row r="945" ht="15" customHeight="1" s="107">
      <c r="A945" s="216">
        <f>'ESCOLA SANTA MARIA GORETTI'!F21</f>
        <v/>
      </c>
      <c r="B945" s="217">
        <f>'ESCOLA SANTA MARIA GORETTI'!C21</f>
        <v/>
      </c>
    </row>
    <row r="946" ht="15" customHeight="1" s="107">
      <c r="A946" s="216">
        <f>'ESCOLA SANTA MARIA GORETTI'!F22</f>
        <v/>
      </c>
      <c r="B946" s="217">
        <f>'ESCOLA SANTA MARIA GORETTI'!C22</f>
        <v/>
      </c>
    </row>
    <row r="947" ht="15" customHeight="1" s="107">
      <c r="A947" s="216">
        <f>'ESCOLA SANTA MARIA GORETTI'!F23</f>
        <v/>
      </c>
      <c r="B947" s="217">
        <f>'ESCOLA SANTA MARIA GORETTI'!C23</f>
        <v/>
      </c>
    </row>
    <row r="948" ht="15" customHeight="1" s="107">
      <c r="A948" s="216">
        <f>'ESCOLA SANTA MARIA GORETTI'!F24</f>
        <v/>
      </c>
      <c r="B948" s="217">
        <f>'ESCOLA SANTA MARIA GORETTI'!C24</f>
        <v/>
      </c>
    </row>
    <row r="949" ht="15" customHeight="1" s="107">
      <c r="A949" s="216">
        <f>'ESCOLA SANTA MARIA GORETTI'!F25</f>
        <v/>
      </c>
      <c r="B949" s="217">
        <f>'ESCOLA SANTA MARIA GORETTI'!C25</f>
        <v/>
      </c>
    </row>
    <row r="950" ht="15" customHeight="1" s="107">
      <c r="A950" s="216">
        <f>'ESCOLA SANTA MARIA GORETTI'!F26</f>
        <v/>
      </c>
      <c r="B950" s="217">
        <f>'ESCOLA SANTA MARIA GORETTI'!C26</f>
        <v/>
      </c>
    </row>
    <row r="951" ht="15" customHeight="1" s="107">
      <c r="A951" s="216">
        <f>'ESCOLA SANTA MARIA GORETTI'!F27</f>
        <v/>
      </c>
      <c r="B951" s="217">
        <f>'ESCOLA SANTA MARIA GORETTI'!C27</f>
        <v/>
      </c>
    </row>
    <row r="952" ht="15" customHeight="1" s="107">
      <c r="A952" s="216">
        <f>'ESCOLA SANTA RITA DE CASSIA'!F9</f>
        <v/>
      </c>
      <c r="B952" s="217">
        <f>'ESCOLA SANTA RITA DE CASSIA'!C9</f>
        <v/>
      </c>
    </row>
    <row r="953" ht="15" customHeight="1" s="107">
      <c r="A953" s="216">
        <f>'ESCOLA SANTA RITA DE CASSIA'!F10</f>
        <v/>
      </c>
      <c r="B953" s="217">
        <f>'ESCOLA SANTA RITA DE CASSIA'!C10</f>
        <v/>
      </c>
    </row>
    <row r="954" ht="15" customHeight="1" s="107">
      <c r="A954" s="216">
        <f>'ESCOLA SANTA RITA DE CASSIA'!F11</f>
        <v/>
      </c>
      <c r="B954" s="217">
        <f>'ESCOLA SANTA RITA DE CASSIA'!C11</f>
        <v/>
      </c>
    </row>
    <row r="955" ht="15" customHeight="1" s="107">
      <c r="A955" s="216">
        <f>'ESCOLA SANTA RITA DE CASSIA'!F12</f>
        <v/>
      </c>
      <c r="B955" s="217">
        <f>'ESCOLA SANTA RITA DE CASSIA'!C12</f>
        <v/>
      </c>
    </row>
    <row r="956" ht="15" customHeight="1" s="107">
      <c r="A956" s="216">
        <f>'ESCOLA SANTA RITA DE CASSIA'!F13</f>
        <v/>
      </c>
      <c r="B956" s="217">
        <f>'ESCOLA SANTA RITA DE CASSIA'!C13</f>
        <v/>
      </c>
    </row>
    <row r="957" ht="15" customHeight="1" s="107">
      <c r="A957" s="216">
        <f>'ESCOLA SANTA RITA DE CASSIA'!F14</f>
        <v/>
      </c>
      <c r="B957" s="217">
        <f>'ESCOLA SANTA RITA DE CASSIA'!C14</f>
        <v/>
      </c>
    </row>
    <row r="958" ht="15" customHeight="1" s="107">
      <c r="A958" s="216">
        <f>'ESCOLA SANTA RITA DE CASSIA'!F15</f>
        <v/>
      </c>
      <c r="B958" s="217">
        <f>'ESCOLA SANTA RITA DE CASSIA'!C15</f>
        <v/>
      </c>
    </row>
    <row r="959" ht="15" customHeight="1" s="107">
      <c r="A959" s="216">
        <f>'ESCOLA SANTA RITA DE CASSIA'!F16</f>
        <v/>
      </c>
      <c r="B959" s="217">
        <f>'ESCOLA SANTA RITA DE CASSIA'!C16</f>
        <v/>
      </c>
    </row>
    <row r="960" ht="15" customHeight="1" s="107">
      <c r="A960" s="216">
        <f>'ESCOLA SANTA RITA DE CASSIA'!F17</f>
        <v/>
      </c>
      <c r="B960" s="217">
        <f>'ESCOLA SANTA RITA DE CASSIA'!C17</f>
        <v/>
      </c>
    </row>
    <row r="961" ht="15" customHeight="1" s="107">
      <c r="A961" s="216">
        <f>'ESCOLA SANTA RITA DE CASSIA'!F18</f>
        <v/>
      </c>
      <c r="B961" s="217">
        <f>'ESCOLA SANTA RITA DE CASSIA'!C18</f>
        <v/>
      </c>
    </row>
    <row r="962" ht="15" customHeight="1" s="107">
      <c r="A962" s="216">
        <f>'ESCOLA SANTA RITA DE CASSIA'!F19</f>
        <v/>
      </c>
      <c r="B962" s="217">
        <f>'ESCOLA SANTA RITA DE CASSIA'!C19</f>
        <v/>
      </c>
    </row>
    <row r="963" ht="15" customHeight="1" s="107">
      <c r="A963" s="216">
        <f>'ESCOLA SANTA RITA DE CASSIA'!F20</f>
        <v/>
      </c>
      <c r="B963" s="217">
        <f>'ESCOLA SANTA RITA DE CASSIA'!C20</f>
        <v/>
      </c>
    </row>
    <row r="964" ht="15" customHeight="1" s="107">
      <c r="A964" s="216">
        <f>'ESCOLA SANTA RITA DE CASSIA'!F21</f>
        <v/>
      </c>
      <c r="B964" s="217">
        <f>'ESCOLA SANTA RITA DE CASSIA'!C21</f>
        <v/>
      </c>
    </row>
    <row r="965" ht="15" customHeight="1" s="107">
      <c r="A965" s="216">
        <f>'ESCOLA SANTA RITA DE CASSIA'!F22</f>
        <v/>
      </c>
      <c r="B965" s="217">
        <f>'ESCOLA SANTA RITA DE CASSIA'!C22</f>
        <v/>
      </c>
    </row>
    <row r="966" ht="15" customHeight="1" s="107">
      <c r="A966" s="216">
        <f>'ESCOLA SANTA RITA DE CASSIA'!F23</f>
        <v/>
      </c>
      <c r="B966" s="217">
        <f>'ESCOLA SANTA RITA DE CASSIA'!C23</f>
        <v/>
      </c>
    </row>
    <row r="967" ht="15" customHeight="1" s="107">
      <c r="A967" s="216">
        <f>'ESCOLA SANTA RITA DE CASSIA'!F24</f>
        <v/>
      </c>
      <c r="B967" s="217">
        <f>'ESCOLA SANTA RITA DE CASSIA'!C24</f>
        <v/>
      </c>
    </row>
    <row r="968" ht="15" customHeight="1" s="107">
      <c r="A968" s="216">
        <f>'ESCOLA SANTA RITA DE CASSIA'!F25</f>
        <v/>
      </c>
      <c r="B968" s="217">
        <f>'ESCOLA SANTA RITA DE CASSIA'!C25</f>
        <v/>
      </c>
    </row>
    <row r="969" ht="15" customHeight="1" s="107">
      <c r="A969" s="216">
        <f>'ESCOLA SANTA RITA DE CASSIA'!F26</f>
        <v/>
      </c>
      <c r="B969" s="217">
        <f>'ESCOLA SANTA RITA DE CASSIA'!C26</f>
        <v/>
      </c>
    </row>
    <row r="970" ht="15" customHeight="1" s="107">
      <c r="A970" s="216">
        <f>'ESCOLA SANTA RITA DE CASSIA'!F27</f>
        <v/>
      </c>
      <c r="B970" s="217">
        <f>'ESCOLA SANTA RITA DE CASSIA'!C27</f>
        <v/>
      </c>
    </row>
    <row r="971" ht="15" customHeight="1" s="107">
      <c r="A971" s="216">
        <f>'ESCOLA SÃO JOÃO BATISTA'!F9</f>
        <v/>
      </c>
      <c r="B971" s="217">
        <f>'ESCOLA SÃO JOÃO BATISTA'!C9</f>
        <v/>
      </c>
    </row>
    <row r="972" ht="15" customHeight="1" s="107">
      <c r="A972" s="216">
        <f>'ESCOLA SÃO JOÃO BATISTA'!F10</f>
        <v/>
      </c>
      <c r="B972" s="217">
        <f>'ESCOLA SÃO JOÃO BATISTA'!C10</f>
        <v/>
      </c>
    </row>
    <row r="973" ht="15" customHeight="1" s="107">
      <c r="A973" s="216">
        <f>'ESCOLA SÃO JOÃO BATISTA'!F11</f>
        <v/>
      </c>
      <c r="B973" s="217">
        <f>'ESCOLA SÃO JOÃO BATISTA'!C11</f>
        <v/>
      </c>
    </row>
    <row r="974" ht="15" customHeight="1" s="107">
      <c r="A974" s="216">
        <f>'ESCOLA SÃO JOÃO BATISTA'!F12</f>
        <v/>
      </c>
      <c r="B974" s="217">
        <f>'ESCOLA SÃO JOÃO BATISTA'!C12</f>
        <v/>
      </c>
    </row>
    <row r="975" ht="15" customHeight="1" s="107">
      <c r="A975" s="216">
        <f>'ESCOLA SÃO JOÃO BATISTA'!F13</f>
        <v/>
      </c>
      <c r="B975" s="217">
        <f>'ESCOLA SÃO JOÃO BATISTA'!C13</f>
        <v/>
      </c>
    </row>
    <row r="976" ht="15" customHeight="1" s="107">
      <c r="A976" s="216">
        <f>'ESCOLA SÃO JOÃO BATISTA'!F14</f>
        <v/>
      </c>
      <c r="B976" s="217">
        <f>'ESCOLA SÃO JOÃO BATISTA'!C14</f>
        <v/>
      </c>
    </row>
    <row r="977" ht="15" customHeight="1" s="107">
      <c r="A977" s="216">
        <f>'ESCOLA SÃO JOÃO BATISTA'!F15</f>
        <v/>
      </c>
      <c r="B977" s="217">
        <f>'ESCOLA SÃO JOÃO BATISTA'!C15</f>
        <v/>
      </c>
    </row>
    <row r="978" ht="15" customHeight="1" s="107">
      <c r="A978" s="216">
        <f>'ESCOLA SÃO JOÃO BATISTA'!F16</f>
        <v/>
      </c>
      <c r="B978" s="217">
        <f>'ESCOLA SÃO JOÃO BATISTA'!C16</f>
        <v/>
      </c>
    </row>
    <row r="979" ht="15" customHeight="1" s="107">
      <c r="A979" s="216">
        <f>'ESCOLA SÃO JOÃO BATISTA'!F17</f>
        <v/>
      </c>
      <c r="B979" s="217">
        <f>'ESCOLA SÃO JOÃO BATISTA'!C17</f>
        <v/>
      </c>
    </row>
    <row r="980" ht="15" customHeight="1" s="107">
      <c r="A980" s="216">
        <f>'ESCOLA SÃO JOÃO BATISTA'!F18</f>
        <v/>
      </c>
      <c r="B980" s="217">
        <f>'ESCOLA SÃO JOÃO BATISTA'!C18</f>
        <v/>
      </c>
    </row>
    <row r="981" ht="15" customHeight="1" s="107">
      <c r="A981" s="216">
        <f>'ESCOLA SÃO JOÃO BATISTA'!F19</f>
        <v/>
      </c>
      <c r="B981" s="217">
        <f>'ESCOLA SÃO JOÃO BATISTA'!C19</f>
        <v/>
      </c>
    </row>
    <row r="982" ht="15" customHeight="1" s="107">
      <c r="A982" s="216">
        <f>'ESCOLA SÃO JOÃO BATISTA'!F20</f>
        <v/>
      </c>
      <c r="B982" s="217">
        <f>'ESCOLA SÃO JOÃO BATISTA'!C20</f>
        <v/>
      </c>
    </row>
    <row r="983" ht="15" customHeight="1" s="107">
      <c r="A983" s="216">
        <f>'ESCOLA SÃO JOÃO BATISTA'!F21</f>
        <v/>
      </c>
      <c r="B983" s="217">
        <f>'ESCOLA SÃO JOÃO BATISTA'!C21</f>
        <v/>
      </c>
    </row>
    <row r="984" ht="15" customHeight="1" s="107">
      <c r="A984" s="216">
        <f>'ESCOLA SÃO JOÃO BATISTA'!F22</f>
        <v/>
      </c>
      <c r="B984" s="217">
        <f>'ESCOLA SÃO JOÃO BATISTA'!C22</f>
        <v/>
      </c>
    </row>
    <row r="985" ht="15" customHeight="1" s="107">
      <c r="A985" s="216">
        <f>'ESCOLA SÃO JOÃO BATISTA'!F23</f>
        <v/>
      </c>
      <c r="B985" s="217">
        <f>'ESCOLA SÃO JOÃO BATISTA'!C23</f>
        <v/>
      </c>
    </row>
    <row r="986" ht="15" customHeight="1" s="107">
      <c r="A986" s="216">
        <f>'ESCOLA SÃO JOÃO BATISTA'!F24</f>
        <v/>
      </c>
      <c r="B986" s="217">
        <f>'ESCOLA SÃO JOÃO BATISTA'!C24</f>
        <v/>
      </c>
    </row>
    <row r="987" ht="15" customHeight="1" s="107">
      <c r="A987" s="216">
        <f>'ESCOLA SÃO JOÃO BATISTA'!F25</f>
        <v/>
      </c>
      <c r="B987" s="217">
        <f>'ESCOLA SÃO JOÃO BATISTA'!C25</f>
        <v/>
      </c>
    </row>
    <row r="988" ht="15" customHeight="1" s="107">
      <c r="A988" s="216">
        <f>'ESCOLA SÃO JOÃO BATISTA'!F26</f>
        <v/>
      </c>
      <c r="B988" s="217">
        <f>'ESCOLA SÃO JOÃO BATISTA'!C26</f>
        <v/>
      </c>
    </row>
    <row r="989" ht="15" customHeight="1" s="107">
      <c r="A989" s="216">
        <f>'ESCOLA SÃO JOÃO BATISTA'!F27</f>
        <v/>
      </c>
      <c r="B989" s="217">
        <f>'ESCOLA SÃO JOÃO BATISTA'!C27</f>
        <v/>
      </c>
    </row>
    <row r="990" ht="15" customHeight="1" s="107">
      <c r="A990" s="216">
        <f>'CEI CASA DA SOLIDARIEDADE DE NO'!F9</f>
        <v/>
      </c>
      <c r="B990" s="217">
        <f>'CEI CASA DA SOLIDARIEDADE DE NO'!C9</f>
        <v/>
      </c>
    </row>
    <row r="991" ht="15" customHeight="1" s="107">
      <c r="A991" s="216">
        <f>'CEI CASA DA SOLIDARIEDADE DE NO'!F10</f>
        <v/>
      </c>
      <c r="B991" s="217">
        <f>'CEI CASA DA SOLIDARIEDADE DE NO'!C10</f>
        <v/>
      </c>
    </row>
    <row r="992" ht="15" customHeight="1" s="107">
      <c r="A992" s="216">
        <f>'CEI CASA DA SOLIDARIEDADE DE NO'!F11</f>
        <v/>
      </c>
      <c r="B992" s="217">
        <f>'CEI CASA DA SOLIDARIEDADE DE NO'!C11</f>
        <v/>
      </c>
    </row>
    <row r="993" ht="15" customHeight="1" s="107">
      <c r="A993" s="216">
        <f>'CEI CASA DA SOLIDARIEDADE DE NO'!F12</f>
        <v/>
      </c>
      <c r="B993" s="217">
        <f>'CEI CASA DA SOLIDARIEDADE DE NO'!C12</f>
        <v/>
      </c>
    </row>
    <row r="994" ht="15" customHeight="1" s="107">
      <c r="A994" s="216">
        <f>'CEI CASA DA SOLIDARIEDADE DE NO'!F13</f>
        <v/>
      </c>
      <c r="B994" s="217">
        <f>'CEI CASA DA SOLIDARIEDADE DE NO'!C13</f>
        <v/>
      </c>
    </row>
    <row r="995" ht="15" customHeight="1" s="107">
      <c r="A995" s="216">
        <f>'CEI CASA DA SOLIDARIEDADE DE NO'!F14</f>
        <v/>
      </c>
      <c r="B995" s="217">
        <f>'CEI CASA DA SOLIDARIEDADE DE NO'!C14</f>
        <v/>
      </c>
    </row>
    <row r="996" ht="15" customHeight="1" s="107">
      <c r="A996" s="216">
        <f>'CEI CASA DA SOLIDARIEDADE DE NO'!F15</f>
        <v/>
      </c>
      <c r="B996" s="217">
        <f>'CEI CASA DA SOLIDARIEDADE DE NO'!C15</f>
        <v/>
      </c>
    </row>
    <row r="997" ht="15" customHeight="1" s="107">
      <c r="A997" s="216">
        <f>'CEI CASA DA SOLIDARIEDADE DE NO'!F16</f>
        <v/>
      </c>
      <c r="B997" s="217">
        <f>'CEI CASA DA SOLIDARIEDADE DE NO'!C16</f>
        <v/>
      </c>
    </row>
    <row r="998" ht="15" customHeight="1" s="107">
      <c r="A998" s="216">
        <f>'CEI CASA DA SOLIDARIEDADE DE NO'!F17</f>
        <v/>
      </c>
      <c r="B998" s="217">
        <f>'CEI CASA DA SOLIDARIEDADE DE NO'!C17</f>
        <v/>
      </c>
    </row>
    <row r="999" ht="15" customHeight="1" s="107">
      <c r="A999" s="216">
        <f>'CEI CASA DA SOLIDARIEDADE DE NO'!F18</f>
        <v/>
      </c>
      <c r="B999" s="217">
        <f>'CEI CASA DA SOLIDARIEDADE DE NO'!C18</f>
        <v/>
      </c>
    </row>
    <row r="1000" ht="15" customHeight="1" s="107">
      <c r="A1000" s="216">
        <f>'CEI CASA DA SOLIDARIEDADE DE NO'!F19</f>
        <v/>
      </c>
      <c r="B1000" s="217">
        <f>'CEI CASA DA SOLIDARIEDADE DE NO'!C19</f>
        <v/>
      </c>
    </row>
    <row r="1001" ht="15" customHeight="1" s="107">
      <c r="A1001" s="216">
        <f>'CEI CASA DA SOLIDARIEDADE DE NO'!F20</f>
        <v/>
      </c>
      <c r="B1001" s="217">
        <f>'CEI CASA DA SOLIDARIEDADE DE NO'!C20</f>
        <v/>
      </c>
    </row>
    <row r="1002" ht="15" customHeight="1" s="107">
      <c r="A1002" s="216">
        <f>'CEI CASA DA SOLIDARIEDADE DE NO'!F21</f>
        <v/>
      </c>
      <c r="B1002" s="217">
        <f>'CEI CASA DA SOLIDARIEDADE DE NO'!C21</f>
        <v/>
      </c>
    </row>
    <row r="1003" ht="15" customHeight="1" s="107">
      <c r="A1003" s="216">
        <f>'CEI CASA DA SOLIDARIEDADE DE NO'!F22</f>
        <v/>
      </c>
      <c r="B1003" s="217">
        <f>'CEI CASA DA SOLIDARIEDADE DE NO'!C22</f>
        <v/>
      </c>
    </row>
    <row r="1004" ht="15" customHeight="1" s="107">
      <c r="A1004" s="216">
        <f>'CEI CASA DA SOLIDARIEDADE DE NO'!F23</f>
        <v/>
      </c>
      <c r="B1004" s="217">
        <f>'CEI CASA DA SOLIDARIEDADE DE NO'!C23</f>
        <v/>
      </c>
    </row>
    <row r="1005" ht="15" customHeight="1" s="107">
      <c r="A1005" s="216">
        <f>'CEI CASA DA SOLIDARIEDADE DE NO'!F24</f>
        <v/>
      </c>
      <c r="B1005" s="217">
        <f>'CEI CASA DA SOLIDARIEDADE DE NO'!C24</f>
        <v/>
      </c>
    </row>
    <row r="1006" ht="15" customHeight="1" s="107">
      <c r="A1006" s="216">
        <f>'CEI CASA DA SOLIDARIEDADE DE NO'!F25</f>
        <v/>
      </c>
      <c r="B1006" s="217">
        <f>'CEI CASA DA SOLIDARIEDADE DE NO'!C25</f>
        <v/>
      </c>
    </row>
    <row r="1007" ht="15" customHeight="1" s="107">
      <c r="A1007" s="216">
        <f>'CEI CASA DA SOLIDARIEDADE DE NO'!F26</f>
        <v/>
      </c>
      <c r="B1007" s="217">
        <f>'CEI CASA DA SOLIDARIEDADE DE NO'!C26</f>
        <v/>
      </c>
    </row>
    <row r="1008" ht="15" customHeight="1" s="107">
      <c r="A1008" s="216">
        <f>'CEI CASA DA SOLIDARIEDADE DE NO'!F27</f>
        <v/>
      </c>
      <c r="B1008" s="217">
        <f>'CEI CASA DA SOLIDARIEDADE DE NO'!C27</f>
        <v/>
      </c>
    </row>
    <row r="1009" ht="15" customHeight="1" s="107">
      <c r="A1009" s="216">
        <f>'CEI A SEMENTEIRA'!F9</f>
        <v/>
      </c>
      <c r="B1009" s="217">
        <f>'CEI A SEMENTEIRA'!C9</f>
        <v/>
      </c>
    </row>
    <row r="1010" ht="15" customHeight="1" s="107">
      <c r="A1010" s="216">
        <f>'CEI A SEMENTEIRA'!F10</f>
        <v/>
      </c>
      <c r="B1010" s="217">
        <f>'CEI A SEMENTEIRA'!C10</f>
        <v/>
      </c>
    </row>
    <row r="1011" ht="15" customHeight="1" s="107">
      <c r="A1011" s="216">
        <f>'CEI A SEMENTEIRA'!F11</f>
        <v/>
      </c>
      <c r="B1011" s="217">
        <f>'CEI A SEMENTEIRA'!C11</f>
        <v/>
      </c>
    </row>
    <row r="1012" ht="15" customHeight="1" s="107">
      <c r="A1012" s="216">
        <f>'CEI A SEMENTEIRA'!F12</f>
        <v/>
      </c>
      <c r="B1012" s="217">
        <f>'CEI A SEMENTEIRA'!C12</f>
        <v/>
      </c>
    </row>
    <row r="1013" ht="15" customHeight="1" s="107">
      <c r="A1013" s="216">
        <f>'CEI A SEMENTEIRA'!F13</f>
        <v/>
      </c>
      <c r="B1013" s="217">
        <f>'CEI A SEMENTEIRA'!C13</f>
        <v/>
      </c>
    </row>
    <row r="1014" ht="15" customHeight="1" s="107">
      <c r="A1014" s="216">
        <f>'CEI A SEMENTEIRA'!F14</f>
        <v/>
      </c>
      <c r="B1014" s="217">
        <f>'CEI A SEMENTEIRA'!C14</f>
        <v/>
      </c>
    </row>
    <row r="1015" ht="15" customHeight="1" s="107">
      <c r="A1015" s="216">
        <f>'CEI A SEMENTEIRA'!F15</f>
        <v/>
      </c>
      <c r="B1015" s="217">
        <f>'CEI A SEMENTEIRA'!C15</f>
        <v/>
      </c>
    </row>
    <row r="1016" ht="15" customHeight="1" s="107">
      <c r="A1016" s="216">
        <f>'CEI A SEMENTEIRA'!F16</f>
        <v/>
      </c>
      <c r="B1016" s="217">
        <f>'CEI A SEMENTEIRA'!C16</f>
        <v/>
      </c>
    </row>
    <row r="1017" ht="15" customHeight="1" s="107">
      <c r="A1017" s="216">
        <f>'CEI A SEMENTEIRA'!F17</f>
        <v/>
      </c>
      <c r="B1017" s="217">
        <f>'CEI A SEMENTEIRA'!C17</f>
        <v/>
      </c>
    </row>
    <row r="1018" ht="15" customHeight="1" s="107">
      <c r="A1018" s="216">
        <f>'CEI A SEMENTEIRA'!F18</f>
        <v/>
      </c>
      <c r="B1018" s="217">
        <f>'CEI A SEMENTEIRA'!C18</f>
        <v/>
      </c>
    </row>
    <row r="1019" ht="15" customHeight="1" s="107">
      <c r="A1019" s="216">
        <f>'CEI A SEMENTEIRA'!F19</f>
        <v/>
      </c>
      <c r="B1019" s="217">
        <f>'CEI A SEMENTEIRA'!C19</f>
        <v/>
      </c>
    </row>
    <row r="1020" ht="15" customHeight="1" s="107">
      <c r="A1020" s="216">
        <f>'CEI A SEMENTEIRA'!F20</f>
        <v/>
      </c>
      <c r="B1020" s="217">
        <f>'CEI A SEMENTEIRA'!C20</f>
        <v/>
      </c>
    </row>
    <row r="1021" ht="15" customHeight="1" s="107">
      <c r="A1021" s="216">
        <f>'CEI A SEMENTEIRA'!F21</f>
        <v/>
      </c>
      <c r="B1021" s="217">
        <f>'CEI A SEMENTEIRA'!C21</f>
        <v/>
      </c>
    </row>
    <row r="1022" ht="15" customHeight="1" s="107">
      <c r="A1022" s="216">
        <f>'CEI A SEMENTEIRA'!F22</f>
        <v/>
      </c>
      <c r="B1022" s="217">
        <f>'CEI A SEMENTEIRA'!C22</f>
        <v/>
      </c>
    </row>
    <row r="1023" ht="15" customHeight="1" s="107">
      <c r="A1023" s="216">
        <f>'CEI A SEMENTEIRA'!F23</f>
        <v/>
      </c>
      <c r="B1023" s="217">
        <f>'CEI A SEMENTEIRA'!C23</f>
        <v/>
      </c>
    </row>
    <row r="1024" ht="15" customHeight="1" s="107">
      <c r="A1024" s="216">
        <f>'CEI A SEMENTEIRA'!F24</f>
        <v/>
      </c>
      <c r="B1024" s="217">
        <f>'CEI A SEMENTEIRA'!C24</f>
        <v/>
      </c>
    </row>
    <row r="1025" ht="15" customHeight="1" s="107">
      <c r="A1025" s="216">
        <f>'CEI A SEMENTEIRA'!F25</f>
        <v/>
      </c>
      <c r="B1025" s="217">
        <f>'CEI A SEMENTEIRA'!C25</f>
        <v/>
      </c>
    </row>
    <row r="1026" ht="15" customHeight="1" s="107">
      <c r="A1026" s="216">
        <f>'CEI A SEMENTEIRA'!F26</f>
        <v/>
      </c>
      <c r="B1026" s="217">
        <f>'CEI A SEMENTEIRA'!C26</f>
        <v/>
      </c>
    </row>
    <row r="1027" ht="15" customHeight="1" s="107">
      <c r="A1027" s="216">
        <f>'CEI A SEMENTEIRA'!F27</f>
        <v/>
      </c>
      <c r="B1027" s="217">
        <f>'CEI A SEMENTEIRA'!C27</f>
        <v/>
      </c>
    </row>
    <row r="1028" ht="15" customHeight="1" s="107">
      <c r="A1028" s="216">
        <f>'CEI VILA SAO JOSE'!F9</f>
        <v/>
      </c>
      <c r="B1028" s="217">
        <f>'CEI VILA SAO JOSE'!C9</f>
        <v/>
      </c>
    </row>
    <row r="1029" ht="15" customHeight="1" s="107">
      <c r="A1029" s="216">
        <f>'CEI VILA SAO JOSE'!F10</f>
        <v/>
      </c>
      <c r="B1029" s="217">
        <f>'CEI VILA SAO JOSE'!C10</f>
        <v/>
      </c>
    </row>
    <row r="1030" ht="15" customHeight="1" s="107">
      <c r="A1030" s="216">
        <f>'CEI VILA SAO JOSE'!F11</f>
        <v/>
      </c>
      <c r="B1030" s="217">
        <f>'CEI VILA SAO JOSE'!C11</f>
        <v/>
      </c>
    </row>
    <row r="1031" ht="15" customHeight="1" s="107">
      <c r="A1031" s="216">
        <f>'CEI VILA SAO JOSE'!F12</f>
        <v/>
      </c>
      <c r="B1031" s="217">
        <f>'CEI VILA SAO JOSE'!C12</f>
        <v/>
      </c>
    </row>
    <row r="1032" ht="15" customHeight="1" s="107">
      <c r="A1032" s="216">
        <f>'CEI VILA SAO JOSE'!F13</f>
        <v/>
      </c>
      <c r="B1032" s="217">
        <f>'CEI VILA SAO JOSE'!C13</f>
        <v/>
      </c>
    </row>
    <row r="1033" ht="15" customHeight="1" s="107">
      <c r="A1033" s="216">
        <f>'CEI VILA SAO JOSE'!F14</f>
        <v/>
      </c>
      <c r="B1033" s="217">
        <f>'CEI VILA SAO JOSE'!C14</f>
        <v/>
      </c>
    </row>
    <row r="1034" ht="15" customHeight="1" s="107">
      <c r="A1034" s="216">
        <f>'CEI VILA SAO JOSE'!F15</f>
        <v/>
      </c>
      <c r="B1034" s="217">
        <f>'CEI VILA SAO JOSE'!C15</f>
        <v/>
      </c>
    </row>
    <row r="1035" ht="15" customHeight="1" s="107">
      <c r="A1035" s="216">
        <f>'CEI VILA SAO JOSE'!F16</f>
        <v/>
      </c>
      <c r="B1035" s="217">
        <f>'CEI VILA SAO JOSE'!C16</f>
        <v/>
      </c>
    </row>
    <row r="1036" ht="15" customHeight="1" s="107">
      <c r="A1036" s="216">
        <f>'CEI VILA SAO JOSE'!F17</f>
        <v/>
      </c>
      <c r="B1036" s="217">
        <f>'CEI VILA SAO JOSE'!C17</f>
        <v/>
      </c>
    </row>
    <row r="1037" ht="15" customHeight="1" s="107">
      <c r="A1037" s="216">
        <f>'CEI VILA SAO JOSE'!F18</f>
        <v/>
      </c>
      <c r="B1037" s="217">
        <f>'CEI VILA SAO JOSE'!C18</f>
        <v/>
      </c>
    </row>
    <row r="1038" ht="15" customHeight="1" s="107">
      <c r="A1038" s="216">
        <f>'CEI VILA SAO JOSE'!F19</f>
        <v/>
      </c>
      <c r="B1038" s="217">
        <f>'CEI VILA SAO JOSE'!C19</f>
        <v/>
      </c>
    </row>
    <row r="1039" ht="15" customHeight="1" s="107">
      <c r="A1039" s="216">
        <f>'CEI VILA SAO JOSE'!F20</f>
        <v/>
      </c>
      <c r="B1039" s="217">
        <f>'CEI VILA SAO JOSE'!C20</f>
        <v/>
      </c>
    </row>
    <row r="1040" ht="15" customHeight="1" s="107">
      <c r="A1040" s="216">
        <f>'CEI VILA SAO JOSE'!F21</f>
        <v/>
      </c>
      <c r="B1040" s="217">
        <f>'CEI VILA SAO JOSE'!C21</f>
        <v/>
      </c>
    </row>
    <row r="1041" ht="15" customHeight="1" s="107">
      <c r="A1041" s="216">
        <f>'CEI VILA SAO JOSE'!F22</f>
        <v/>
      </c>
      <c r="B1041" s="217">
        <f>'CEI VILA SAO JOSE'!C22</f>
        <v/>
      </c>
    </row>
    <row r="1042" ht="15" customHeight="1" s="107">
      <c r="A1042" s="216">
        <f>'CEI VILA SAO JOSE'!F23</f>
        <v/>
      </c>
      <c r="B1042" s="217">
        <f>'CEI VILA SAO JOSE'!C23</f>
        <v/>
      </c>
    </row>
    <row r="1043" ht="15" customHeight="1" s="107">
      <c r="A1043" s="216">
        <f>'CEI VILA SAO JOSE'!F24</f>
        <v/>
      </c>
      <c r="B1043" s="217">
        <f>'CEI VILA SAO JOSE'!C24</f>
        <v/>
      </c>
    </row>
    <row r="1044" ht="15" customHeight="1" s="107">
      <c r="A1044" s="216">
        <f>'CEI VILA SAO JOSE'!F25</f>
        <v/>
      </c>
      <c r="B1044" s="217">
        <f>'CEI VILA SAO JOSE'!C25</f>
        <v/>
      </c>
    </row>
    <row r="1045" ht="15" customHeight="1" s="107">
      <c r="A1045" s="216">
        <f>'CEI VILA SAO JOSE'!F26</f>
        <v/>
      </c>
      <c r="B1045" s="217">
        <f>'CEI VILA SAO JOSE'!C26</f>
        <v/>
      </c>
    </row>
    <row r="1046" ht="15" customHeight="1" s="107">
      <c r="A1046" s="216">
        <f>'CEI VILA SAO JOSE'!F27</f>
        <v/>
      </c>
      <c r="B1046" s="217">
        <f>'CEI VILA SAO JOSE'!C27</f>
        <v/>
      </c>
    </row>
    <row r="1047" ht="15" customHeight="1" s="107">
      <c r="A1047" s="216">
        <f>'E M DR RUBENS DE CASTRO BOMTEMP'!F9</f>
        <v/>
      </c>
      <c r="B1047" s="217">
        <f>'E M DR RUBENS DE CASTRO BOMTEMP'!C9</f>
        <v/>
      </c>
    </row>
    <row r="1048" ht="15" customHeight="1" s="107">
      <c r="A1048" s="216">
        <f>'E M DR RUBENS DE CASTRO BOMTEMP'!F10</f>
        <v/>
      </c>
      <c r="B1048" s="217">
        <f>'E M DR RUBENS DE CASTRO BOMTEMP'!C10</f>
        <v/>
      </c>
    </row>
    <row r="1049" ht="15" customHeight="1" s="107">
      <c r="A1049" s="216">
        <f>'E M DR RUBENS DE CASTRO BOMTEMP'!F11</f>
        <v/>
      </c>
      <c r="B1049" s="217">
        <f>'E M DR RUBENS DE CASTRO BOMTEMP'!C11</f>
        <v/>
      </c>
    </row>
    <row r="1050" ht="15" customHeight="1" s="107">
      <c r="A1050" s="216">
        <f>'E M DR RUBENS DE CASTRO BOMTEMP'!F12</f>
        <v/>
      </c>
      <c r="B1050" s="217">
        <f>'E M DR RUBENS DE CASTRO BOMTEMP'!C12</f>
        <v/>
      </c>
    </row>
    <row r="1051" ht="15" customHeight="1" s="107">
      <c r="A1051" s="216">
        <f>'E M DR RUBENS DE CASTRO BOMTEMP'!F13</f>
        <v/>
      </c>
      <c r="B1051" s="217">
        <f>'E M DR RUBENS DE CASTRO BOMTEMP'!C13</f>
        <v/>
      </c>
    </row>
    <row r="1052" ht="15" customHeight="1" s="107">
      <c r="A1052" s="216">
        <f>'E M DR RUBENS DE CASTRO BOMTEMP'!F14</f>
        <v/>
      </c>
      <c r="B1052" s="217">
        <f>'E M DR RUBENS DE CASTRO BOMTEMP'!C14</f>
        <v/>
      </c>
    </row>
    <row r="1053" ht="15" customHeight="1" s="107">
      <c r="A1053" s="216">
        <f>'E M DR RUBENS DE CASTRO BOMTEMP'!F15</f>
        <v/>
      </c>
      <c r="B1053" s="217">
        <f>'E M DR RUBENS DE CASTRO BOMTEMP'!C15</f>
        <v/>
      </c>
    </row>
    <row r="1054" ht="15" customHeight="1" s="107">
      <c r="A1054" s="216">
        <f>'E M DR RUBENS DE CASTRO BOMTEMP'!F16</f>
        <v/>
      </c>
      <c r="B1054" s="217">
        <f>'E M DR RUBENS DE CASTRO BOMTEMP'!C16</f>
        <v/>
      </c>
    </row>
    <row r="1055" ht="15" customHeight="1" s="107">
      <c r="A1055" s="216">
        <f>'E M DR RUBENS DE CASTRO BOMTEMP'!F17</f>
        <v/>
      </c>
      <c r="B1055" s="217">
        <f>'E M DR RUBENS DE CASTRO BOMTEMP'!C17</f>
        <v/>
      </c>
    </row>
    <row r="1056" ht="15" customHeight="1" s="107">
      <c r="A1056" s="216">
        <f>'E M DR RUBENS DE CASTRO BOMTEMP'!F18</f>
        <v/>
      </c>
      <c r="B1056" s="217">
        <f>'E M DR RUBENS DE CASTRO BOMTEMP'!C18</f>
        <v/>
      </c>
    </row>
    <row r="1057" ht="15" customHeight="1" s="107">
      <c r="A1057" s="216">
        <f>'E M DR RUBENS DE CASTRO BOMTEMP'!F19</f>
        <v/>
      </c>
      <c r="B1057" s="217">
        <f>'E M DR RUBENS DE CASTRO BOMTEMP'!C19</f>
        <v/>
      </c>
    </row>
    <row r="1058" ht="15" customHeight="1" s="107">
      <c r="A1058" s="216">
        <f>'E M DR RUBENS DE CASTRO BOMTEMP'!F20</f>
        <v/>
      </c>
      <c r="B1058" s="217">
        <f>'E M DR RUBENS DE CASTRO BOMTEMP'!C20</f>
        <v/>
      </c>
    </row>
    <row r="1059" ht="15" customHeight="1" s="107">
      <c r="A1059" s="216">
        <f>'E M DR RUBENS DE CASTRO BOMTEMP'!F21</f>
        <v/>
      </c>
      <c r="B1059" s="217">
        <f>'E M DR RUBENS DE CASTRO BOMTEMP'!C21</f>
        <v/>
      </c>
    </row>
    <row r="1060" ht="15" customHeight="1" s="107">
      <c r="A1060" s="216">
        <f>'E M DR RUBENS DE CASTRO BOMTEMP'!F22</f>
        <v/>
      </c>
      <c r="B1060" s="217">
        <f>'E M DR RUBENS DE CASTRO BOMTEMP'!C22</f>
        <v/>
      </c>
    </row>
    <row r="1061" ht="15" customHeight="1" s="107">
      <c r="A1061" s="216">
        <f>'E M DR RUBENS DE CASTRO BOMTEMP'!F23</f>
        <v/>
      </c>
      <c r="B1061" s="217">
        <f>'E M DR RUBENS DE CASTRO BOMTEMP'!C23</f>
        <v/>
      </c>
    </row>
    <row r="1062" ht="15" customHeight="1" s="107">
      <c r="A1062" s="216">
        <f>'E M DR RUBENS DE CASTRO BOMTEMP'!F24</f>
        <v/>
      </c>
      <c r="B1062" s="217">
        <f>'E M DR RUBENS DE CASTRO BOMTEMP'!C24</f>
        <v/>
      </c>
    </row>
    <row r="1063" ht="15" customHeight="1" s="107">
      <c r="A1063" s="216">
        <f>'E M DR RUBENS DE CASTRO BOMTEMP'!F25</f>
        <v/>
      </c>
      <c r="B1063" s="217">
        <f>'E M DR RUBENS DE CASTRO BOMTEMP'!C25</f>
        <v/>
      </c>
    </row>
    <row r="1064" ht="15" customHeight="1" s="107">
      <c r="A1064" s="216">
        <f>'E M DR RUBENS DE CASTRO BOMTEMP'!F26</f>
        <v/>
      </c>
      <c r="B1064" s="217">
        <f>'E M DR RUBENS DE CASTRO BOMTEMP'!C26</f>
        <v/>
      </c>
    </row>
    <row r="1065" ht="15" customHeight="1" s="107">
      <c r="A1065" s="216">
        <f>'E M DR RUBENS DE CASTRO BOMTEMP'!F27</f>
        <v/>
      </c>
      <c r="B1065" s="217">
        <f>'E M DR RUBENS DE CASTRO BOMTEMP'!C27</f>
        <v/>
      </c>
    </row>
    <row r="1066" ht="15" customHeight="1" s="107">
      <c r="A1066" s="216">
        <f>'CEI FREI LEÃO'!F9</f>
        <v/>
      </c>
      <c r="B1066" s="217">
        <f>'CEI FREI LEÃO'!C9</f>
        <v/>
      </c>
    </row>
    <row r="1067" ht="15" customHeight="1" s="107">
      <c r="A1067" s="216">
        <f>'CEI FREI LEÃO'!F10</f>
        <v/>
      </c>
      <c r="B1067" s="217">
        <f>'CEI FREI LEÃO'!C10</f>
        <v/>
      </c>
    </row>
    <row r="1068" ht="15" customHeight="1" s="107">
      <c r="A1068" s="216">
        <f>'CEI FREI LEÃO'!F11</f>
        <v/>
      </c>
      <c r="B1068" s="217">
        <f>'CEI FREI LEÃO'!C11</f>
        <v/>
      </c>
    </row>
    <row r="1069" ht="15" customHeight="1" s="107">
      <c r="A1069" s="216">
        <f>'CEI FREI LEÃO'!F12</f>
        <v/>
      </c>
      <c r="B1069" s="217">
        <f>'CEI FREI LEÃO'!C12</f>
        <v/>
      </c>
    </row>
    <row r="1070" ht="15" customHeight="1" s="107">
      <c r="A1070" s="216">
        <f>'CEI FREI LEÃO'!F13</f>
        <v/>
      </c>
      <c r="B1070" s="217">
        <f>'CEI FREI LEÃO'!C13</f>
        <v/>
      </c>
    </row>
    <row r="1071" ht="15" customHeight="1" s="107">
      <c r="A1071" s="216">
        <f>'CEI FREI LEÃO'!F14</f>
        <v/>
      </c>
      <c r="B1071" s="217">
        <f>'CEI FREI LEÃO'!C14</f>
        <v/>
      </c>
    </row>
    <row r="1072" ht="15" customHeight="1" s="107">
      <c r="A1072" s="216">
        <f>'CEI FREI LEÃO'!F15</f>
        <v/>
      </c>
      <c r="B1072" s="217">
        <f>'CEI FREI LEÃO'!C15</f>
        <v/>
      </c>
    </row>
    <row r="1073" ht="15" customHeight="1" s="107">
      <c r="A1073" s="216">
        <f>'CEI FREI LEÃO'!F16</f>
        <v/>
      </c>
      <c r="B1073" s="217">
        <f>'CEI FREI LEÃO'!C16</f>
        <v/>
      </c>
    </row>
    <row r="1074" ht="15" customHeight="1" s="107">
      <c r="A1074" s="216">
        <f>'CEI FREI LEÃO'!F17</f>
        <v/>
      </c>
      <c r="B1074" s="217">
        <f>'CEI FREI LEÃO'!C17</f>
        <v/>
      </c>
    </row>
    <row r="1075" ht="15" customHeight="1" s="107">
      <c r="A1075" s="216">
        <f>'CEI FREI LEÃO'!F18</f>
        <v/>
      </c>
      <c r="B1075" s="217">
        <f>'CEI FREI LEÃO'!C18</f>
        <v/>
      </c>
    </row>
    <row r="1076" ht="15" customHeight="1" s="107">
      <c r="A1076" s="216">
        <f>'CEI FREI LEÃO'!F19</f>
        <v/>
      </c>
      <c r="B1076" s="217">
        <f>'CEI FREI LEÃO'!C19</f>
        <v/>
      </c>
    </row>
    <row r="1077" ht="15" customHeight="1" s="107">
      <c r="A1077" s="216">
        <f>'CEI FREI LEÃO'!F20</f>
        <v/>
      </c>
      <c r="B1077" s="217">
        <f>'CEI FREI LEÃO'!C20</f>
        <v/>
      </c>
    </row>
    <row r="1078" ht="15" customHeight="1" s="107">
      <c r="A1078" s="216">
        <f>'CEI FREI LEÃO'!F21</f>
        <v/>
      </c>
      <c r="B1078" s="217">
        <f>'CEI FREI LEÃO'!C21</f>
        <v/>
      </c>
    </row>
    <row r="1079" ht="15" customHeight="1" s="107">
      <c r="A1079" s="216">
        <f>'CEI FREI LEÃO'!F22</f>
        <v/>
      </c>
      <c r="B1079" s="217">
        <f>'CEI FREI LEÃO'!C22</f>
        <v/>
      </c>
    </row>
    <row r="1080" ht="15" customHeight="1" s="107">
      <c r="A1080" s="216">
        <f>'CEI FREI LEÃO'!F23</f>
        <v/>
      </c>
      <c r="B1080" s="217">
        <f>'CEI FREI LEÃO'!C23</f>
        <v/>
      </c>
    </row>
    <row r="1081" ht="15" customHeight="1" s="107">
      <c r="A1081" s="216">
        <f>'CEI FREI LEÃO'!F24</f>
        <v/>
      </c>
      <c r="B1081" s="217">
        <f>'CEI FREI LEÃO'!C24</f>
        <v/>
      </c>
    </row>
    <row r="1082" ht="15" customHeight="1" s="107">
      <c r="A1082" s="216">
        <f>'CEI FREI LEÃO'!F25</f>
        <v/>
      </c>
      <c r="B1082" s="217">
        <f>'CEI FREI LEÃO'!C25</f>
        <v/>
      </c>
    </row>
    <row r="1083" ht="15" customHeight="1" s="107">
      <c r="A1083" s="216">
        <f>'CEI FREI LEÃO'!F26</f>
        <v/>
      </c>
      <c r="B1083" s="217">
        <f>'CEI FREI LEÃO'!C26</f>
        <v/>
      </c>
    </row>
    <row r="1084" ht="15" customHeight="1" s="107">
      <c r="A1084" s="216">
        <f>'CEI FREI LEÃO'!F27</f>
        <v/>
      </c>
      <c r="B1084" s="217">
        <f>'CEI FREI LEÃO'!C27</f>
        <v/>
      </c>
    </row>
    <row r="1085" ht="15" customHeight="1" s="107">
      <c r="A1085" s="216">
        <f>'CEI SÃO JOÃO BATISTA'!F9</f>
        <v/>
      </c>
      <c r="B1085" s="217">
        <f>'CEI SÃO JOÃO BATISTA'!C9</f>
        <v/>
      </c>
    </row>
    <row r="1086" ht="15" customHeight="1" s="107">
      <c r="A1086" s="216">
        <f>'CEI SÃO JOÃO BATISTA'!F10</f>
        <v/>
      </c>
      <c r="B1086" s="217">
        <f>'CEI SÃO JOÃO BATISTA'!C10</f>
        <v/>
      </c>
    </row>
    <row r="1087" ht="15" customHeight="1" s="107">
      <c r="A1087" s="216">
        <f>'CEI SÃO JOÃO BATISTA'!F11</f>
        <v/>
      </c>
      <c r="B1087" s="217">
        <f>'CEI SÃO JOÃO BATISTA'!C11</f>
        <v/>
      </c>
    </row>
    <row r="1088" ht="15" customHeight="1" s="107">
      <c r="A1088" s="216">
        <f>'CEI SÃO JOÃO BATISTA'!F12</f>
        <v/>
      </c>
      <c r="B1088" s="217">
        <f>'CEI SÃO JOÃO BATISTA'!C12</f>
        <v/>
      </c>
    </row>
    <row r="1089" ht="15" customHeight="1" s="107">
      <c r="A1089" s="216">
        <f>'CEI SÃO JOÃO BATISTA'!F13</f>
        <v/>
      </c>
      <c r="B1089" s="217">
        <f>'CEI SÃO JOÃO BATISTA'!C13</f>
        <v/>
      </c>
    </row>
    <row r="1090" ht="15" customHeight="1" s="107">
      <c r="A1090" s="216">
        <f>'CEI SÃO JOÃO BATISTA'!F14</f>
        <v/>
      </c>
      <c r="B1090" s="217">
        <f>'CEI SÃO JOÃO BATISTA'!C14</f>
        <v/>
      </c>
    </row>
    <row r="1091" ht="15" customHeight="1" s="107">
      <c r="A1091" s="216">
        <f>'CEI SÃO JOÃO BATISTA'!F15</f>
        <v/>
      </c>
      <c r="B1091" s="217">
        <f>'CEI SÃO JOÃO BATISTA'!C15</f>
        <v/>
      </c>
    </row>
    <row r="1092" ht="15" customHeight="1" s="107">
      <c r="A1092" s="216">
        <f>'CEI SÃO JOÃO BATISTA'!F16</f>
        <v/>
      </c>
      <c r="B1092" s="217">
        <f>'CEI SÃO JOÃO BATISTA'!C16</f>
        <v/>
      </c>
    </row>
    <row r="1093" ht="15" customHeight="1" s="107">
      <c r="A1093" s="216">
        <f>'CEI SÃO JOÃO BATISTA'!F17</f>
        <v/>
      </c>
      <c r="B1093" s="217">
        <f>'CEI SÃO JOÃO BATISTA'!C17</f>
        <v/>
      </c>
    </row>
    <row r="1094" ht="15" customHeight="1" s="107">
      <c r="A1094" s="216">
        <f>'CEI SÃO JOÃO BATISTA'!F18</f>
        <v/>
      </c>
      <c r="B1094" s="217">
        <f>'CEI SÃO JOÃO BATISTA'!C18</f>
        <v/>
      </c>
    </row>
    <row r="1095" ht="15" customHeight="1" s="107">
      <c r="A1095" s="216">
        <f>'CEI SÃO JOÃO BATISTA'!F19</f>
        <v/>
      </c>
      <c r="B1095" s="217">
        <f>'CEI SÃO JOÃO BATISTA'!C19</f>
        <v/>
      </c>
    </row>
    <row r="1096" ht="15" customHeight="1" s="107">
      <c r="A1096" s="216">
        <f>'CEI SÃO JOÃO BATISTA'!F20</f>
        <v/>
      </c>
      <c r="B1096" s="217">
        <f>'CEI SÃO JOÃO BATISTA'!C20</f>
        <v/>
      </c>
    </row>
    <row r="1097" ht="15" customHeight="1" s="107">
      <c r="A1097" s="216">
        <f>'CEI SÃO JOÃO BATISTA'!F21</f>
        <v/>
      </c>
      <c r="B1097" s="217">
        <f>'CEI SÃO JOÃO BATISTA'!C21</f>
        <v/>
      </c>
    </row>
    <row r="1098" ht="15" customHeight="1" s="107">
      <c r="A1098" s="216">
        <f>'CEI SÃO JOÃO BATISTA'!F22</f>
        <v/>
      </c>
      <c r="B1098" s="217">
        <f>'CEI SÃO JOÃO BATISTA'!C22</f>
        <v/>
      </c>
    </row>
    <row r="1099" ht="15" customHeight="1" s="107">
      <c r="A1099" s="216">
        <f>'CEI SÃO JOÃO BATISTA'!F23</f>
        <v/>
      </c>
      <c r="B1099" s="217">
        <f>'CEI SÃO JOÃO BATISTA'!C23</f>
        <v/>
      </c>
    </row>
    <row r="1100" ht="15" customHeight="1" s="107">
      <c r="A1100" s="216">
        <f>'CEI SÃO JOÃO BATISTA'!F24</f>
        <v/>
      </c>
      <c r="B1100" s="217">
        <f>'CEI SÃO JOÃO BATISTA'!C24</f>
        <v/>
      </c>
    </row>
    <row r="1101" ht="15" customHeight="1" s="107">
      <c r="A1101" s="216">
        <f>'CEI SÃO JOÃO BATISTA'!F25</f>
        <v/>
      </c>
      <c r="B1101" s="217">
        <f>'CEI SÃO JOÃO BATISTA'!C25</f>
        <v/>
      </c>
    </row>
    <row r="1102" ht="15" customHeight="1" s="107">
      <c r="A1102" s="216">
        <f>'CEI SÃO JOÃO BATISTA'!F26</f>
        <v/>
      </c>
      <c r="B1102" s="217">
        <f>'CEI SÃO JOÃO BATISTA'!C26</f>
        <v/>
      </c>
    </row>
    <row r="1103" ht="15" customHeight="1" s="107">
      <c r="A1103" s="216">
        <f>'CEI SÃO JOÃO BATISTA'!F27</f>
        <v/>
      </c>
      <c r="B1103" s="217">
        <f>'CEI SÃO JOÃO BATISTA'!C27</f>
        <v/>
      </c>
    </row>
    <row r="1104" ht="15" customHeight="1" s="107">
      <c r="A1104" s="216">
        <f>'CEI JURACI PINTO DO AMARAL DE C'!F9</f>
        <v/>
      </c>
      <c r="B1104" s="217">
        <f>'CEI JURACI PINTO DO AMARAL DE C'!C9</f>
        <v/>
      </c>
    </row>
    <row r="1105" ht="15" customHeight="1" s="107">
      <c r="A1105" s="216">
        <f>'CEI JURACI PINTO DO AMARAL DE C'!F10</f>
        <v/>
      </c>
      <c r="B1105" s="217">
        <f>'CEI JURACI PINTO DO AMARAL DE C'!C10</f>
        <v/>
      </c>
    </row>
    <row r="1106" ht="15" customHeight="1" s="107">
      <c r="A1106" s="216">
        <f>'CEI JURACI PINTO DO AMARAL DE C'!F11</f>
        <v/>
      </c>
      <c r="B1106" s="217">
        <f>'CEI JURACI PINTO DO AMARAL DE C'!C11</f>
        <v/>
      </c>
    </row>
    <row r="1107" ht="15" customHeight="1" s="107">
      <c r="A1107" s="216">
        <f>'CEI JURACI PINTO DO AMARAL DE C'!F12</f>
        <v/>
      </c>
      <c r="B1107" s="217">
        <f>'CEI JURACI PINTO DO AMARAL DE C'!C12</f>
        <v/>
      </c>
    </row>
    <row r="1108" ht="15" customHeight="1" s="107">
      <c r="A1108" s="216">
        <f>'CEI JURACI PINTO DO AMARAL DE C'!F13</f>
        <v/>
      </c>
      <c r="B1108" s="217">
        <f>'CEI JURACI PINTO DO AMARAL DE C'!C13</f>
        <v/>
      </c>
    </row>
    <row r="1109" ht="15" customHeight="1" s="107">
      <c r="A1109" s="216">
        <f>'CEI JURACI PINTO DO AMARAL DE C'!F14</f>
        <v/>
      </c>
      <c r="B1109" s="217">
        <f>'CEI JURACI PINTO DO AMARAL DE C'!C14</f>
        <v/>
      </c>
    </row>
    <row r="1110" ht="15" customHeight="1" s="107">
      <c r="A1110" s="216">
        <f>'CEI JURACI PINTO DO AMARAL DE C'!F15</f>
        <v/>
      </c>
      <c r="B1110" s="217">
        <f>'CEI JURACI PINTO DO AMARAL DE C'!C15</f>
        <v/>
      </c>
    </row>
    <row r="1111" ht="15" customHeight="1" s="107">
      <c r="A1111" s="216">
        <f>'CEI JURACI PINTO DO AMARAL DE C'!F16</f>
        <v/>
      </c>
      <c r="B1111" s="217">
        <f>'CEI JURACI PINTO DO AMARAL DE C'!C16</f>
        <v/>
      </c>
    </row>
    <row r="1112" ht="15" customHeight="1" s="107">
      <c r="A1112" s="216">
        <f>'CEI JURACI PINTO DO AMARAL DE C'!F17</f>
        <v/>
      </c>
      <c r="B1112" s="217">
        <f>'CEI JURACI PINTO DO AMARAL DE C'!C17</f>
        <v/>
      </c>
    </row>
    <row r="1113" ht="15" customHeight="1" s="107">
      <c r="A1113" s="216">
        <f>'CEI JURACI PINTO DO AMARAL DE C'!F18</f>
        <v/>
      </c>
      <c r="B1113" s="217">
        <f>'CEI JURACI PINTO DO AMARAL DE C'!C18</f>
        <v/>
      </c>
    </row>
    <row r="1114" ht="15" customHeight="1" s="107">
      <c r="A1114" s="216">
        <f>'CEI JURACI PINTO DO AMARAL DE C'!F19</f>
        <v/>
      </c>
      <c r="B1114" s="217">
        <f>'CEI JURACI PINTO DO AMARAL DE C'!C19</f>
        <v/>
      </c>
    </row>
    <row r="1115" ht="15" customHeight="1" s="107">
      <c r="A1115" s="216">
        <f>'CEI JURACI PINTO DO AMARAL DE C'!F20</f>
        <v/>
      </c>
      <c r="B1115" s="217">
        <f>'CEI JURACI PINTO DO AMARAL DE C'!C20</f>
        <v/>
      </c>
    </row>
    <row r="1116" ht="15" customHeight="1" s="107">
      <c r="A1116" s="216">
        <f>'CEI JURACI PINTO DO AMARAL DE C'!F21</f>
        <v/>
      </c>
      <c r="B1116" s="217">
        <f>'CEI JURACI PINTO DO AMARAL DE C'!C21</f>
        <v/>
      </c>
    </row>
    <row r="1117" ht="15" customHeight="1" s="107">
      <c r="A1117" s="216">
        <f>'CEI JURACI PINTO DO AMARAL DE C'!F22</f>
        <v/>
      </c>
      <c r="B1117" s="217">
        <f>'CEI JURACI PINTO DO AMARAL DE C'!C22</f>
        <v/>
      </c>
    </row>
    <row r="1118" ht="15" customHeight="1" s="107">
      <c r="A1118" s="216">
        <f>'CEI JURACI PINTO DO AMARAL DE C'!F23</f>
        <v/>
      </c>
      <c r="B1118" s="217">
        <f>'CEI JURACI PINTO DO AMARAL DE C'!C23</f>
        <v/>
      </c>
    </row>
    <row r="1119" ht="15" customHeight="1" s="107">
      <c r="A1119" s="216">
        <f>'CEI JURACI PINTO DO AMARAL DE C'!F24</f>
        <v/>
      </c>
      <c r="B1119" s="217">
        <f>'CEI JURACI PINTO DO AMARAL DE C'!C24</f>
        <v/>
      </c>
    </row>
    <row r="1120" ht="15" customHeight="1" s="107">
      <c r="A1120" s="216">
        <f>'CEI JURACI PINTO DO AMARAL DE C'!F25</f>
        <v/>
      </c>
      <c r="B1120" s="217">
        <f>'CEI JURACI PINTO DO AMARAL DE C'!C25</f>
        <v/>
      </c>
    </row>
    <row r="1121" ht="15" customHeight="1" s="107">
      <c r="A1121" s="216">
        <f>'CEI JURACI PINTO DO AMARAL DE C'!F26</f>
        <v/>
      </c>
      <c r="B1121" s="217">
        <f>'CEI JURACI PINTO DO AMARAL DE C'!C26</f>
        <v/>
      </c>
    </row>
    <row r="1122" ht="15" customHeight="1" s="107">
      <c r="A1122" s="216">
        <f>'CEI JURACI PINTO DO AMARAL DE C'!F27</f>
        <v/>
      </c>
      <c r="B1122" s="217">
        <f>'CEI JURACI PINTO DO AMARAL DE C'!C27</f>
        <v/>
      </c>
    </row>
    <row r="1123" ht="15" customHeight="1" s="107">
      <c r="A1123" s="216">
        <f>'E M PEDRO AMADO'!F9</f>
        <v/>
      </c>
      <c r="B1123" s="217">
        <f>'E M PEDRO AMADO'!C9</f>
        <v/>
      </c>
    </row>
    <row r="1124" ht="15" customHeight="1" s="107">
      <c r="A1124" s="216">
        <f>'E M PEDRO AMADO'!F10</f>
        <v/>
      </c>
      <c r="B1124" s="217">
        <f>'E M PEDRO AMADO'!C10</f>
        <v/>
      </c>
    </row>
    <row r="1125" ht="15" customHeight="1" s="107">
      <c r="A1125" s="216">
        <f>'E M PEDRO AMADO'!F11</f>
        <v/>
      </c>
      <c r="B1125" s="217">
        <f>'E M PEDRO AMADO'!C11</f>
        <v/>
      </c>
    </row>
    <row r="1126" ht="15" customHeight="1" s="107">
      <c r="A1126" s="216">
        <f>'E M PEDRO AMADO'!F12</f>
        <v/>
      </c>
      <c r="B1126" s="217">
        <f>'E M PEDRO AMADO'!C12</f>
        <v/>
      </c>
    </row>
    <row r="1127" ht="15" customHeight="1" s="107">
      <c r="A1127" s="216">
        <f>'E M PEDRO AMADO'!F13</f>
        <v/>
      </c>
      <c r="B1127" s="217">
        <f>'E M PEDRO AMADO'!C13</f>
        <v/>
      </c>
    </row>
    <row r="1128" ht="15" customHeight="1" s="107">
      <c r="A1128" s="216">
        <f>'E M PEDRO AMADO'!F14</f>
        <v/>
      </c>
      <c r="B1128" s="217">
        <f>'E M PEDRO AMADO'!C14</f>
        <v/>
      </c>
    </row>
    <row r="1129" ht="15" customHeight="1" s="107">
      <c r="A1129" s="216">
        <f>'E M PEDRO AMADO'!F15</f>
        <v/>
      </c>
      <c r="B1129" s="217">
        <f>'E M PEDRO AMADO'!C15</f>
        <v/>
      </c>
    </row>
    <row r="1130" ht="15" customHeight="1" s="107">
      <c r="A1130" s="216">
        <f>'E M PEDRO AMADO'!F16</f>
        <v/>
      </c>
      <c r="B1130" s="217">
        <f>'E M PEDRO AMADO'!C16</f>
        <v/>
      </c>
    </row>
    <row r="1131" ht="15" customHeight="1" s="107">
      <c r="A1131" s="216">
        <f>'E M PEDRO AMADO'!F17</f>
        <v/>
      </c>
      <c r="B1131" s="217">
        <f>'E M PEDRO AMADO'!C17</f>
        <v/>
      </c>
    </row>
    <row r="1132" ht="15" customHeight="1" s="107">
      <c r="A1132" s="216">
        <f>'E M PEDRO AMADO'!F18</f>
        <v/>
      </c>
      <c r="B1132" s="217">
        <f>'E M PEDRO AMADO'!C18</f>
        <v/>
      </c>
    </row>
    <row r="1133" ht="15" customHeight="1" s="107">
      <c r="A1133" s="216">
        <f>'E M PEDRO AMADO'!F19</f>
        <v/>
      </c>
      <c r="B1133" s="217">
        <f>'E M PEDRO AMADO'!C19</f>
        <v/>
      </c>
    </row>
    <row r="1134" ht="15" customHeight="1" s="107">
      <c r="A1134" s="216">
        <f>'E M PEDRO AMADO'!F20</f>
        <v/>
      </c>
      <c r="B1134" s="217">
        <f>'E M PEDRO AMADO'!C20</f>
        <v/>
      </c>
    </row>
    <row r="1135" ht="15" customHeight="1" s="107">
      <c r="A1135" s="216">
        <f>'E M PEDRO AMADO'!F21</f>
        <v/>
      </c>
      <c r="B1135" s="217">
        <f>'E M PEDRO AMADO'!C21</f>
        <v/>
      </c>
    </row>
    <row r="1136" ht="15" customHeight="1" s="107">
      <c r="A1136" s="216">
        <f>'E M PEDRO AMADO'!F22</f>
        <v/>
      </c>
      <c r="B1136" s="217">
        <f>'E M PEDRO AMADO'!C22</f>
        <v/>
      </c>
    </row>
    <row r="1137" ht="15" customHeight="1" s="107">
      <c r="A1137" s="216">
        <f>'E M PEDRO AMADO'!F23</f>
        <v/>
      </c>
      <c r="B1137" s="217">
        <f>'E M PEDRO AMADO'!C23</f>
        <v/>
      </c>
    </row>
    <row r="1138" ht="15" customHeight="1" s="107">
      <c r="A1138" s="216">
        <f>'E M PEDRO AMADO'!F24</f>
        <v/>
      </c>
      <c r="B1138" s="217">
        <f>'E M PEDRO AMADO'!C24</f>
        <v/>
      </c>
    </row>
    <row r="1139" ht="15" customHeight="1" s="107">
      <c r="A1139" s="216">
        <f>'E M PEDRO AMADO'!F25</f>
        <v/>
      </c>
      <c r="B1139" s="217">
        <f>'E M PEDRO AMADO'!C25</f>
        <v/>
      </c>
    </row>
    <row r="1140" ht="15" customHeight="1" s="107">
      <c r="A1140" s="216">
        <f>'E M PEDRO AMADO'!F26</f>
        <v/>
      </c>
      <c r="B1140" s="217">
        <f>'E M PEDRO AMADO'!C26</f>
        <v/>
      </c>
    </row>
    <row r="1141" ht="15" customHeight="1" s="107">
      <c r="A1141" s="216">
        <f>'E M PEDRO AMADO'!F27</f>
        <v/>
      </c>
      <c r="B1141" s="217">
        <f>'E M PEDRO AMADO'!C27</f>
        <v/>
      </c>
    </row>
    <row r="1142" ht="15" customHeight="1" s="107">
      <c r="A1142" s="216">
        <f>'E M ABELARDO DE LAMARE'!F9</f>
        <v/>
      </c>
      <c r="B1142" s="217">
        <f>'E M ABELARDO DE LAMARE'!C9</f>
        <v/>
      </c>
    </row>
    <row r="1143" ht="15" customHeight="1" s="107">
      <c r="A1143" s="216">
        <f>'E M ABELARDO DE LAMARE'!F10</f>
        <v/>
      </c>
      <c r="B1143" s="217">
        <f>'E M ABELARDO DE LAMARE'!C10</f>
        <v/>
      </c>
    </row>
    <row r="1144" ht="15" customHeight="1" s="107">
      <c r="A1144" s="216">
        <f>'E M ABELARDO DE LAMARE'!F11</f>
        <v/>
      </c>
      <c r="B1144" s="217">
        <f>'E M ABELARDO DE LAMARE'!C11</f>
        <v/>
      </c>
    </row>
    <row r="1145" ht="15" customHeight="1" s="107">
      <c r="A1145" s="216">
        <f>'E M ABELARDO DE LAMARE'!F12</f>
        <v/>
      </c>
      <c r="B1145" s="217">
        <f>'E M ABELARDO DE LAMARE'!C12</f>
        <v/>
      </c>
    </row>
    <row r="1146" ht="15" customHeight="1" s="107">
      <c r="A1146" s="216">
        <f>'E M ABELARDO DE LAMARE'!F13</f>
        <v/>
      </c>
      <c r="B1146" s="217">
        <f>'E M ABELARDO DE LAMARE'!C13</f>
        <v/>
      </c>
    </row>
    <row r="1147" ht="15" customHeight="1" s="107">
      <c r="A1147" s="216">
        <f>'E M ABELARDO DE LAMARE'!F14</f>
        <v/>
      </c>
      <c r="B1147" s="217">
        <f>'E M ABELARDO DE LAMARE'!C14</f>
        <v/>
      </c>
    </row>
    <row r="1148" ht="15" customHeight="1" s="107">
      <c r="A1148" s="216">
        <f>'E M ABELARDO DE LAMARE'!F15</f>
        <v/>
      </c>
      <c r="B1148" s="217">
        <f>'E M ABELARDO DE LAMARE'!C15</f>
        <v/>
      </c>
    </row>
    <row r="1149" ht="15" customHeight="1" s="107">
      <c r="A1149" s="216">
        <f>'E M ABELARDO DE LAMARE'!F16</f>
        <v/>
      </c>
      <c r="B1149" s="217">
        <f>'E M ABELARDO DE LAMARE'!C16</f>
        <v/>
      </c>
    </row>
    <row r="1150" ht="15" customHeight="1" s="107">
      <c r="A1150" s="216">
        <f>'E M ABELARDO DE LAMARE'!F17</f>
        <v/>
      </c>
      <c r="B1150" s="217">
        <f>'E M ABELARDO DE LAMARE'!C17</f>
        <v/>
      </c>
    </row>
    <row r="1151" ht="15" customHeight="1" s="107">
      <c r="A1151" s="216">
        <f>'E M ABELARDO DE LAMARE'!F18</f>
        <v/>
      </c>
      <c r="B1151" s="217">
        <f>'E M ABELARDO DE LAMARE'!C18</f>
        <v/>
      </c>
    </row>
    <row r="1152" ht="15" customHeight="1" s="107">
      <c r="A1152" s="216">
        <f>'E M ABELARDO DE LAMARE'!F19</f>
        <v/>
      </c>
      <c r="B1152" s="217">
        <f>'E M ABELARDO DE LAMARE'!C19</f>
        <v/>
      </c>
    </row>
    <row r="1153" ht="15" customHeight="1" s="107">
      <c r="A1153" s="216">
        <f>'E M ABELARDO DE LAMARE'!F20</f>
        <v/>
      </c>
      <c r="B1153" s="217">
        <f>'E M ABELARDO DE LAMARE'!C20</f>
        <v/>
      </c>
    </row>
    <row r="1154" ht="15" customHeight="1" s="107">
      <c r="A1154" s="216">
        <f>'E M ABELARDO DE LAMARE'!F21</f>
        <v/>
      </c>
      <c r="B1154" s="217">
        <f>'E M ABELARDO DE LAMARE'!C21</f>
        <v/>
      </c>
    </row>
    <row r="1155" ht="15" customHeight="1" s="107">
      <c r="A1155" s="216">
        <f>'E M ABELARDO DE LAMARE'!F22</f>
        <v/>
      </c>
      <c r="B1155" s="217">
        <f>'E M ABELARDO DE LAMARE'!C22</f>
        <v/>
      </c>
    </row>
    <row r="1156" ht="15" customHeight="1" s="107">
      <c r="A1156" s="216">
        <f>'E M ABELARDO DE LAMARE'!F23</f>
        <v/>
      </c>
      <c r="B1156" s="217">
        <f>'E M ABELARDO DE LAMARE'!C23</f>
        <v/>
      </c>
    </row>
    <row r="1157" ht="15" customHeight="1" s="107">
      <c r="A1157" s="216">
        <f>'E M ABELARDO DE LAMARE'!F24</f>
        <v/>
      </c>
      <c r="B1157" s="217">
        <f>'E M ABELARDO DE LAMARE'!C24</f>
        <v/>
      </c>
    </row>
    <row r="1158" ht="15" customHeight="1" s="107">
      <c r="A1158" s="216">
        <f>'E M ABELARDO DE LAMARE'!F25</f>
        <v/>
      </c>
      <c r="B1158" s="217">
        <f>'E M ABELARDO DE LAMARE'!C25</f>
        <v/>
      </c>
    </row>
    <row r="1159" ht="15" customHeight="1" s="107">
      <c r="A1159" s="216">
        <f>'E M ABELARDO DE LAMARE'!F26</f>
        <v/>
      </c>
      <c r="B1159" s="217">
        <f>'E M ABELARDO DE LAMARE'!C26</f>
        <v/>
      </c>
    </row>
    <row r="1160" ht="15" customHeight="1" s="107">
      <c r="A1160" s="216">
        <f>'E M ABELARDO DE LAMARE'!F27</f>
        <v/>
      </c>
      <c r="B1160" s="217">
        <f>'E M ABELARDO DE LAMARE'!C27</f>
        <v/>
      </c>
    </row>
    <row r="1161" ht="15" customHeight="1" s="107">
      <c r="A1161" s="216">
        <f>'ESCOLA MUNICIPAL SENADOR MARIO '!F9</f>
        <v/>
      </c>
      <c r="B1161" s="217">
        <f>'ESCOLA MUNICIPAL SENADOR MARIO '!C9</f>
        <v/>
      </c>
    </row>
    <row r="1162" ht="15" customHeight="1" s="107">
      <c r="A1162" s="216">
        <f>'ESCOLA MUNICIPAL SENADOR MARIO '!F10</f>
        <v/>
      </c>
      <c r="B1162" s="217">
        <f>'ESCOLA MUNICIPAL SENADOR MARIO '!C10</f>
        <v/>
      </c>
    </row>
    <row r="1163" ht="15" customHeight="1" s="107">
      <c r="A1163" s="216">
        <f>'ESCOLA MUNICIPAL SENADOR MARIO '!F11</f>
        <v/>
      </c>
      <c r="B1163" s="217">
        <f>'ESCOLA MUNICIPAL SENADOR MARIO '!C11</f>
        <v/>
      </c>
    </row>
    <row r="1164" ht="15" customHeight="1" s="107">
      <c r="A1164" s="216">
        <f>'ESCOLA MUNICIPAL SENADOR MARIO '!F12</f>
        <v/>
      </c>
      <c r="B1164" s="217">
        <f>'ESCOLA MUNICIPAL SENADOR MARIO '!C12</f>
        <v/>
      </c>
    </row>
    <row r="1165" ht="15" customHeight="1" s="107">
      <c r="A1165" s="216">
        <f>'ESCOLA MUNICIPAL SENADOR MARIO '!F13</f>
        <v/>
      </c>
      <c r="B1165" s="217">
        <f>'ESCOLA MUNICIPAL SENADOR MARIO '!C13</f>
        <v/>
      </c>
    </row>
    <row r="1166" ht="15" customHeight="1" s="107">
      <c r="A1166" s="216">
        <f>'ESCOLA MUNICIPAL SENADOR MARIO '!F14</f>
        <v/>
      </c>
      <c r="B1166" s="217">
        <f>'ESCOLA MUNICIPAL SENADOR MARIO '!C14</f>
        <v/>
      </c>
    </row>
    <row r="1167" ht="15" customHeight="1" s="107">
      <c r="A1167" s="216">
        <f>'ESCOLA MUNICIPAL SENADOR MARIO '!F15</f>
        <v/>
      </c>
      <c r="B1167" s="217">
        <f>'ESCOLA MUNICIPAL SENADOR MARIO '!C15</f>
        <v/>
      </c>
    </row>
    <row r="1168" ht="15" customHeight="1" s="107">
      <c r="A1168" s="216">
        <f>'ESCOLA MUNICIPAL SENADOR MARIO '!F16</f>
        <v/>
      </c>
      <c r="B1168" s="217">
        <f>'ESCOLA MUNICIPAL SENADOR MARIO '!C16</f>
        <v/>
      </c>
    </row>
    <row r="1169" ht="15" customHeight="1" s="107">
      <c r="A1169" s="216">
        <f>'ESCOLA MUNICIPAL SENADOR MARIO '!F17</f>
        <v/>
      </c>
      <c r="B1169" s="217">
        <f>'ESCOLA MUNICIPAL SENADOR MARIO '!C17</f>
        <v/>
      </c>
    </row>
    <row r="1170" ht="15" customHeight="1" s="107">
      <c r="A1170" s="216">
        <f>'ESCOLA MUNICIPAL SENADOR MARIO '!F18</f>
        <v/>
      </c>
      <c r="B1170" s="217">
        <f>'ESCOLA MUNICIPAL SENADOR MARIO '!C18</f>
        <v/>
      </c>
    </row>
    <row r="1171" ht="15" customHeight="1" s="107">
      <c r="A1171" s="216">
        <f>'ESCOLA MUNICIPAL SENADOR MARIO '!F19</f>
        <v/>
      </c>
      <c r="B1171" s="217">
        <f>'ESCOLA MUNICIPAL SENADOR MARIO '!C19</f>
        <v/>
      </c>
    </row>
    <row r="1172" ht="15" customHeight="1" s="107">
      <c r="A1172" s="216">
        <f>'ESCOLA MUNICIPAL SENADOR MARIO '!F20</f>
        <v/>
      </c>
      <c r="B1172" s="217">
        <f>'ESCOLA MUNICIPAL SENADOR MARIO '!C20</f>
        <v/>
      </c>
    </row>
    <row r="1173" ht="15" customHeight="1" s="107">
      <c r="A1173" s="216">
        <f>'ESCOLA MUNICIPAL SENADOR MARIO '!F21</f>
        <v/>
      </c>
      <c r="B1173" s="217">
        <f>'ESCOLA MUNICIPAL SENADOR MARIO '!C21</f>
        <v/>
      </c>
    </row>
    <row r="1174" ht="15" customHeight="1" s="107">
      <c r="A1174" s="216">
        <f>'ESCOLA MUNICIPAL SENADOR MARIO '!F22</f>
        <v/>
      </c>
      <c r="B1174" s="217">
        <f>'ESCOLA MUNICIPAL SENADOR MARIO '!C22</f>
        <v/>
      </c>
    </row>
    <row r="1175" ht="15" customHeight="1" s="107">
      <c r="A1175" s="216">
        <f>'ESCOLA MUNICIPAL SENADOR MARIO '!F23</f>
        <v/>
      </c>
      <c r="B1175" s="217">
        <f>'ESCOLA MUNICIPAL SENADOR MARIO '!C23</f>
        <v/>
      </c>
    </row>
    <row r="1176" ht="15" customHeight="1" s="107">
      <c r="A1176" s="216">
        <f>'ESCOLA MUNICIPAL SENADOR MARIO '!F24</f>
        <v/>
      </c>
      <c r="B1176" s="217">
        <f>'ESCOLA MUNICIPAL SENADOR MARIO '!C24</f>
        <v/>
      </c>
    </row>
    <row r="1177" ht="15" customHeight="1" s="107">
      <c r="A1177" s="216">
        <f>'ESCOLA MUNICIPAL SENADOR MARIO '!F25</f>
        <v/>
      </c>
      <c r="B1177" s="217">
        <f>'ESCOLA MUNICIPAL SENADOR MARIO '!C25</f>
        <v/>
      </c>
    </row>
    <row r="1178" ht="15" customHeight="1" s="107">
      <c r="A1178" s="216">
        <f>'ESCOLA MUNICIPAL SENADOR MARIO '!F26</f>
        <v/>
      </c>
      <c r="B1178" s="217">
        <f>'ESCOLA MUNICIPAL SENADOR MARIO '!C26</f>
        <v/>
      </c>
    </row>
    <row r="1179" ht="15" customHeight="1" s="107">
      <c r="A1179" s="216">
        <f>'ESCOLA MUNICIPAL SENADOR MARIO '!F27</f>
        <v/>
      </c>
      <c r="B1179" s="217">
        <f>'ESCOLA MUNICIPAL SENADOR MARIO '!C27</f>
        <v/>
      </c>
    </row>
    <row r="1180" ht="15" customHeight="1" s="107">
      <c r="A1180" s="216">
        <f>'ESCOLA PAROQUIAL SÃO PIO X'!F9</f>
        <v/>
      </c>
      <c r="B1180" s="217">
        <f>'ESCOLA PAROQUIAL SÃO PIO X'!C9</f>
        <v/>
      </c>
    </row>
    <row r="1181" ht="15" customHeight="1" s="107">
      <c r="A1181" s="216">
        <f>'ESCOLA PAROQUIAL SÃO PIO X'!F10</f>
        <v/>
      </c>
      <c r="B1181" s="217">
        <f>'ESCOLA PAROQUIAL SÃO PIO X'!C10</f>
        <v/>
      </c>
    </row>
    <row r="1182" ht="15" customHeight="1" s="107">
      <c r="A1182" s="216">
        <f>'ESCOLA PAROQUIAL SÃO PIO X'!F11</f>
        <v/>
      </c>
      <c r="B1182" s="217">
        <f>'ESCOLA PAROQUIAL SÃO PIO X'!C11</f>
        <v/>
      </c>
    </row>
    <row r="1183" ht="15" customHeight="1" s="107">
      <c r="A1183" s="216">
        <f>'ESCOLA PAROQUIAL SÃO PIO X'!F12</f>
        <v/>
      </c>
      <c r="B1183" s="217">
        <f>'ESCOLA PAROQUIAL SÃO PIO X'!C12</f>
        <v/>
      </c>
    </row>
    <row r="1184" ht="15" customHeight="1" s="107">
      <c r="A1184" s="216">
        <f>'ESCOLA PAROQUIAL SÃO PIO X'!F13</f>
        <v/>
      </c>
      <c r="B1184" s="217">
        <f>'ESCOLA PAROQUIAL SÃO PIO X'!C13</f>
        <v/>
      </c>
    </row>
    <row r="1185" ht="15" customHeight="1" s="107">
      <c r="A1185" s="216">
        <f>'ESCOLA PAROQUIAL SÃO PIO X'!F14</f>
        <v/>
      </c>
      <c r="B1185" s="217">
        <f>'ESCOLA PAROQUIAL SÃO PIO X'!C14</f>
        <v/>
      </c>
    </row>
    <row r="1186" ht="15" customHeight="1" s="107">
      <c r="A1186" s="216">
        <f>'ESCOLA PAROQUIAL SÃO PIO X'!F15</f>
        <v/>
      </c>
      <c r="B1186" s="217">
        <f>'ESCOLA PAROQUIAL SÃO PIO X'!C15</f>
        <v/>
      </c>
    </row>
    <row r="1187" ht="15" customHeight="1" s="107">
      <c r="A1187" s="216">
        <f>'ESCOLA PAROQUIAL SÃO PIO X'!F16</f>
        <v/>
      </c>
      <c r="B1187" s="217">
        <f>'ESCOLA PAROQUIAL SÃO PIO X'!C16</f>
        <v/>
      </c>
    </row>
    <row r="1188" ht="15" customHeight="1" s="107">
      <c r="A1188" s="216">
        <f>'ESCOLA PAROQUIAL SÃO PIO X'!F17</f>
        <v/>
      </c>
      <c r="B1188" s="217">
        <f>'ESCOLA PAROQUIAL SÃO PIO X'!C17</f>
        <v/>
      </c>
    </row>
    <row r="1189" ht="15" customHeight="1" s="107">
      <c r="A1189" s="216">
        <f>'ESCOLA PAROQUIAL SÃO PIO X'!F18</f>
        <v/>
      </c>
      <c r="B1189" s="217">
        <f>'ESCOLA PAROQUIAL SÃO PIO X'!C18</f>
        <v/>
      </c>
    </row>
    <row r="1190" ht="15" customHeight="1" s="107">
      <c r="A1190" s="216">
        <f>'ESCOLA PAROQUIAL SÃO PIO X'!F19</f>
        <v/>
      </c>
      <c r="B1190" s="217">
        <f>'ESCOLA PAROQUIAL SÃO PIO X'!C19</f>
        <v/>
      </c>
    </row>
    <row r="1191" ht="15" customHeight="1" s="107">
      <c r="A1191" s="216">
        <f>'ESCOLA PAROQUIAL SÃO PIO X'!F20</f>
        <v/>
      </c>
      <c r="B1191" s="217">
        <f>'ESCOLA PAROQUIAL SÃO PIO X'!C20</f>
        <v/>
      </c>
    </row>
    <row r="1192" ht="15" customHeight="1" s="107">
      <c r="A1192" s="216">
        <f>'ESCOLA PAROQUIAL SÃO PIO X'!F21</f>
        <v/>
      </c>
      <c r="B1192" s="217">
        <f>'ESCOLA PAROQUIAL SÃO PIO X'!C21</f>
        <v/>
      </c>
    </row>
    <row r="1193" ht="15" customHeight="1" s="107">
      <c r="A1193" s="216">
        <f>'ESCOLA PAROQUIAL SÃO PIO X'!F22</f>
        <v/>
      </c>
      <c r="B1193" s="217">
        <f>'ESCOLA PAROQUIAL SÃO PIO X'!C22</f>
        <v/>
      </c>
    </row>
    <row r="1194" ht="15" customHeight="1" s="107">
      <c r="A1194" s="216">
        <f>'ESCOLA PAROQUIAL SÃO PIO X'!F23</f>
        <v/>
      </c>
      <c r="B1194" s="217">
        <f>'ESCOLA PAROQUIAL SÃO PIO X'!C23</f>
        <v/>
      </c>
    </row>
    <row r="1195" ht="15" customHeight="1" s="107">
      <c r="A1195" s="216">
        <f>'ESCOLA PAROQUIAL SÃO PIO X'!F24</f>
        <v/>
      </c>
      <c r="B1195" s="217">
        <f>'ESCOLA PAROQUIAL SÃO PIO X'!C24</f>
        <v/>
      </c>
    </row>
    <row r="1196" ht="15" customHeight="1" s="107">
      <c r="A1196" s="216">
        <f>'ESCOLA PAROQUIAL SÃO PIO X'!F25</f>
        <v/>
      </c>
      <c r="B1196" s="217">
        <f>'ESCOLA PAROQUIAL SÃO PIO X'!C25</f>
        <v/>
      </c>
    </row>
    <row r="1197" ht="15" customHeight="1" s="107">
      <c r="A1197" s="216">
        <f>'ESCOLA PAROQUIAL SÃO PIO X'!F26</f>
        <v/>
      </c>
      <c r="B1197" s="217">
        <f>'ESCOLA PAROQUIAL SÃO PIO X'!C26</f>
        <v/>
      </c>
    </row>
    <row r="1198" ht="15" customHeight="1" s="107">
      <c r="A1198" s="216">
        <f>'ESCOLA PAROQUIAL SÃO PIO X'!F27</f>
        <v/>
      </c>
      <c r="B1198" s="217">
        <f>'ESCOLA PAROQUIAL SÃO PIO X'!C27</f>
        <v/>
      </c>
    </row>
    <row r="1199" ht="15" customHeight="1" s="107">
      <c r="A1199" s="216">
        <f>'CEI SÃO CHARBEL'!F9</f>
        <v/>
      </c>
      <c r="B1199" s="217">
        <f>'CEI SÃO CHARBEL'!C9</f>
        <v/>
      </c>
    </row>
    <row r="1200" ht="15" customHeight="1" s="107">
      <c r="A1200" s="216">
        <f>'CEI SÃO CHARBEL'!F10</f>
        <v/>
      </c>
      <c r="B1200" s="217">
        <f>'CEI SÃO CHARBEL'!C10</f>
        <v/>
      </c>
    </row>
    <row r="1201" ht="15" customHeight="1" s="107">
      <c r="A1201" s="216">
        <f>'CEI SÃO CHARBEL'!F11</f>
        <v/>
      </c>
      <c r="B1201" s="217">
        <f>'CEI SÃO CHARBEL'!C11</f>
        <v/>
      </c>
    </row>
    <row r="1202" ht="15" customHeight="1" s="107">
      <c r="A1202" s="216">
        <f>'CEI SÃO CHARBEL'!F12</f>
        <v/>
      </c>
      <c r="B1202" s="217">
        <f>'CEI SÃO CHARBEL'!C12</f>
        <v/>
      </c>
    </row>
    <row r="1203" ht="15" customHeight="1" s="107">
      <c r="A1203" s="216">
        <f>'CEI SÃO CHARBEL'!F13</f>
        <v/>
      </c>
      <c r="B1203" s="217">
        <f>'CEI SÃO CHARBEL'!C13</f>
        <v/>
      </c>
    </row>
    <row r="1204" ht="15" customHeight="1" s="107">
      <c r="A1204" s="216">
        <f>'CEI SÃO CHARBEL'!F14</f>
        <v/>
      </c>
      <c r="B1204" s="217">
        <f>'CEI SÃO CHARBEL'!C14</f>
        <v/>
      </c>
    </row>
    <row r="1205" ht="15" customHeight="1" s="107">
      <c r="A1205" s="216">
        <f>'CEI SÃO CHARBEL'!F15</f>
        <v/>
      </c>
      <c r="B1205" s="217">
        <f>'CEI SÃO CHARBEL'!C15</f>
        <v/>
      </c>
    </row>
    <row r="1206" ht="15" customHeight="1" s="107">
      <c r="A1206" s="216">
        <f>'CEI SÃO CHARBEL'!F16</f>
        <v/>
      </c>
      <c r="B1206" s="217">
        <f>'CEI SÃO CHARBEL'!C16</f>
        <v/>
      </c>
    </row>
    <row r="1207" ht="15" customHeight="1" s="107">
      <c r="A1207" s="216">
        <f>'CEI SÃO CHARBEL'!F17</f>
        <v/>
      </c>
      <c r="B1207" s="217">
        <f>'CEI SÃO CHARBEL'!C17</f>
        <v/>
      </c>
    </row>
    <row r="1208" ht="15" customHeight="1" s="107">
      <c r="A1208" s="216">
        <f>'CEI SÃO CHARBEL'!F18</f>
        <v/>
      </c>
      <c r="B1208" s="217">
        <f>'CEI SÃO CHARBEL'!C18</f>
        <v/>
      </c>
    </row>
    <row r="1209" ht="15" customHeight="1" s="107">
      <c r="A1209" s="216">
        <f>'CEI SÃO CHARBEL'!F19</f>
        <v/>
      </c>
      <c r="B1209" s="217">
        <f>'CEI SÃO CHARBEL'!C19</f>
        <v/>
      </c>
    </row>
    <row r="1210" ht="15" customHeight="1" s="107">
      <c r="A1210" s="216">
        <f>'CEI SÃO CHARBEL'!F20</f>
        <v/>
      </c>
      <c r="B1210" s="217">
        <f>'CEI SÃO CHARBEL'!C20</f>
        <v/>
      </c>
    </row>
    <row r="1211" ht="15" customHeight="1" s="107">
      <c r="A1211" s="216">
        <f>'CEI SÃO CHARBEL'!F21</f>
        <v/>
      </c>
      <c r="B1211" s="217">
        <f>'CEI SÃO CHARBEL'!C21</f>
        <v/>
      </c>
    </row>
    <row r="1212" ht="15" customHeight="1" s="107">
      <c r="A1212" s="216">
        <f>'CEI SÃO CHARBEL'!F22</f>
        <v/>
      </c>
      <c r="B1212" s="217">
        <f>'CEI SÃO CHARBEL'!C22</f>
        <v/>
      </c>
    </row>
    <row r="1213" ht="15" customHeight="1" s="107">
      <c r="A1213" s="216">
        <f>'CEI SÃO CHARBEL'!F23</f>
        <v/>
      </c>
      <c r="B1213" s="217">
        <f>'CEI SÃO CHARBEL'!C23</f>
        <v/>
      </c>
    </row>
    <row r="1214" ht="15" customHeight="1" s="107">
      <c r="A1214" s="216">
        <f>'CEI SÃO CHARBEL'!F24</f>
        <v/>
      </c>
      <c r="B1214" s="217">
        <f>'CEI SÃO CHARBEL'!C24</f>
        <v/>
      </c>
    </row>
    <row r="1215" ht="15" customHeight="1" s="107">
      <c r="A1215" s="216">
        <f>'CEI SÃO CHARBEL'!F25</f>
        <v/>
      </c>
      <c r="B1215" s="217">
        <f>'CEI SÃO CHARBEL'!C25</f>
        <v/>
      </c>
    </row>
    <row r="1216" ht="15" customHeight="1" s="107">
      <c r="A1216" s="216">
        <f>'CEI SÃO CHARBEL'!F26</f>
        <v/>
      </c>
      <c r="B1216" s="217">
        <f>'CEI SÃO CHARBEL'!C26</f>
        <v/>
      </c>
    </row>
    <row r="1217" ht="15" customHeight="1" s="107">
      <c r="A1217" s="216">
        <f>'CEI SÃO CHARBEL'!F27</f>
        <v/>
      </c>
      <c r="B1217" s="217">
        <f>'CEI SÃO CHARBEL'!C27</f>
        <v/>
      </c>
    </row>
    <row r="1218" ht="15" customHeight="1" s="107">
      <c r="A1218" s="216">
        <f>'E M ROSALINA NICOLAY'!F9</f>
        <v/>
      </c>
      <c r="B1218" s="217">
        <f>'E M ROSALINA NICOLAY'!C9</f>
        <v/>
      </c>
    </row>
    <row r="1219" ht="15" customHeight="1" s="107">
      <c r="A1219" s="216">
        <f>'E M ROSALINA NICOLAY'!F10</f>
        <v/>
      </c>
      <c r="B1219" s="217">
        <f>'E M ROSALINA NICOLAY'!C10</f>
        <v/>
      </c>
    </row>
    <row r="1220" ht="15" customHeight="1" s="107">
      <c r="A1220" s="216">
        <f>'E M ROSALINA NICOLAY'!F11</f>
        <v/>
      </c>
      <c r="B1220" s="217">
        <f>'E M ROSALINA NICOLAY'!C11</f>
        <v/>
      </c>
    </row>
    <row r="1221" ht="15" customHeight="1" s="107">
      <c r="A1221" s="216">
        <f>'E M ROSALINA NICOLAY'!F12</f>
        <v/>
      </c>
      <c r="B1221" s="217">
        <f>'E M ROSALINA NICOLAY'!C12</f>
        <v/>
      </c>
    </row>
    <row r="1222" ht="15" customHeight="1" s="107">
      <c r="A1222" s="216">
        <f>'E M ROSALINA NICOLAY'!F13</f>
        <v/>
      </c>
      <c r="B1222" s="217">
        <f>'E M ROSALINA NICOLAY'!C13</f>
        <v/>
      </c>
    </row>
    <row r="1223" ht="15" customHeight="1" s="107">
      <c r="A1223" s="216">
        <f>'E M ROSALINA NICOLAY'!F14</f>
        <v/>
      </c>
      <c r="B1223" s="217">
        <f>'E M ROSALINA NICOLAY'!C14</f>
        <v/>
      </c>
    </row>
    <row r="1224" ht="15" customHeight="1" s="107">
      <c r="A1224" s="216">
        <f>'E M ROSALINA NICOLAY'!F15</f>
        <v/>
      </c>
      <c r="B1224" s="217">
        <f>'E M ROSALINA NICOLAY'!C15</f>
        <v/>
      </c>
    </row>
    <row r="1225" ht="15" customHeight="1" s="107">
      <c r="A1225" s="216">
        <f>'E M ROSALINA NICOLAY'!F16</f>
        <v/>
      </c>
      <c r="B1225" s="217">
        <f>'E M ROSALINA NICOLAY'!C16</f>
        <v/>
      </c>
    </row>
    <row r="1226" ht="15" customHeight="1" s="107">
      <c r="A1226" s="216">
        <f>'E M ROSALINA NICOLAY'!F17</f>
        <v/>
      </c>
      <c r="B1226" s="217">
        <f>'E M ROSALINA NICOLAY'!C17</f>
        <v/>
      </c>
    </row>
    <row r="1227" ht="15" customHeight="1" s="107">
      <c r="A1227" s="216">
        <f>'E M ROSALINA NICOLAY'!F18</f>
        <v/>
      </c>
      <c r="B1227" s="217">
        <f>'E M ROSALINA NICOLAY'!C18</f>
        <v/>
      </c>
    </row>
    <row r="1228" ht="15" customHeight="1" s="107">
      <c r="A1228" s="216">
        <f>'E M ROSALINA NICOLAY'!F19</f>
        <v/>
      </c>
      <c r="B1228" s="217">
        <f>'E M ROSALINA NICOLAY'!C19</f>
        <v/>
      </c>
    </row>
    <row r="1229" ht="15" customHeight="1" s="107">
      <c r="A1229" s="216">
        <f>'E M ROSALINA NICOLAY'!F20</f>
        <v/>
      </c>
      <c r="B1229" s="217">
        <f>'E M ROSALINA NICOLAY'!C20</f>
        <v/>
      </c>
    </row>
    <row r="1230" ht="15" customHeight="1" s="107">
      <c r="A1230" s="216">
        <f>'E M ROSALINA NICOLAY'!F21</f>
        <v/>
      </c>
      <c r="B1230" s="217">
        <f>'E M ROSALINA NICOLAY'!C21</f>
        <v/>
      </c>
    </row>
    <row r="1231" ht="15" customHeight="1" s="107">
      <c r="A1231" s="216">
        <f>'E M ROSALINA NICOLAY'!F22</f>
        <v/>
      </c>
      <c r="B1231" s="217">
        <f>'E M ROSALINA NICOLAY'!C22</f>
        <v/>
      </c>
    </row>
    <row r="1232" ht="15" customHeight="1" s="107">
      <c r="A1232" s="216">
        <f>'E M ROSALINA NICOLAY'!F23</f>
        <v/>
      </c>
      <c r="B1232" s="217">
        <f>'E M ROSALINA NICOLAY'!C23</f>
        <v/>
      </c>
    </row>
    <row r="1233" ht="15" customHeight="1" s="107">
      <c r="A1233" s="216">
        <f>'E M ROSALINA NICOLAY'!F24</f>
        <v/>
      </c>
      <c r="B1233" s="217">
        <f>'E M ROSALINA NICOLAY'!C24</f>
        <v/>
      </c>
    </row>
    <row r="1234" ht="15" customHeight="1" s="107">
      <c r="A1234" s="216">
        <f>'E M ROSALINA NICOLAY'!F25</f>
        <v/>
      </c>
      <c r="B1234" s="217">
        <f>'E M ROSALINA NICOLAY'!C25</f>
        <v/>
      </c>
    </row>
    <row r="1235" ht="15" customHeight="1" s="107">
      <c r="A1235" s="216">
        <f>'E M ROSALINA NICOLAY'!F26</f>
        <v/>
      </c>
      <c r="B1235" s="217">
        <f>'E M ROSALINA NICOLAY'!C26</f>
        <v/>
      </c>
    </row>
    <row r="1236" ht="15" customHeight="1" s="107">
      <c r="A1236" s="216">
        <f>'E M ROSALINA NICOLAY'!F27</f>
        <v/>
      </c>
      <c r="B1236" s="217">
        <f>'E M ROSALINA NICOLAY'!C27</f>
        <v/>
      </c>
    </row>
    <row r="1237" ht="15" customHeight="1" s="107">
      <c r="A1237" s="216">
        <f>'CEI INÊS BELARMINO DE SOUZA'!F9</f>
        <v/>
      </c>
      <c r="B1237" s="217">
        <f>'CEI INÊS BELARMINO DE SOUZA'!C9</f>
        <v/>
      </c>
    </row>
    <row r="1238" ht="15" customHeight="1" s="107">
      <c r="A1238" s="216">
        <f>'CEI INÊS BELARMINO DE SOUZA'!F10</f>
        <v/>
      </c>
      <c r="B1238" s="217">
        <f>'CEI INÊS BELARMINO DE SOUZA'!C10</f>
        <v/>
      </c>
    </row>
    <row r="1239" ht="15" customHeight="1" s="107">
      <c r="A1239" s="216">
        <f>'CEI INÊS BELARMINO DE SOUZA'!F11</f>
        <v/>
      </c>
      <c r="B1239" s="217">
        <f>'CEI INÊS BELARMINO DE SOUZA'!C11</f>
        <v/>
      </c>
    </row>
    <row r="1240" ht="15" customHeight="1" s="107">
      <c r="A1240" s="216">
        <f>'CEI INÊS BELARMINO DE SOUZA'!F12</f>
        <v/>
      </c>
      <c r="B1240" s="217">
        <f>'CEI INÊS BELARMINO DE SOUZA'!C12</f>
        <v/>
      </c>
    </row>
    <row r="1241" ht="15" customHeight="1" s="107">
      <c r="A1241" s="216">
        <f>'CEI INÊS BELARMINO DE SOUZA'!F13</f>
        <v/>
      </c>
      <c r="B1241" s="217">
        <f>'CEI INÊS BELARMINO DE SOUZA'!C13</f>
        <v/>
      </c>
    </row>
    <row r="1242" ht="15" customHeight="1" s="107">
      <c r="A1242" s="216">
        <f>'CEI INÊS BELARMINO DE SOUZA'!F14</f>
        <v/>
      </c>
      <c r="B1242" s="217">
        <f>'CEI INÊS BELARMINO DE SOUZA'!C14</f>
        <v/>
      </c>
    </row>
    <row r="1243" ht="15" customHeight="1" s="107">
      <c r="A1243" s="216">
        <f>'CEI INÊS BELARMINO DE SOUZA'!F15</f>
        <v/>
      </c>
      <c r="B1243" s="217">
        <f>'CEI INÊS BELARMINO DE SOUZA'!C15</f>
        <v/>
      </c>
    </row>
    <row r="1244" ht="15" customHeight="1" s="107">
      <c r="A1244" s="216">
        <f>'CEI INÊS BELARMINO DE SOUZA'!F16</f>
        <v/>
      </c>
      <c r="B1244" s="217">
        <f>'CEI INÊS BELARMINO DE SOUZA'!C16</f>
        <v/>
      </c>
    </row>
    <row r="1245" ht="15" customHeight="1" s="107">
      <c r="A1245" s="216">
        <f>'CEI INÊS BELARMINO DE SOUZA'!F17</f>
        <v/>
      </c>
      <c r="B1245" s="217">
        <f>'CEI INÊS BELARMINO DE SOUZA'!C17</f>
        <v/>
      </c>
    </row>
    <row r="1246" ht="15" customHeight="1" s="107">
      <c r="A1246" s="216">
        <f>'CEI INÊS BELARMINO DE SOUZA'!F18</f>
        <v/>
      </c>
      <c r="B1246" s="217">
        <f>'CEI INÊS BELARMINO DE SOUZA'!C18</f>
        <v/>
      </c>
    </row>
    <row r="1247" ht="15" customHeight="1" s="107">
      <c r="A1247" s="216">
        <f>'CEI INÊS BELARMINO DE SOUZA'!F19</f>
        <v/>
      </c>
      <c r="B1247" s="217">
        <f>'CEI INÊS BELARMINO DE SOUZA'!C19</f>
        <v/>
      </c>
    </row>
    <row r="1248" ht="15" customHeight="1" s="107">
      <c r="A1248" s="216">
        <f>'CEI INÊS BELARMINO DE SOUZA'!F20</f>
        <v/>
      </c>
      <c r="B1248" s="217">
        <f>'CEI INÊS BELARMINO DE SOUZA'!C20</f>
        <v/>
      </c>
    </row>
    <row r="1249" ht="15" customHeight="1" s="107">
      <c r="A1249" s="216">
        <f>'CEI INÊS BELARMINO DE SOUZA'!F21</f>
        <v/>
      </c>
      <c r="B1249" s="217">
        <f>'CEI INÊS BELARMINO DE SOUZA'!C21</f>
        <v/>
      </c>
    </row>
    <row r="1250" ht="15" customHeight="1" s="107">
      <c r="A1250" s="216">
        <f>'CEI INÊS BELARMINO DE SOUZA'!F22</f>
        <v/>
      </c>
      <c r="B1250" s="217">
        <f>'CEI INÊS BELARMINO DE SOUZA'!C22</f>
        <v/>
      </c>
    </row>
    <row r="1251" ht="15" customHeight="1" s="107">
      <c r="A1251" s="216">
        <f>'CEI INÊS BELARMINO DE SOUZA'!F23</f>
        <v/>
      </c>
      <c r="B1251" s="217">
        <f>'CEI INÊS BELARMINO DE SOUZA'!C23</f>
        <v/>
      </c>
    </row>
    <row r="1252" ht="15" customHeight="1" s="107">
      <c r="A1252" s="216">
        <f>'CEI INÊS BELARMINO DE SOUZA'!F24</f>
        <v/>
      </c>
      <c r="B1252" s="217">
        <f>'CEI INÊS BELARMINO DE SOUZA'!C24</f>
        <v/>
      </c>
    </row>
    <row r="1253" ht="15" customHeight="1" s="107">
      <c r="A1253" s="216">
        <f>'CEI INÊS BELARMINO DE SOUZA'!F25</f>
        <v/>
      </c>
      <c r="B1253" s="217">
        <f>'CEI INÊS BELARMINO DE SOUZA'!C25</f>
        <v/>
      </c>
    </row>
    <row r="1254" ht="15" customHeight="1" s="107">
      <c r="A1254" s="216">
        <f>'CEI INÊS BELARMINO DE SOUZA'!F26</f>
        <v/>
      </c>
      <c r="B1254" s="217">
        <f>'CEI INÊS BELARMINO DE SOUZA'!C26</f>
        <v/>
      </c>
    </row>
    <row r="1255" ht="15" customHeight="1" s="107">
      <c r="A1255" s="216">
        <f>'CEI INÊS BELARMINO DE SOUZA'!F27</f>
        <v/>
      </c>
      <c r="B1255" s="217">
        <f>'CEI INÊS BELARMINO DE SOUZA'!C27</f>
        <v/>
      </c>
    </row>
    <row r="1256" ht="15" customHeight="1" s="107">
      <c r="A1256" s="216">
        <f>'E M PROFª MARIA DA GLÓRIA QUEIR'!F9</f>
        <v/>
      </c>
      <c r="B1256" s="217">
        <f>'E M PROFª MARIA DA GLÓRIA QUEIR'!C9</f>
        <v/>
      </c>
    </row>
    <row r="1257" ht="15" customHeight="1" s="107">
      <c r="A1257" s="216">
        <f>'E M PROFª MARIA DA GLÓRIA QUEIR'!F10</f>
        <v/>
      </c>
      <c r="B1257" s="217">
        <f>'E M PROFª MARIA DA GLÓRIA QUEIR'!C10</f>
        <v/>
      </c>
    </row>
    <row r="1258" ht="15" customHeight="1" s="107">
      <c r="A1258" s="216">
        <f>'E M PROFª MARIA DA GLÓRIA QUEIR'!F11</f>
        <v/>
      </c>
      <c r="B1258" s="217">
        <f>'E M PROFª MARIA DA GLÓRIA QUEIR'!C11</f>
        <v/>
      </c>
    </row>
    <row r="1259" ht="15" customHeight="1" s="107">
      <c r="A1259" s="216">
        <f>'E M PROFª MARIA DA GLÓRIA QUEIR'!F12</f>
        <v/>
      </c>
      <c r="B1259" s="217">
        <f>'E M PROFª MARIA DA GLÓRIA QUEIR'!C12</f>
        <v/>
      </c>
    </row>
    <row r="1260" ht="15" customHeight="1" s="107">
      <c r="A1260" s="216">
        <f>'E M PROFª MARIA DA GLÓRIA QUEIR'!F13</f>
        <v/>
      </c>
      <c r="B1260" s="217">
        <f>'E M PROFª MARIA DA GLÓRIA QUEIR'!C13</f>
        <v/>
      </c>
    </row>
    <row r="1261" ht="15" customHeight="1" s="107">
      <c r="A1261" s="216">
        <f>'E M PROFª MARIA DA GLÓRIA QUEIR'!F14</f>
        <v/>
      </c>
      <c r="B1261" s="217">
        <f>'E M PROFª MARIA DA GLÓRIA QUEIR'!C14</f>
        <v/>
      </c>
    </row>
    <row r="1262" ht="15" customHeight="1" s="107">
      <c r="A1262" s="216">
        <f>'E M PROFª MARIA DA GLÓRIA QUEIR'!F15</f>
        <v/>
      </c>
      <c r="B1262" s="217">
        <f>'E M PROFª MARIA DA GLÓRIA QUEIR'!C15</f>
        <v/>
      </c>
    </row>
    <row r="1263" ht="15" customHeight="1" s="107">
      <c r="A1263" s="216">
        <f>'E M PROFª MARIA DA GLÓRIA QUEIR'!F16</f>
        <v/>
      </c>
      <c r="B1263" s="217">
        <f>'E M PROFª MARIA DA GLÓRIA QUEIR'!C16</f>
        <v/>
      </c>
    </row>
    <row r="1264" ht="15" customHeight="1" s="107">
      <c r="A1264" s="216">
        <f>'E M PROFª MARIA DA GLÓRIA QUEIR'!F17</f>
        <v/>
      </c>
      <c r="B1264" s="217">
        <f>'E M PROFª MARIA DA GLÓRIA QUEIR'!C17</f>
        <v/>
      </c>
    </row>
    <row r="1265" ht="15" customHeight="1" s="107">
      <c r="A1265" s="216">
        <f>'E M PROFª MARIA DA GLÓRIA QUEIR'!F18</f>
        <v/>
      </c>
      <c r="B1265" s="217">
        <f>'E M PROFª MARIA DA GLÓRIA QUEIR'!C18</f>
        <v/>
      </c>
    </row>
    <row r="1266" ht="15" customHeight="1" s="107">
      <c r="A1266" s="216">
        <f>'E M PROFª MARIA DA GLÓRIA QUEIR'!F19</f>
        <v/>
      </c>
      <c r="B1266" s="217">
        <f>'E M PROFª MARIA DA GLÓRIA QUEIR'!C19</f>
        <v/>
      </c>
    </row>
    <row r="1267" ht="15" customHeight="1" s="107">
      <c r="A1267" s="216">
        <f>'E M PROFª MARIA DA GLÓRIA QUEIR'!F20</f>
        <v/>
      </c>
      <c r="B1267" s="217">
        <f>'E M PROFª MARIA DA GLÓRIA QUEIR'!C20</f>
        <v/>
      </c>
    </row>
    <row r="1268" ht="15" customHeight="1" s="107">
      <c r="A1268" s="216">
        <f>'E M PROFª MARIA DA GLÓRIA QUEIR'!F21</f>
        <v/>
      </c>
      <c r="B1268" s="217">
        <f>'E M PROFª MARIA DA GLÓRIA QUEIR'!C21</f>
        <v/>
      </c>
    </row>
    <row r="1269" ht="15" customHeight="1" s="107">
      <c r="A1269" s="216">
        <f>'E M PROFª MARIA DA GLÓRIA QUEIR'!F22</f>
        <v/>
      </c>
      <c r="B1269" s="217">
        <f>'E M PROFª MARIA DA GLÓRIA QUEIR'!C22</f>
        <v/>
      </c>
    </row>
    <row r="1270" ht="15" customHeight="1" s="107">
      <c r="A1270" s="216">
        <f>'E M PROFª MARIA DA GLÓRIA QUEIR'!F23</f>
        <v/>
      </c>
      <c r="B1270" s="217">
        <f>'E M PROFª MARIA DA GLÓRIA QUEIR'!C23</f>
        <v/>
      </c>
    </row>
    <row r="1271" ht="15" customHeight="1" s="107">
      <c r="A1271" s="216">
        <f>'E M PROFª MARIA DA GLÓRIA QUEIR'!F24</f>
        <v/>
      </c>
      <c r="B1271" s="217">
        <f>'E M PROFª MARIA DA GLÓRIA QUEIR'!C24</f>
        <v/>
      </c>
    </row>
    <row r="1272" ht="15" customHeight="1" s="107">
      <c r="A1272" s="216">
        <f>'E M PROFª MARIA DA GLÓRIA QUEIR'!F25</f>
        <v/>
      </c>
      <c r="B1272" s="217">
        <f>'E M PROFª MARIA DA GLÓRIA QUEIR'!C25</f>
        <v/>
      </c>
    </row>
    <row r="1273" ht="15" customHeight="1" s="107">
      <c r="A1273" s="216">
        <f>'E M PROFª MARIA DA GLÓRIA QUEIR'!F26</f>
        <v/>
      </c>
      <c r="B1273" s="217">
        <f>'E M PROFª MARIA DA GLÓRIA QUEIR'!C26</f>
        <v/>
      </c>
    </row>
    <row r="1274" ht="15" customHeight="1" s="107">
      <c r="A1274" s="216">
        <f>'E M PROFª MARIA DA GLÓRIA QUEIR'!F27</f>
        <v/>
      </c>
      <c r="B1274" s="217">
        <f>'E M PROFª MARIA DA GLÓRIA QUEIR'!C27</f>
        <v/>
      </c>
    </row>
    <row r="1275" ht="15" customHeight="1" s="107">
      <c r="A1275" s="216">
        <f>'CENTRO EDUCACIONAL COMUNIDADE S'!F9</f>
        <v/>
      </c>
      <c r="B1275" s="217">
        <f>'CENTRO EDUCACIONAL COMUNIDADE S'!C9</f>
        <v/>
      </c>
    </row>
    <row r="1276" ht="15" customHeight="1" s="107">
      <c r="A1276" s="216">
        <f>'CENTRO EDUCACIONAL COMUNIDADE S'!F10</f>
        <v/>
      </c>
      <c r="B1276" s="217">
        <f>'CENTRO EDUCACIONAL COMUNIDADE S'!C10</f>
        <v/>
      </c>
    </row>
    <row r="1277" ht="15" customHeight="1" s="107">
      <c r="A1277" s="216">
        <f>'CENTRO EDUCACIONAL COMUNIDADE S'!F11</f>
        <v/>
      </c>
      <c r="B1277" s="217">
        <f>'CENTRO EDUCACIONAL COMUNIDADE S'!C11</f>
        <v/>
      </c>
    </row>
    <row r="1278" ht="15" customHeight="1" s="107">
      <c r="A1278" s="216">
        <f>'CENTRO EDUCACIONAL COMUNIDADE S'!F12</f>
        <v/>
      </c>
      <c r="B1278" s="217">
        <f>'CENTRO EDUCACIONAL COMUNIDADE S'!C12</f>
        <v/>
      </c>
    </row>
    <row r="1279" ht="15" customHeight="1" s="107">
      <c r="A1279" s="216">
        <f>'CENTRO EDUCACIONAL COMUNIDADE S'!F13</f>
        <v/>
      </c>
      <c r="B1279" s="217">
        <f>'CENTRO EDUCACIONAL COMUNIDADE S'!C13</f>
        <v/>
      </c>
    </row>
    <row r="1280" ht="15" customHeight="1" s="107">
      <c r="A1280" s="216">
        <f>'CENTRO EDUCACIONAL COMUNIDADE S'!F14</f>
        <v/>
      </c>
      <c r="B1280" s="217">
        <f>'CENTRO EDUCACIONAL COMUNIDADE S'!C14</f>
        <v/>
      </c>
    </row>
    <row r="1281" ht="15" customHeight="1" s="107">
      <c r="A1281" s="216">
        <f>'CENTRO EDUCACIONAL COMUNIDADE S'!F15</f>
        <v/>
      </c>
      <c r="B1281" s="217">
        <f>'CENTRO EDUCACIONAL COMUNIDADE S'!C15</f>
        <v/>
      </c>
    </row>
    <row r="1282" ht="15" customHeight="1" s="107">
      <c r="A1282" s="216">
        <f>'CENTRO EDUCACIONAL COMUNIDADE S'!F16</f>
        <v/>
      </c>
      <c r="B1282" s="217">
        <f>'CENTRO EDUCACIONAL COMUNIDADE S'!C16</f>
        <v/>
      </c>
    </row>
    <row r="1283" ht="15" customHeight="1" s="107">
      <c r="A1283" s="216">
        <f>'CENTRO EDUCACIONAL COMUNIDADE S'!F17</f>
        <v/>
      </c>
      <c r="B1283" s="217">
        <f>'CENTRO EDUCACIONAL COMUNIDADE S'!C17</f>
        <v/>
      </c>
    </row>
    <row r="1284" ht="15" customHeight="1" s="107">
      <c r="A1284" s="216">
        <f>'CENTRO EDUCACIONAL COMUNIDADE S'!F18</f>
        <v/>
      </c>
      <c r="B1284" s="217">
        <f>'CENTRO EDUCACIONAL COMUNIDADE S'!C18</f>
        <v/>
      </c>
    </row>
    <row r="1285" ht="15" customHeight="1" s="107">
      <c r="A1285" s="216">
        <f>'CENTRO EDUCACIONAL COMUNIDADE S'!F19</f>
        <v/>
      </c>
      <c r="B1285" s="217">
        <f>'CENTRO EDUCACIONAL COMUNIDADE S'!C19</f>
        <v/>
      </c>
    </row>
    <row r="1286" ht="15" customHeight="1" s="107">
      <c r="A1286" s="216">
        <f>'CENTRO EDUCACIONAL COMUNIDADE S'!F20</f>
        <v/>
      </c>
      <c r="B1286" s="217">
        <f>'CENTRO EDUCACIONAL COMUNIDADE S'!C20</f>
        <v/>
      </c>
    </row>
    <row r="1287" ht="15" customHeight="1" s="107">
      <c r="A1287" s="216">
        <f>'CENTRO EDUCACIONAL COMUNIDADE S'!F21</f>
        <v/>
      </c>
      <c r="B1287" s="217">
        <f>'CENTRO EDUCACIONAL COMUNIDADE S'!C21</f>
        <v/>
      </c>
    </row>
    <row r="1288" ht="15" customHeight="1" s="107">
      <c r="A1288" s="216">
        <f>'CENTRO EDUCACIONAL COMUNIDADE S'!F22</f>
        <v/>
      </c>
      <c r="B1288" s="217">
        <f>'CENTRO EDUCACIONAL COMUNIDADE S'!C22</f>
        <v/>
      </c>
    </row>
    <row r="1289" ht="15" customHeight="1" s="107">
      <c r="A1289" s="216">
        <f>'CENTRO EDUCACIONAL COMUNIDADE S'!F23</f>
        <v/>
      </c>
      <c r="B1289" s="217">
        <f>'CENTRO EDUCACIONAL COMUNIDADE S'!C23</f>
        <v/>
      </c>
    </row>
    <row r="1290" ht="15" customHeight="1" s="107">
      <c r="A1290" s="216">
        <f>'CENTRO EDUCACIONAL COMUNIDADE S'!F24</f>
        <v/>
      </c>
      <c r="B1290" s="217">
        <f>'CENTRO EDUCACIONAL COMUNIDADE S'!C24</f>
        <v/>
      </c>
    </row>
    <row r="1291" ht="15" customHeight="1" s="107">
      <c r="A1291" s="216">
        <f>'CENTRO EDUCACIONAL COMUNIDADE S'!F25</f>
        <v/>
      </c>
      <c r="B1291" s="217">
        <f>'CENTRO EDUCACIONAL COMUNIDADE S'!C25</f>
        <v/>
      </c>
    </row>
    <row r="1292" ht="15" customHeight="1" s="107">
      <c r="A1292" s="216">
        <f>'CENTRO EDUCACIONAL COMUNIDADE S'!F26</f>
        <v/>
      </c>
      <c r="B1292" s="217">
        <f>'CENTRO EDUCACIONAL COMUNIDADE S'!C26</f>
        <v/>
      </c>
    </row>
    <row r="1293" ht="15" customHeight="1" s="107">
      <c r="A1293" s="216">
        <f>'CENTRO EDUCACIONAL COMUNIDADE S'!F27</f>
        <v/>
      </c>
      <c r="B1293" s="217">
        <f>'CENTRO EDUCACIONAL COMUNIDADE S'!C27</f>
        <v/>
      </c>
    </row>
    <row r="1294" ht="15" customHeight="1" s="107">
      <c r="A1294" s="216">
        <f>'CEI ROMANO CANAVESE'!F9</f>
        <v/>
      </c>
      <c r="B1294" s="217">
        <f>'CEI ROMANO CANAVESE'!C9</f>
        <v/>
      </c>
    </row>
    <row r="1295" ht="15" customHeight="1" s="107">
      <c r="A1295" s="216">
        <f>'CEI ROMANO CANAVESE'!F10</f>
        <v/>
      </c>
      <c r="B1295" s="217">
        <f>'CEI ROMANO CANAVESE'!C10</f>
        <v/>
      </c>
    </row>
    <row r="1296" ht="15" customHeight="1" s="107">
      <c r="A1296" s="216">
        <f>'CEI ROMANO CANAVESE'!F11</f>
        <v/>
      </c>
      <c r="B1296" s="217">
        <f>'CEI ROMANO CANAVESE'!C11</f>
        <v/>
      </c>
    </row>
    <row r="1297" ht="15" customHeight="1" s="107">
      <c r="A1297" s="216">
        <f>'CEI ROMANO CANAVESE'!F12</f>
        <v/>
      </c>
      <c r="B1297" s="217">
        <f>'CEI ROMANO CANAVESE'!C12</f>
        <v/>
      </c>
    </row>
    <row r="1298" ht="15" customHeight="1" s="107">
      <c r="A1298" s="216">
        <f>'CEI ROMANO CANAVESE'!F13</f>
        <v/>
      </c>
      <c r="B1298" s="217">
        <f>'CEI ROMANO CANAVESE'!C13</f>
        <v/>
      </c>
    </row>
    <row r="1299" ht="15" customHeight="1" s="107">
      <c r="A1299" s="216">
        <f>'CEI ROMANO CANAVESE'!F14</f>
        <v/>
      </c>
      <c r="B1299" s="217">
        <f>'CEI ROMANO CANAVESE'!C14</f>
        <v/>
      </c>
    </row>
    <row r="1300" ht="15" customHeight="1" s="107">
      <c r="A1300" s="216">
        <f>'CEI ROMANO CANAVESE'!F15</f>
        <v/>
      </c>
      <c r="B1300" s="217">
        <f>'CEI ROMANO CANAVESE'!C15</f>
        <v/>
      </c>
    </row>
    <row r="1301" ht="15" customHeight="1" s="107">
      <c r="A1301" s="216">
        <f>'CEI ROMANO CANAVESE'!F16</f>
        <v/>
      </c>
      <c r="B1301" s="217">
        <f>'CEI ROMANO CANAVESE'!C16</f>
        <v/>
      </c>
    </row>
    <row r="1302" ht="15" customHeight="1" s="107">
      <c r="A1302" s="216">
        <f>'CEI ROMANO CANAVESE'!F17</f>
        <v/>
      </c>
      <c r="B1302" s="217">
        <f>'CEI ROMANO CANAVESE'!C17</f>
        <v/>
      </c>
    </row>
    <row r="1303" ht="15" customHeight="1" s="107">
      <c r="A1303" s="216">
        <f>'CEI ROMANO CANAVESE'!F18</f>
        <v/>
      </c>
      <c r="B1303" s="217">
        <f>'CEI ROMANO CANAVESE'!C18</f>
        <v/>
      </c>
    </row>
    <row r="1304" ht="15" customHeight="1" s="107">
      <c r="A1304" s="216">
        <f>'CEI ROMANO CANAVESE'!F19</f>
        <v/>
      </c>
      <c r="B1304" s="217">
        <f>'CEI ROMANO CANAVESE'!C19</f>
        <v/>
      </c>
    </row>
    <row r="1305" ht="15" customHeight="1" s="107">
      <c r="A1305" s="216">
        <f>'CEI ROMANO CANAVESE'!F20</f>
        <v/>
      </c>
      <c r="B1305" s="217">
        <f>'CEI ROMANO CANAVESE'!C20</f>
        <v/>
      </c>
    </row>
    <row r="1306" ht="15" customHeight="1" s="107">
      <c r="A1306" s="216">
        <f>'CEI ROMANO CANAVESE'!F21</f>
        <v/>
      </c>
      <c r="B1306" s="217">
        <f>'CEI ROMANO CANAVESE'!C21</f>
        <v/>
      </c>
    </row>
    <row r="1307" ht="15" customHeight="1" s="107">
      <c r="A1307" s="216">
        <f>'CEI ROMANO CANAVESE'!F22</f>
        <v/>
      </c>
      <c r="B1307" s="217">
        <f>'CEI ROMANO CANAVESE'!C22</f>
        <v/>
      </c>
    </row>
    <row r="1308" ht="15" customHeight="1" s="107">
      <c r="A1308" s="216">
        <f>'CEI ROMANO CANAVESE'!F23</f>
        <v/>
      </c>
      <c r="B1308" s="217">
        <f>'CEI ROMANO CANAVESE'!C23</f>
        <v/>
      </c>
    </row>
    <row r="1309" ht="15" customHeight="1" s="107">
      <c r="A1309" s="216">
        <f>'CEI ROMANO CANAVESE'!F24</f>
        <v/>
      </c>
      <c r="B1309" s="217">
        <f>'CEI ROMANO CANAVESE'!C24</f>
        <v/>
      </c>
    </row>
    <row r="1310" ht="15" customHeight="1" s="107">
      <c r="A1310" s="216">
        <f>'CEI ROMANO CANAVESE'!F25</f>
        <v/>
      </c>
      <c r="B1310" s="217">
        <f>'CEI ROMANO CANAVESE'!C25</f>
        <v/>
      </c>
    </row>
    <row r="1311" ht="15" customHeight="1" s="107">
      <c r="A1311" s="216">
        <f>'CEI ROMANO CANAVESE'!F26</f>
        <v/>
      </c>
      <c r="B1311" s="217">
        <f>'CEI ROMANO CANAVESE'!C26</f>
        <v/>
      </c>
    </row>
    <row r="1312" ht="15" customHeight="1" s="107">
      <c r="A1312" s="216">
        <f>'CEI ROMANO CANAVESE'!F27</f>
        <v/>
      </c>
      <c r="B1312" s="217">
        <f>'CEI ROMANO CANAVESE'!C27</f>
        <v/>
      </c>
    </row>
    <row r="1313" ht="15" customHeight="1" s="107">
      <c r="A1313" s="216">
        <f>'CEI CÉLIA LÔBO PAULO'!F9</f>
        <v/>
      </c>
      <c r="B1313" s="217">
        <f>'CEI CÉLIA LÔBO PAULO'!C9</f>
        <v/>
      </c>
    </row>
    <row r="1314" ht="15" customHeight="1" s="107">
      <c r="A1314" s="216">
        <f>'CEI CÉLIA LÔBO PAULO'!F10</f>
        <v/>
      </c>
      <c r="B1314" s="217">
        <f>'CEI CÉLIA LÔBO PAULO'!C10</f>
        <v/>
      </c>
    </row>
    <row r="1315" ht="15" customHeight="1" s="107">
      <c r="A1315" s="216">
        <f>'CEI CÉLIA LÔBO PAULO'!F11</f>
        <v/>
      </c>
      <c r="B1315" s="217">
        <f>'CEI CÉLIA LÔBO PAULO'!C11</f>
        <v/>
      </c>
    </row>
    <row r="1316" ht="15" customHeight="1" s="107">
      <c r="A1316" s="216">
        <f>'CEI CÉLIA LÔBO PAULO'!F12</f>
        <v/>
      </c>
      <c r="B1316" s="217">
        <f>'CEI CÉLIA LÔBO PAULO'!C12</f>
        <v/>
      </c>
    </row>
    <row r="1317" ht="15" customHeight="1" s="107">
      <c r="A1317" s="216">
        <f>'CEI CÉLIA LÔBO PAULO'!F13</f>
        <v/>
      </c>
      <c r="B1317" s="217">
        <f>'CEI CÉLIA LÔBO PAULO'!C13</f>
        <v/>
      </c>
    </row>
    <row r="1318" ht="15" customHeight="1" s="107">
      <c r="A1318" s="216">
        <f>'CEI CÉLIA LÔBO PAULO'!F14</f>
        <v/>
      </c>
      <c r="B1318" s="217">
        <f>'CEI CÉLIA LÔBO PAULO'!C14</f>
        <v/>
      </c>
    </row>
    <row r="1319" ht="15" customHeight="1" s="107">
      <c r="A1319" s="216">
        <f>'CEI CÉLIA LÔBO PAULO'!F15</f>
        <v/>
      </c>
      <c r="B1319" s="217">
        <f>'CEI CÉLIA LÔBO PAULO'!C15</f>
        <v/>
      </c>
    </row>
    <row r="1320" ht="15" customHeight="1" s="107">
      <c r="A1320" s="216">
        <f>'CEI CÉLIA LÔBO PAULO'!F16</f>
        <v/>
      </c>
      <c r="B1320" s="217">
        <f>'CEI CÉLIA LÔBO PAULO'!C16</f>
        <v/>
      </c>
    </row>
    <row r="1321" ht="15" customHeight="1" s="107">
      <c r="A1321" s="216">
        <f>'CEI CÉLIA LÔBO PAULO'!F17</f>
        <v/>
      </c>
      <c r="B1321" s="217">
        <f>'CEI CÉLIA LÔBO PAULO'!C17</f>
        <v/>
      </c>
    </row>
    <row r="1322" ht="15" customHeight="1" s="107">
      <c r="A1322" s="216">
        <f>'CEI CÉLIA LÔBO PAULO'!F18</f>
        <v/>
      </c>
      <c r="B1322" s="217">
        <f>'CEI CÉLIA LÔBO PAULO'!C18</f>
        <v/>
      </c>
    </row>
    <row r="1323" ht="15" customHeight="1" s="107">
      <c r="A1323" s="216">
        <f>'CEI CÉLIA LÔBO PAULO'!F19</f>
        <v/>
      </c>
      <c r="B1323" s="217">
        <f>'CEI CÉLIA LÔBO PAULO'!C19</f>
        <v/>
      </c>
    </row>
    <row r="1324" ht="15" customHeight="1" s="107">
      <c r="A1324" s="216">
        <f>'CEI CÉLIA LÔBO PAULO'!F20</f>
        <v/>
      </c>
      <c r="B1324" s="217">
        <f>'CEI CÉLIA LÔBO PAULO'!C20</f>
        <v/>
      </c>
    </row>
    <row r="1325" ht="15" customHeight="1" s="107">
      <c r="A1325" s="216">
        <f>'CEI CÉLIA LÔBO PAULO'!F21</f>
        <v/>
      </c>
      <c r="B1325" s="217">
        <f>'CEI CÉLIA LÔBO PAULO'!C21</f>
        <v/>
      </c>
    </row>
    <row r="1326" ht="15" customHeight="1" s="107">
      <c r="A1326" s="216">
        <f>'CEI CÉLIA LÔBO PAULO'!F22</f>
        <v/>
      </c>
      <c r="B1326" s="217">
        <f>'CEI CÉLIA LÔBO PAULO'!C22</f>
        <v/>
      </c>
    </row>
    <row r="1327" ht="15" customHeight="1" s="107">
      <c r="A1327" s="216">
        <f>'CEI CÉLIA LÔBO PAULO'!F23</f>
        <v/>
      </c>
      <c r="B1327" s="217">
        <f>'CEI CÉLIA LÔBO PAULO'!C23</f>
        <v/>
      </c>
    </row>
    <row r="1328" ht="15" customHeight="1" s="107">
      <c r="A1328" s="216">
        <f>'CEI CÉLIA LÔBO PAULO'!F24</f>
        <v/>
      </c>
      <c r="B1328" s="217">
        <f>'CEI CÉLIA LÔBO PAULO'!C24</f>
        <v/>
      </c>
    </row>
    <row r="1329" ht="15" customHeight="1" s="107">
      <c r="A1329" s="216">
        <f>'CEI CÉLIA LÔBO PAULO'!F25</f>
        <v/>
      </c>
      <c r="B1329" s="217">
        <f>'CEI CÉLIA LÔBO PAULO'!C25</f>
        <v/>
      </c>
    </row>
    <row r="1330" ht="15" customHeight="1" s="107">
      <c r="A1330" s="216">
        <f>'CEI CÉLIA LÔBO PAULO'!F26</f>
        <v/>
      </c>
      <c r="B1330" s="217">
        <f>'CEI CÉLIA LÔBO PAULO'!C26</f>
        <v/>
      </c>
    </row>
    <row r="1331" ht="15" customHeight="1" s="107">
      <c r="A1331" s="216">
        <f>'CEI CÉLIA LÔBO PAULO'!F27</f>
        <v/>
      </c>
      <c r="B1331" s="217">
        <f>'CEI CÉLIA LÔBO PAULO'!C27</f>
        <v/>
      </c>
    </row>
    <row r="1332" ht="15" customHeight="1" s="107">
      <c r="A1332" s="216">
        <f>'CEI PROFª DORA KILLER'!F9</f>
        <v/>
      </c>
      <c r="B1332" s="217">
        <f>'CEI PROFª DORA KILLER'!C9</f>
        <v/>
      </c>
    </row>
    <row r="1333" ht="15" customHeight="1" s="107">
      <c r="A1333" s="216">
        <f>'CEI PROFª DORA KILLER'!F10</f>
        <v/>
      </c>
      <c r="B1333" s="217">
        <f>'CEI PROFª DORA KILLER'!C10</f>
        <v/>
      </c>
    </row>
    <row r="1334" ht="15" customHeight="1" s="107">
      <c r="A1334" s="216">
        <f>'CEI PROFª DORA KILLER'!F11</f>
        <v/>
      </c>
      <c r="B1334" s="217">
        <f>'CEI PROFª DORA KILLER'!C11</f>
        <v/>
      </c>
    </row>
    <row r="1335" ht="15" customHeight="1" s="107">
      <c r="A1335" s="216">
        <f>'CEI PROFª DORA KILLER'!F12</f>
        <v/>
      </c>
      <c r="B1335" s="217">
        <f>'CEI PROFª DORA KILLER'!C12</f>
        <v/>
      </c>
    </row>
    <row r="1336" ht="15" customHeight="1" s="107">
      <c r="A1336" s="216">
        <f>'CEI PROFª DORA KILLER'!F13</f>
        <v/>
      </c>
      <c r="B1336" s="217">
        <f>'CEI PROFª DORA KILLER'!C13</f>
        <v/>
      </c>
    </row>
    <row r="1337" ht="15" customHeight="1" s="107">
      <c r="A1337" s="216">
        <f>'CEI PROFª DORA KILLER'!F14</f>
        <v/>
      </c>
      <c r="B1337" s="217">
        <f>'CEI PROFª DORA KILLER'!C14</f>
        <v/>
      </c>
    </row>
    <row r="1338" ht="15" customHeight="1" s="107">
      <c r="A1338" s="216">
        <f>'CEI PROFª DORA KILLER'!F15</f>
        <v/>
      </c>
      <c r="B1338" s="217">
        <f>'CEI PROFª DORA KILLER'!C15</f>
        <v/>
      </c>
    </row>
    <row r="1339" ht="15" customHeight="1" s="107">
      <c r="A1339" s="216">
        <f>'CEI PROFª DORA KILLER'!F16</f>
        <v/>
      </c>
      <c r="B1339" s="217">
        <f>'CEI PROFª DORA KILLER'!C16</f>
        <v/>
      </c>
    </row>
    <row r="1340" ht="15" customHeight="1" s="107">
      <c r="A1340" s="216">
        <f>'CEI PROFª DORA KILLER'!F17</f>
        <v/>
      </c>
      <c r="B1340" s="217">
        <f>'CEI PROFª DORA KILLER'!C17</f>
        <v/>
      </c>
    </row>
    <row r="1341" ht="15" customHeight="1" s="107">
      <c r="A1341" s="216">
        <f>'CEI PROFª DORA KILLER'!F18</f>
        <v/>
      </c>
      <c r="B1341" s="217">
        <f>'CEI PROFª DORA KILLER'!C18</f>
        <v/>
      </c>
    </row>
    <row r="1342" ht="15" customHeight="1" s="107">
      <c r="A1342" s="216">
        <f>'CEI PROFª DORA KILLER'!F19</f>
        <v/>
      </c>
      <c r="B1342" s="217">
        <f>'CEI PROFª DORA KILLER'!C19</f>
        <v/>
      </c>
    </row>
    <row r="1343" ht="15" customHeight="1" s="107">
      <c r="A1343" s="216">
        <f>'CEI PROFª DORA KILLER'!F20</f>
        <v/>
      </c>
      <c r="B1343" s="217">
        <f>'CEI PROFª DORA KILLER'!C20</f>
        <v/>
      </c>
    </row>
    <row r="1344" ht="15" customHeight="1" s="107">
      <c r="A1344" s="216">
        <f>'CEI PROFª DORA KILLER'!F21</f>
        <v/>
      </c>
      <c r="B1344" s="217">
        <f>'CEI PROFª DORA KILLER'!C21</f>
        <v/>
      </c>
    </row>
    <row r="1345" ht="15" customHeight="1" s="107">
      <c r="A1345" s="216">
        <f>'CEI PROFª DORA KILLER'!F22</f>
        <v/>
      </c>
      <c r="B1345" s="217">
        <f>'CEI PROFª DORA KILLER'!C22</f>
        <v/>
      </c>
    </row>
    <row r="1346" ht="15" customHeight="1" s="107">
      <c r="A1346" s="216">
        <f>'CEI PROFª DORA KILLER'!F23</f>
        <v/>
      </c>
      <c r="B1346" s="217">
        <f>'CEI PROFª DORA KILLER'!C23</f>
        <v/>
      </c>
    </row>
    <row r="1347" ht="15" customHeight="1" s="107">
      <c r="A1347" s="216">
        <f>'CEI PROFª DORA KILLER'!F24</f>
        <v/>
      </c>
      <c r="B1347" s="217">
        <f>'CEI PROFª DORA KILLER'!C24</f>
        <v/>
      </c>
    </row>
    <row r="1348" ht="15" customHeight="1" s="107">
      <c r="A1348" s="216">
        <f>'CEI PROFª DORA KILLER'!F25</f>
        <v/>
      </c>
      <c r="B1348" s="217">
        <f>'CEI PROFª DORA KILLER'!C25</f>
        <v/>
      </c>
    </row>
    <row r="1349" ht="15" customHeight="1" s="107">
      <c r="A1349" s="216">
        <f>'CEI PROFª DORA KILLER'!F26</f>
        <v/>
      </c>
      <c r="B1349" s="217">
        <f>'CEI PROFª DORA KILLER'!C26</f>
        <v/>
      </c>
    </row>
    <row r="1350" ht="15" customHeight="1" s="107">
      <c r="A1350" s="216">
        <f>'CEI PROFª DORA KILLER'!F27</f>
        <v/>
      </c>
      <c r="B1350" s="217">
        <f>'CEI PROFª DORA KILLER'!C27</f>
        <v/>
      </c>
    </row>
    <row r="1351" ht="15" customHeight="1" s="107">
      <c r="A1351" s="216">
        <f>'CEI ALTO INDEPENDÊNCIA'!F9</f>
        <v/>
      </c>
      <c r="B1351" s="217">
        <f>'CEI ALTO INDEPENDÊNCIA'!C9</f>
        <v/>
      </c>
    </row>
    <row r="1352" ht="15" customHeight="1" s="107">
      <c r="A1352" s="216">
        <f>'CEI ALTO INDEPENDÊNCIA'!F10</f>
        <v/>
      </c>
      <c r="B1352" s="217">
        <f>'CEI ALTO INDEPENDÊNCIA'!C10</f>
        <v/>
      </c>
    </row>
    <row r="1353" ht="15" customHeight="1" s="107">
      <c r="A1353" s="216">
        <f>'CEI ALTO INDEPENDÊNCIA'!F11</f>
        <v/>
      </c>
      <c r="B1353" s="217">
        <f>'CEI ALTO INDEPENDÊNCIA'!C11</f>
        <v/>
      </c>
    </row>
    <row r="1354" ht="15" customHeight="1" s="107">
      <c r="A1354" s="216">
        <f>'CEI ALTO INDEPENDÊNCIA'!F12</f>
        <v/>
      </c>
      <c r="B1354" s="217">
        <f>'CEI ALTO INDEPENDÊNCIA'!C12</f>
        <v/>
      </c>
    </row>
    <row r="1355" ht="15" customHeight="1" s="107">
      <c r="A1355" s="216">
        <f>'CEI ALTO INDEPENDÊNCIA'!F13</f>
        <v/>
      </c>
      <c r="B1355" s="217">
        <f>'CEI ALTO INDEPENDÊNCIA'!C13</f>
        <v/>
      </c>
    </row>
    <row r="1356" ht="15" customHeight="1" s="107">
      <c r="A1356" s="216">
        <f>'CEI ALTO INDEPENDÊNCIA'!F14</f>
        <v/>
      </c>
      <c r="B1356" s="217">
        <f>'CEI ALTO INDEPENDÊNCIA'!C14</f>
        <v/>
      </c>
    </row>
    <row r="1357" ht="15" customHeight="1" s="107">
      <c r="A1357" s="216">
        <f>'CEI ALTO INDEPENDÊNCIA'!F15</f>
        <v/>
      </c>
      <c r="B1357" s="217">
        <f>'CEI ALTO INDEPENDÊNCIA'!C15</f>
        <v/>
      </c>
    </row>
    <row r="1358" ht="15" customHeight="1" s="107">
      <c r="A1358" s="216">
        <f>'CEI ALTO INDEPENDÊNCIA'!F16</f>
        <v/>
      </c>
      <c r="B1358" s="217">
        <f>'CEI ALTO INDEPENDÊNCIA'!C16</f>
        <v/>
      </c>
    </row>
    <row r="1359" ht="15" customHeight="1" s="107">
      <c r="A1359" s="216">
        <f>'CEI ALTO INDEPENDÊNCIA'!F17</f>
        <v/>
      </c>
      <c r="B1359" s="217">
        <f>'CEI ALTO INDEPENDÊNCIA'!C17</f>
        <v/>
      </c>
    </row>
    <row r="1360" ht="15" customHeight="1" s="107">
      <c r="A1360" s="216">
        <f>'CEI ALTO INDEPENDÊNCIA'!F18</f>
        <v/>
      </c>
      <c r="B1360" s="217">
        <f>'CEI ALTO INDEPENDÊNCIA'!C18</f>
        <v/>
      </c>
    </row>
    <row r="1361" ht="15" customHeight="1" s="107">
      <c r="A1361" s="216">
        <f>'CEI ALTO INDEPENDÊNCIA'!F19</f>
        <v/>
      </c>
      <c r="B1361" s="217">
        <f>'CEI ALTO INDEPENDÊNCIA'!C19</f>
        <v/>
      </c>
    </row>
    <row r="1362" ht="15" customHeight="1" s="107">
      <c r="A1362" s="216">
        <f>'CEI ALTO INDEPENDÊNCIA'!F20</f>
        <v/>
      </c>
      <c r="B1362" s="217">
        <f>'CEI ALTO INDEPENDÊNCIA'!C20</f>
        <v/>
      </c>
    </row>
    <row r="1363" ht="15" customHeight="1" s="107">
      <c r="A1363" s="216">
        <f>'CEI ALTO INDEPENDÊNCIA'!F21</f>
        <v/>
      </c>
      <c r="B1363" s="217">
        <f>'CEI ALTO INDEPENDÊNCIA'!C21</f>
        <v/>
      </c>
    </row>
    <row r="1364" ht="15" customHeight="1" s="107">
      <c r="A1364" s="216">
        <f>'CEI ALTO INDEPENDÊNCIA'!F22</f>
        <v/>
      </c>
      <c r="B1364" s="217">
        <f>'CEI ALTO INDEPENDÊNCIA'!C22</f>
        <v/>
      </c>
    </row>
    <row r="1365" ht="15" customHeight="1" s="107">
      <c r="A1365" s="216">
        <f>'CEI ALTO INDEPENDÊNCIA'!F23</f>
        <v/>
      </c>
      <c r="B1365" s="217">
        <f>'CEI ALTO INDEPENDÊNCIA'!C23</f>
        <v/>
      </c>
    </row>
    <row r="1366" ht="15" customHeight="1" s="107">
      <c r="A1366" s="216">
        <f>'CEI ALTO INDEPENDÊNCIA'!F24</f>
        <v/>
      </c>
      <c r="B1366" s="217">
        <f>'CEI ALTO INDEPENDÊNCIA'!C24</f>
        <v/>
      </c>
    </row>
    <row r="1367" ht="15" customHeight="1" s="107">
      <c r="A1367" s="216">
        <f>'CEI ALTO INDEPENDÊNCIA'!F25</f>
        <v/>
      </c>
      <c r="B1367" s="217">
        <f>'CEI ALTO INDEPENDÊNCIA'!C25</f>
        <v/>
      </c>
    </row>
    <row r="1368" ht="15" customHeight="1" s="107">
      <c r="A1368" s="216">
        <f>'CEI ALTO INDEPENDÊNCIA'!F26</f>
        <v/>
      </c>
      <c r="B1368" s="217">
        <f>'CEI ALTO INDEPENDÊNCIA'!C26</f>
        <v/>
      </c>
    </row>
    <row r="1369" ht="15" customHeight="1" s="107">
      <c r="A1369" s="216">
        <f>'CEI ALTO INDEPENDÊNCIA'!F27</f>
        <v/>
      </c>
      <c r="B1369" s="217">
        <f>'CEI ALTO INDEPENDÊNCIA'!C27</f>
        <v/>
      </c>
    </row>
    <row r="1370" ht="15" customHeight="1" s="107">
      <c r="A1370" s="216">
        <f>'ESCOLA MUNICIPAL ALTO INDEPENDÊ'!F9</f>
        <v/>
      </c>
      <c r="B1370" s="217">
        <f>'ESCOLA MUNICIPAL ALTO INDEPENDÊ'!C9</f>
        <v/>
      </c>
    </row>
    <row r="1371" ht="15" customHeight="1" s="107">
      <c r="A1371" s="216">
        <f>'ESCOLA MUNICIPAL ALTO INDEPENDÊ'!F10</f>
        <v/>
      </c>
      <c r="B1371" s="217">
        <f>'ESCOLA MUNICIPAL ALTO INDEPENDÊ'!C10</f>
        <v/>
      </c>
    </row>
    <row r="1372" ht="15" customHeight="1" s="107">
      <c r="A1372" s="216">
        <f>'ESCOLA MUNICIPAL ALTO INDEPENDÊ'!F11</f>
        <v/>
      </c>
      <c r="B1372" s="217">
        <f>'ESCOLA MUNICIPAL ALTO INDEPENDÊ'!C11</f>
        <v/>
      </c>
    </row>
    <row r="1373" ht="15" customHeight="1" s="107">
      <c r="A1373" s="216">
        <f>'ESCOLA MUNICIPAL ALTO INDEPENDÊ'!F12</f>
        <v/>
      </c>
      <c r="B1373" s="217">
        <f>'ESCOLA MUNICIPAL ALTO INDEPENDÊ'!C12</f>
        <v/>
      </c>
    </row>
    <row r="1374" ht="15" customHeight="1" s="107">
      <c r="A1374" s="216">
        <f>'ESCOLA MUNICIPAL ALTO INDEPENDÊ'!F13</f>
        <v/>
      </c>
      <c r="B1374" s="217">
        <f>'ESCOLA MUNICIPAL ALTO INDEPENDÊ'!C13</f>
        <v/>
      </c>
    </row>
    <row r="1375" ht="15" customHeight="1" s="107">
      <c r="A1375" s="216">
        <f>'ESCOLA MUNICIPAL ALTO INDEPENDÊ'!F14</f>
        <v/>
      </c>
      <c r="B1375" s="217">
        <f>'ESCOLA MUNICIPAL ALTO INDEPENDÊ'!C14</f>
        <v/>
      </c>
    </row>
    <row r="1376" ht="15" customHeight="1" s="107">
      <c r="A1376" s="216">
        <f>'ESCOLA MUNICIPAL ALTO INDEPENDÊ'!F15</f>
        <v/>
      </c>
      <c r="B1376" s="217">
        <f>'ESCOLA MUNICIPAL ALTO INDEPENDÊ'!C15</f>
        <v/>
      </c>
    </row>
    <row r="1377" ht="15" customHeight="1" s="107">
      <c r="A1377" s="216">
        <f>'ESCOLA MUNICIPAL ALTO INDEPENDÊ'!F16</f>
        <v/>
      </c>
      <c r="B1377" s="217">
        <f>'ESCOLA MUNICIPAL ALTO INDEPENDÊ'!C16</f>
        <v/>
      </c>
    </row>
    <row r="1378" ht="15" customHeight="1" s="107">
      <c r="A1378" s="216">
        <f>'ESCOLA MUNICIPAL ALTO INDEPENDÊ'!F17</f>
        <v/>
      </c>
      <c r="B1378" s="217">
        <f>'ESCOLA MUNICIPAL ALTO INDEPENDÊ'!C17</f>
        <v/>
      </c>
    </row>
    <row r="1379" ht="15" customHeight="1" s="107">
      <c r="A1379" s="216">
        <f>'ESCOLA MUNICIPAL ALTO INDEPENDÊ'!F18</f>
        <v/>
      </c>
      <c r="B1379" s="217">
        <f>'ESCOLA MUNICIPAL ALTO INDEPENDÊ'!C18</f>
        <v/>
      </c>
    </row>
    <row r="1380" ht="15" customHeight="1" s="107">
      <c r="A1380" s="216">
        <f>'ESCOLA MUNICIPAL ALTO INDEPENDÊ'!F19</f>
        <v/>
      </c>
      <c r="B1380" s="217">
        <f>'ESCOLA MUNICIPAL ALTO INDEPENDÊ'!C19</f>
        <v/>
      </c>
    </row>
    <row r="1381" ht="15" customHeight="1" s="107">
      <c r="A1381" s="216">
        <f>'ESCOLA MUNICIPAL ALTO INDEPENDÊ'!F20</f>
        <v/>
      </c>
      <c r="B1381" s="217">
        <f>'ESCOLA MUNICIPAL ALTO INDEPENDÊ'!C20</f>
        <v/>
      </c>
    </row>
    <row r="1382" ht="15" customHeight="1" s="107">
      <c r="A1382" s="216">
        <f>'ESCOLA MUNICIPAL ALTO INDEPENDÊ'!F21</f>
        <v/>
      </c>
      <c r="B1382" s="217">
        <f>'ESCOLA MUNICIPAL ALTO INDEPENDÊ'!C21</f>
        <v/>
      </c>
    </row>
    <row r="1383" ht="15" customHeight="1" s="107">
      <c r="A1383" s="216">
        <f>'ESCOLA MUNICIPAL ALTO INDEPENDÊ'!F22</f>
        <v/>
      </c>
      <c r="B1383" s="217">
        <f>'ESCOLA MUNICIPAL ALTO INDEPENDÊ'!C22</f>
        <v/>
      </c>
    </row>
    <row r="1384" ht="15" customHeight="1" s="107">
      <c r="A1384" s="216">
        <f>'ESCOLA MUNICIPAL ALTO INDEPENDÊ'!F23</f>
        <v/>
      </c>
      <c r="B1384" s="217">
        <f>'ESCOLA MUNICIPAL ALTO INDEPENDÊ'!C23</f>
        <v/>
      </c>
    </row>
    <row r="1385" ht="15" customHeight="1" s="107">
      <c r="A1385" s="216">
        <f>'ESCOLA MUNICIPAL ALTO INDEPENDÊ'!F24</f>
        <v/>
      </c>
      <c r="B1385" s="217">
        <f>'ESCOLA MUNICIPAL ALTO INDEPENDÊ'!C24</f>
        <v/>
      </c>
    </row>
    <row r="1386" ht="15" customHeight="1" s="107">
      <c r="A1386" s="216">
        <f>'ESCOLA MUNICIPAL ALTO INDEPENDÊ'!F25</f>
        <v/>
      </c>
      <c r="B1386" s="217">
        <f>'ESCOLA MUNICIPAL ALTO INDEPENDÊ'!C25</f>
        <v/>
      </c>
    </row>
    <row r="1387" ht="15" customHeight="1" s="107">
      <c r="A1387" s="216">
        <f>'ESCOLA MUNICIPAL ALTO INDEPENDÊ'!F26</f>
        <v/>
      </c>
      <c r="B1387" s="217">
        <f>'ESCOLA MUNICIPAL ALTO INDEPENDÊ'!C26</f>
        <v/>
      </c>
    </row>
    <row r="1388" ht="15" customHeight="1" s="107">
      <c r="A1388" s="216">
        <f>'ESCOLA MUNICIPAL ALTO INDEPENDÊ'!F27</f>
        <v/>
      </c>
      <c r="B1388" s="217">
        <f>'ESCOLA MUNICIPAL ALTO INDEPENDÊ'!C27</f>
        <v/>
      </c>
    </row>
    <row r="1389" ht="15" customHeight="1" s="107">
      <c r="A1389" s="216">
        <f>'E M PAPA JOÃO PAULO II'!F9</f>
        <v/>
      </c>
      <c r="B1389" s="217">
        <f>'E M PAPA JOÃO PAULO II'!C9</f>
        <v/>
      </c>
    </row>
    <row r="1390" ht="15" customHeight="1" s="107">
      <c r="A1390" s="216">
        <f>'E M PAPA JOÃO PAULO II'!F10</f>
        <v/>
      </c>
      <c r="B1390" s="217">
        <f>'E M PAPA JOÃO PAULO II'!C10</f>
        <v/>
      </c>
    </row>
    <row r="1391" ht="15" customHeight="1" s="107">
      <c r="A1391" s="216">
        <f>'E M PAPA JOÃO PAULO II'!F11</f>
        <v/>
      </c>
      <c r="B1391" s="217">
        <f>'E M PAPA JOÃO PAULO II'!C11</f>
        <v/>
      </c>
    </row>
    <row r="1392" ht="15" customHeight="1" s="107">
      <c r="A1392" s="216">
        <f>'E M PAPA JOÃO PAULO II'!F12</f>
        <v/>
      </c>
      <c r="B1392" s="217">
        <f>'E M PAPA JOÃO PAULO II'!C12</f>
        <v/>
      </c>
    </row>
    <row r="1393" ht="15" customHeight="1" s="107">
      <c r="A1393" s="216">
        <f>'E M PAPA JOÃO PAULO II'!F13</f>
        <v/>
      </c>
      <c r="B1393" s="217">
        <f>'E M PAPA JOÃO PAULO II'!C13</f>
        <v/>
      </c>
    </row>
    <row r="1394" ht="15" customHeight="1" s="107">
      <c r="A1394" s="216">
        <f>'E M PAPA JOÃO PAULO II'!F14</f>
        <v/>
      </c>
      <c r="B1394" s="217">
        <f>'E M PAPA JOÃO PAULO II'!C14</f>
        <v/>
      </c>
    </row>
    <row r="1395" ht="15" customHeight="1" s="107">
      <c r="A1395" s="216">
        <f>'E M PAPA JOÃO PAULO II'!F15</f>
        <v/>
      </c>
      <c r="B1395" s="217">
        <f>'E M PAPA JOÃO PAULO II'!C15</f>
        <v/>
      </c>
    </row>
    <row r="1396" ht="15" customHeight="1" s="107">
      <c r="A1396" s="216">
        <f>'E M PAPA JOÃO PAULO II'!F16</f>
        <v/>
      </c>
      <c r="B1396" s="217">
        <f>'E M PAPA JOÃO PAULO II'!C16</f>
        <v/>
      </c>
    </row>
    <row r="1397" ht="15" customHeight="1" s="107">
      <c r="A1397" s="216">
        <f>'E M PAPA JOÃO PAULO II'!F17</f>
        <v/>
      </c>
      <c r="B1397" s="217">
        <f>'E M PAPA JOÃO PAULO II'!C17</f>
        <v/>
      </c>
    </row>
    <row r="1398" ht="15" customHeight="1" s="107">
      <c r="A1398" s="216">
        <f>'E M PAPA JOÃO PAULO II'!F18</f>
        <v/>
      </c>
      <c r="B1398" s="217">
        <f>'E M PAPA JOÃO PAULO II'!C18</f>
        <v/>
      </c>
    </row>
    <row r="1399" ht="15" customHeight="1" s="107">
      <c r="A1399" s="216">
        <f>'E M PAPA JOÃO PAULO II'!F19</f>
        <v/>
      </c>
      <c r="B1399" s="217">
        <f>'E M PAPA JOÃO PAULO II'!C19</f>
        <v/>
      </c>
    </row>
    <row r="1400" ht="15" customHeight="1" s="107">
      <c r="A1400" s="216">
        <f>'E M PAPA JOÃO PAULO II'!F20</f>
        <v/>
      </c>
      <c r="B1400" s="217">
        <f>'E M PAPA JOÃO PAULO II'!C20</f>
        <v/>
      </c>
    </row>
    <row r="1401" ht="15" customHeight="1" s="107">
      <c r="A1401" s="216">
        <f>'E M PAPA JOÃO PAULO II'!F21</f>
        <v/>
      </c>
      <c r="B1401" s="217">
        <f>'E M PAPA JOÃO PAULO II'!C21</f>
        <v/>
      </c>
    </row>
    <row r="1402" ht="15" customHeight="1" s="107">
      <c r="A1402" s="216">
        <f>'E M PAPA JOÃO PAULO II'!F22</f>
        <v/>
      </c>
      <c r="B1402" s="217">
        <f>'E M PAPA JOÃO PAULO II'!C22</f>
        <v/>
      </c>
    </row>
    <row r="1403" ht="15" customHeight="1" s="107">
      <c r="A1403" s="216">
        <f>'E M PAPA JOÃO PAULO II'!F23</f>
        <v/>
      </c>
      <c r="B1403" s="217">
        <f>'E M PAPA JOÃO PAULO II'!C23</f>
        <v/>
      </c>
    </row>
    <row r="1404" ht="15" customHeight="1" s="107">
      <c r="A1404" s="216">
        <f>'E M PAPA JOÃO PAULO II'!F24</f>
        <v/>
      </c>
      <c r="B1404" s="217">
        <f>'E M PAPA JOÃO PAULO II'!C24</f>
        <v/>
      </c>
    </row>
    <row r="1405" ht="15" customHeight="1" s="107">
      <c r="A1405" s="216">
        <f>'E M PAPA JOÃO PAULO II'!F25</f>
        <v/>
      </c>
      <c r="B1405" s="217">
        <f>'E M PAPA JOÃO PAULO II'!C25</f>
        <v/>
      </c>
    </row>
    <row r="1406" ht="15" customHeight="1" s="107">
      <c r="A1406" s="216">
        <f>'E M PAPA JOÃO PAULO II'!F26</f>
        <v/>
      </c>
      <c r="B1406" s="217">
        <f>'E M PAPA JOÃO PAULO II'!C26</f>
        <v/>
      </c>
    </row>
    <row r="1407" ht="15" customHeight="1" s="107">
      <c r="A1407" s="216">
        <f>'E M PAPA JOÃO PAULO II'!F27</f>
        <v/>
      </c>
      <c r="B1407" s="217">
        <f>'E M PAPA JOÃO PAULO II'!C27</f>
        <v/>
      </c>
    </row>
    <row r="1408" ht="15" customHeight="1" s="107">
      <c r="A1408" s="216">
        <f>'CEI ANDRÉ REBOUÇAS'!F9</f>
        <v/>
      </c>
      <c r="B1408" s="217">
        <f>'CEI ANDRÉ REBOUÇAS'!C9</f>
        <v/>
      </c>
    </row>
    <row r="1409" ht="15" customHeight="1" s="107">
      <c r="A1409" s="216">
        <f>'CEI ANDRÉ REBOUÇAS'!F10</f>
        <v/>
      </c>
      <c r="B1409" s="217">
        <f>'CEI ANDRÉ REBOUÇAS'!C10</f>
        <v/>
      </c>
    </row>
    <row r="1410" ht="15" customHeight="1" s="107">
      <c r="A1410" s="216">
        <f>'CEI ANDRÉ REBOUÇAS'!F11</f>
        <v/>
      </c>
      <c r="B1410" s="217">
        <f>'CEI ANDRÉ REBOUÇAS'!C11</f>
        <v/>
      </c>
    </row>
    <row r="1411" ht="15" customHeight="1" s="107">
      <c r="A1411" s="216">
        <f>'CEI ANDRÉ REBOUÇAS'!F12</f>
        <v/>
      </c>
      <c r="B1411" s="217">
        <f>'CEI ANDRÉ REBOUÇAS'!C12</f>
        <v/>
      </c>
    </row>
    <row r="1412" ht="15" customHeight="1" s="107">
      <c r="A1412" s="216">
        <f>'CEI ANDRÉ REBOUÇAS'!F13</f>
        <v/>
      </c>
      <c r="B1412" s="217">
        <f>'CEI ANDRÉ REBOUÇAS'!C13</f>
        <v/>
      </c>
    </row>
    <row r="1413" ht="15" customHeight="1" s="107">
      <c r="A1413" s="216">
        <f>'CEI ANDRÉ REBOUÇAS'!F14</f>
        <v/>
      </c>
      <c r="B1413" s="217">
        <f>'CEI ANDRÉ REBOUÇAS'!C14</f>
        <v/>
      </c>
    </row>
    <row r="1414" ht="15" customHeight="1" s="107">
      <c r="A1414" s="216">
        <f>'CEI ANDRÉ REBOUÇAS'!F15</f>
        <v/>
      </c>
      <c r="B1414" s="217">
        <f>'CEI ANDRÉ REBOUÇAS'!C15</f>
        <v/>
      </c>
    </row>
    <row r="1415" ht="15" customHeight="1" s="107">
      <c r="A1415" s="216">
        <f>'CEI ANDRÉ REBOUÇAS'!F16</f>
        <v/>
      </c>
      <c r="B1415" s="217">
        <f>'CEI ANDRÉ REBOUÇAS'!C16</f>
        <v/>
      </c>
    </row>
    <row r="1416" ht="15" customHeight="1" s="107">
      <c r="A1416" s="216">
        <f>'CEI ANDRÉ REBOUÇAS'!F17</f>
        <v/>
      </c>
      <c r="B1416" s="217">
        <f>'CEI ANDRÉ REBOUÇAS'!C17</f>
        <v/>
      </c>
    </row>
    <row r="1417" ht="15" customHeight="1" s="107">
      <c r="A1417" s="216">
        <f>'CEI ANDRÉ REBOUÇAS'!F18</f>
        <v/>
      </c>
      <c r="B1417" s="217">
        <f>'CEI ANDRÉ REBOUÇAS'!C18</f>
        <v/>
      </c>
    </row>
    <row r="1418" ht="15" customHeight="1" s="107">
      <c r="A1418" s="216">
        <f>'CEI ANDRÉ REBOUÇAS'!F19</f>
        <v/>
      </c>
      <c r="B1418" s="217">
        <f>'CEI ANDRÉ REBOUÇAS'!C19</f>
        <v/>
      </c>
    </row>
    <row r="1419" ht="15" customHeight="1" s="107">
      <c r="A1419" s="216">
        <f>'CEI ANDRÉ REBOUÇAS'!F20</f>
        <v/>
      </c>
      <c r="B1419" s="217">
        <f>'CEI ANDRÉ REBOUÇAS'!C20</f>
        <v/>
      </c>
    </row>
    <row r="1420" ht="15" customHeight="1" s="107">
      <c r="A1420" s="216">
        <f>'CEI ANDRÉ REBOUÇAS'!F21</f>
        <v/>
      </c>
      <c r="B1420" s="217">
        <f>'CEI ANDRÉ REBOUÇAS'!C21</f>
        <v/>
      </c>
    </row>
    <row r="1421" ht="15" customHeight="1" s="107">
      <c r="A1421" s="216">
        <f>'CEI ANDRÉ REBOUÇAS'!F22</f>
        <v/>
      </c>
      <c r="B1421" s="217">
        <f>'CEI ANDRÉ REBOUÇAS'!C22</f>
        <v/>
      </c>
    </row>
    <row r="1422" ht="15" customHeight="1" s="107">
      <c r="A1422" s="216">
        <f>'CEI ANDRÉ REBOUÇAS'!F23</f>
        <v/>
      </c>
      <c r="B1422" s="217">
        <f>'CEI ANDRÉ REBOUÇAS'!C23</f>
        <v/>
      </c>
    </row>
    <row r="1423" ht="15" customHeight="1" s="107">
      <c r="A1423" s="216">
        <f>'CEI ANDRÉ REBOUÇAS'!F24</f>
        <v/>
      </c>
      <c r="B1423" s="217">
        <f>'CEI ANDRÉ REBOUÇAS'!C24</f>
        <v/>
      </c>
    </row>
    <row r="1424" ht="15" customHeight="1" s="107">
      <c r="A1424" s="216">
        <f>'CEI ANDRÉ REBOUÇAS'!F25</f>
        <v/>
      </c>
      <c r="B1424" s="217">
        <f>'CEI ANDRÉ REBOUÇAS'!C25</f>
        <v/>
      </c>
    </row>
    <row r="1425" ht="15" customHeight="1" s="107">
      <c r="A1425" s="216">
        <f>'CEI ANDRÉ REBOUÇAS'!F26</f>
        <v/>
      </c>
      <c r="B1425" s="217">
        <f>'CEI ANDRÉ REBOUÇAS'!C26</f>
        <v/>
      </c>
    </row>
    <row r="1426" ht="15" customHeight="1" s="107">
      <c r="A1426" s="216">
        <f>'CEI ANDRÉ REBOUÇAS'!F27</f>
        <v/>
      </c>
      <c r="B1426" s="217">
        <f>'CEI ANDRÉ REBOUÇAS'!C27</f>
        <v/>
      </c>
    </row>
    <row r="1427" ht="15" customHeight="1" s="107">
      <c r="A1427" s="216">
        <f>'CEI PROFª HERMÍNIA MATHEUS'!F9</f>
        <v/>
      </c>
      <c r="B1427" s="217">
        <f>'CEI PROFª HERMÍNIA MATHEUS'!C9</f>
        <v/>
      </c>
    </row>
    <row r="1428" ht="15" customHeight="1" s="107">
      <c r="A1428" s="216">
        <f>'CEI PROFª HERMÍNIA MATHEUS'!F10</f>
        <v/>
      </c>
      <c r="B1428" s="217">
        <f>'CEI PROFª HERMÍNIA MATHEUS'!C10</f>
        <v/>
      </c>
    </row>
    <row r="1429" ht="15" customHeight="1" s="107">
      <c r="A1429" s="216">
        <f>'CEI PROFª HERMÍNIA MATHEUS'!F11</f>
        <v/>
      </c>
      <c r="B1429" s="217">
        <f>'CEI PROFª HERMÍNIA MATHEUS'!C11</f>
        <v/>
      </c>
    </row>
    <row r="1430" ht="15" customHeight="1" s="107">
      <c r="A1430" s="216">
        <f>'CEI PROFª HERMÍNIA MATHEUS'!F12</f>
        <v/>
      </c>
      <c r="B1430" s="217">
        <f>'CEI PROFª HERMÍNIA MATHEUS'!C12</f>
        <v/>
      </c>
    </row>
    <row r="1431" ht="15" customHeight="1" s="107">
      <c r="A1431" s="216">
        <f>'CEI PROFª HERMÍNIA MATHEUS'!F13</f>
        <v/>
      </c>
      <c r="B1431" s="217">
        <f>'CEI PROFª HERMÍNIA MATHEUS'!C13</f>
        <v/>
      </c>
    </row>
    <row r="1432" ht="15" customHeight="1" s="107">
      <c r="A1432" s="216">
        <f>'CEI PROFª HERMÍNIA MATHEUS'!F14</f>
        <v/>
      </c>
      <c r="B1432" s="217">
        <f>'CEI PROFª HERMÍNIA MATHEUS'!C14</f>
        <v/>
      </c>
    </row>
    <row r="1433" ht="15" customHeight="1" s="107">
      <c r="A1433" s="216">
        <f>'CEI PROFª HERMÍNIA MATHEUS'!F15</f>
        <v/>
      </c>
      <c r="B1433" s="217">
        <f>'CEI PROFª HERMÍNIA MATHEUS'!C15</f>
        <v/>
      </c>
    </row>
    <row r="1434" ht="15" customHeight="1" s="107">
      <c r="A1434" s="216">
        <f>'CEI PROFª HERMÍNIA MATHEUS'!F16</f>
        <v/>
      </c>
      <c r="B1434" s="217">
        <f>'CEI PROFª HERMÍNIA MATHEUS'!C16</f>
        <v/>
      </c>
    </row>
    <row r="1435" ht="15" customHeight="1" s="107">
      <c r="A1435" s="216">
        <f>'CEI PROFª HERMÍNIA MATHEUS'!F17</f>
        <v/>
      </c>
      <c r="B1435" s="217">
        <f>'CEI PROFª HERMÍNIA MATHEUS'!C17</f>
        <v/>
      </c>
    </row>
    <row r="1436" ht="15" customHeight="1" s="107">
      <c r="A1436" s="216">
        <f>'CEI PROFª HERMÍNIA MATHEUS'!F18</f>
        <v/>
      </c>
      <c r="B1436" s="217">
        <f>'CEI PROFª HERMÍNIA MATHEUS'!C18</f>
        <v/>
      </c>
    </row>
    <row r="1437" ht="15" customHeight="1" s="107">
      <c r="A1437" s="216">
        <f>'CEI PROFª HERMÍNIA MATHEUS'!F19</f>
        <v/>
      </c>
      <c r="B1437" s="217">
        <f>'CEI PROFª HERMÍNIA MATHEUS'!C19</f>
        <v/>
      </c>
    </row>
    <row r="1438" ht="15" customHeight="1" s="107">
      <c r="A1438" s="216">
        <f>'CEI PROFª HERMÍNIA MATHEUS'!F20</f>
        <v/>
      </c>
      <c r="B1438" s="217">
        <f>'CEI PROFª HERMÍNIA MATHEUS'!C20</f>
        <v/>
      </c>
    </row>
    <row r="1439" ht="15" customHeight="1" s="107">
      <c r="A1439" s="216">
        <f>'CEI PROFª HERMÍNIA MATHEUS'!F21</f>
        <v/>
      </c>
      <c r="B1439" s="217">
        <f>'CEI PROFª HERMÍNIA MATHEUS'!C21</f>
        <v/>
      </c>
    </row>
    <row r="1440" ht="15" customHeight="1" s="107">
      <c r="A1440" s="216">
        <f>'CEI PROFª HERMÍNIA MATHEUS'!F22</f>
        <v/>
      </c>
      <c r="B1440" s="217">
        <f>'CEI PROFª HERMÍNIA MATHEUS'!C22</f>
        <v/>
      </c>
    </row>
    <row r="1441" ht="15" customHeight="1" s="107">
      <c r="A1441" s="216">
        <f>'CEI PROFª HERMÍNIA MATHEUS'!F23</f>
        <v/>
      </c>
      <c r="B1441" s="217">
        <f>'CEI PROFª HERMÍNIA MATHEUS'!C23</f>
        <v/>
      </c>
    </row>
    <row r="1442" ht="15" customHeight="1" s="107">
      <c r="A1442" s="216">
        <f>'CEI PROFª HERMÍNIA MATHEUS'!F24</f>
        <v/>
      </c>
      <c r="B1442" s="217">
        <f>'CEI PROFª HERMÍNIA MATHEUS'!C24</f>
        <v/>
      </c>
    </row>
    <row r="1443" ht="15" customHeight="1" s="107">
      <c r="A1443" s="216">
        <f>'CEI PROFª HERMÍNIA MATHEUS'!F25</f>
        <v/>
      </c>
      <c r="B1443" s="217">
        <f>'CEI PROFª HERMÍNIA MATHEUS'!C25</f>
        <v/>
      </c>
    </row>
    <row r="1444" ht="15" customHeight="1" s="107">
      <c r="A1444" s="216">
        <f>'CEI PROFª HERMÍNIA MATHEUS'!F26</f>
        <v/>
      </c>
      <c r="B1444" s="217">
        <f>'CEI PROFª HERMÍNIA MATHEUS'!C26</f>
        <v/>
      </c>
    </row>
    <row r="1445" ht="15" customHeight="1" s="107">
      <c r="A1445" s="216">
        <f>'CEI PROFª HERMÍNIA MATHEUS'!F27</f>
        <v/>
      </c>
      <c r="B1445" s="217">
        <f>'CEI PROFª HERMÍNIA MATHEUS'!C27</f>
        <v/>
      </c>
    </row>
    <row r="1446" ht="15" customHeight="1" s="107">
      <c r="A1446" s="216">
        <f>'ESCOLA MUNICIPAL MAJOR JÚLIO FR'!F9</f>
        <v/>
      </c>
      <c r="B1446" s="217">
        <f>'ESCOLA MUNICIPAL MAJOR JÚLIO FR'!C9</f>
        <v/>
      </c>
    </row>
    <row r="1447" ht="15" customHeight="1" s="107">
      <c r="A1447" s="216">
        <f>'ESCOLA MUNICIPAL MAJOR JÚLIO FR'!F10</f>
        <v/>
      </c>
      <c r="B1447" s="217">
        <f>'ESCOLA MUNICIPAL MAJOR JÚLIO FR'!C10</f>
        <v/>
      </c>
    </row>
    <row r="1448" ht="15" customHeight="1" s="107">
      <c r="A1448" s="216">
        <f>'ESCOLA MUNICIPAL MAJOR JÚLIO FR'!F11</f>
        <v/>
      </c>
      <c r="B1448" s="217">
        <f>'ESCOLA MUNICIPAL MAJOR JÚLIO FR'!C11</f>
        <v/>
      </c>
    </row>
    <row r="1449" ht="15" customHeight="1" s="107">
      <c r="A1449" s="216">
        <f>'ESCOLA MUNICIPAL MAJOR JÚLIO FR'!F12</f>
        <v/>
      </c>
      <c r="B1449" s="217">
        <f>'ESCOLA MUNICIPAL MAJOR JÚLIO FR'!C12</f>
        <v/>
      </c>
    </row>
    <row r="1450" ht="15" customHeight="1" s="107">
      <c r="A1450" s="216">
        <f>'ESCOLA MUNICIPAL MAJOR JÚLIO FR'!F13</f>
        <v/>
      </c>
      <c r="B1450" s="217">
        <f>'ESCOLA MUNICIPAL MAJOR JÚLIO FR'!C13</f>
        <v/>
      </c>
    </row>
    <row r="1451" ht="15" customHeight="1" s="107">
      <c r="A1451" s="216">
        <f>'ESCOLA MUNICIPAL MAJOR JÚLIO FR'!F14</f>
        <v/>
      </c>
      <c r="B1451" s="217">
        <f>'ESCOLA MUNICIPAL MAJOR JÚLIO FR'!C14</f>
        <v/>
      </c>
    </row>
    <row r="1452" ht="15" customHeight="1" s="107">
      <c r="A1452" s="216">
        <f>'ESCOLA MUNICIPAL MAJOR JÚLIO FR'!F15</f>
        <v/>
      </c>
      <c r="B1452" s="217">
        <f>'ESCOLA MUNICIPAL MAJOR JÚLIO FR'!C15</f>
        <v/>
      </c>
    </row>
    <row r="1453" ht="15" customHeight="1" s="107">
      <c r="A1453" s="216">
        <f>'ESCOLA MUNICIPAL MAJOR JÚLIO FR'!F16</f>
        <v/>
      </c>
      <c r="B1453" s="217">
        <f>'ESCOLA MUNICIPAL MAJOR JÚLIO FR'!C16</f>
        <v/>
      </c>
    </row>
    <row r="1454" ht="15" customHeight="1" s="107">
      <c r="A1454" s="216">
        <f>'ESCOLA MUNICIPAL MAJOR JÚLIO FR'!F17</f>
        <v/>
      </c>
      <c r="B1454" s="217">
        <f>'ESCOLA MUNICIPAL MAJOR JÚLIO FR'!C17</f>
        <v/>
      </c>
    </row>
    <row r="1455" ht="15" customHeight="1" s="107">
      <c r="A1455" s="216">
        <f>'ESCOLA MUNICIPAL MAJOR JÚLIO FR'!F18</f>
        <v/>
      </c>
      <c r="B1455" s="217">
        <f>'ESCOLA MUNICIPAL MAJOR JÚLIO FR'!C18</f>
        <v/>
      </c>
    </row>
    <row r="1456" ht="15" customHeight="1" s="107">
      <c r="A1456" s="216">
        <f>'ESCOLA MUNICIPAL MAJOR JÚLIO FR'!F19</f>
        <v/>
      </c>
      <c r="B1456" s="217">
        <f>'ESCOLA MUNICIPAL MAJOR JÚLIO FR'!C19</f>
        <v/>
      </c>
    </row>
    <row r="1457" ht="15" customHeight="1" s="107">
      <c r="A1457" s="216">
        <f>'ESCOLA MUNICIPAL MAJOR JÚLIO FR'!F20</f>
        <v/>
      </c>
      <c r="B1457" s="217">
        <f>'ESCOLA MUNICIPAL MAJOR JÚLIO FR'!C20</f>
        <v/>
      </c>
    </row>
    <row r="1458" ht="15" customHeight="1" s="107">
      <c r="A1458" s="216">
        <f>'ESCOLA MUNICIPAL MAJOR JÚLIO FR'!F21</f>
        <v/>
      </c>
      <c r="B1458" s="217">
        <f>'ESCOLA MUNICIPAL MAJOR JÚLIO FR'!C21</f>
        <v/>
      </c>
    </row>
    <row r="1459" ht="15" customHeight="1" s="107">
      <c r="A1459" s="216">
        <f>'ESCOLA MUNICIPAL MAJOR JÚLIO FR'!F22</f>
        <v/>
      </c>
      <c r="B1459" s="217">
        <f>'ESCOLA MUNICIPAL MAJOR JÚLIO FR'!C22</f>
        <v/>
      </c>
    </row>
    <row r="1460" ht="15" customHeight="1" s="107">
      <c r="A1460" s="216">
        <f>'ESCOLA MUNICIPAL MAJOR JÚLIO FR'!F23</f>
        <v/>
      </c>
      <c r="B1460" s="217">
        <f>'ESCOLA MUNICIPAL MAJOR JÚLIO FR'!C23</f>
        <v/>
      </c>
    </row>
    <row r="1461" ht="15" customHeight="1" s="107">
      <c r="A1461" s="216">
        <f>'ESCOLA MUNICIPAL MAJOR JÚLIO FR'!F24</f>
        <v/>
      </c>
      <c r="B1461" s="217">
        <f>'ESCOLA MUNICIPAL MAJOR JÚLIO FR'!C24</f>
        <v/>
      </c>
    </row>
    <row r="1462" ht="15" customHeight="1" s="107">
      <c r="A1462" s="216">
        <f>'ESCOLA MUNICIPAL MAJOR JÚLIO FR'!F25</f>
        <v/>
      </c>
      <c r="B1462" s="217">
        <f>'ESCOLA MUNICIPAL MAJOR JÚLIO FR'!C25</f>
        <v/>
      </c>
    </row>
    <row r="1463" ht="15" customHeight="1" s="107">
      <c r="A1463" s="216">
        <f>'ESCOLA MUNICIPAL MAJOR JÚLIO FR'!F26</f>
        <v/>
      </c>
      <c r="B1463" s="217">
        <f>'ESCOLA MUNICIPAL MAJOR JÚLIO FR'!C26</f>
        <v/>
      </c>
    </row>
    <row r="1464" ht="15" customHeight="1" s="107">
      <c r="A1464" s="216">
        <f>'ESCOLA MUNICIPAL MAJOR JÚLIO FR'!F27</f>
        <v/>
      </c>
      <c r="B1464" s="217">
        <f>'ESCOLA MUNICIPAL MAJOR JÚLIO FR'!C27</f>
        <v/>
      </c>
    </row>
    <row r="1465" ht="15" customHeight="1" s="107">
      <c r="A1465" s="216">
        <f>'E M ALMIRANTE TAMANDARÉ'!F9</f>
        <v/>
      </c>
      <c r="B1465" s="217">
        <f>'E M ALMIRANTE TAMANDARÉ'!C9</f>
        <v/>
      </c>
    </row>
    <row r="1466" ht="15" customHeight="1" s="107">
      <c r="A1466" s="216">
        <f>'E M ALMIRANTE TAMANDARÉ'!F10</f>
        <v/>
      </c>
      <c r="B1466" s="217">
        <f>'E M ALMIRANTE TAMANDARÉ'!C10</f>
        <v/>
      </c>
    </row>
    <row r="1467" ht="15" customHeight="1" s="107">
      <c r="A1467" s="216">
        <f>'E M ALMIRANTE TAMANDARÉ'!F11</f>
        <v/>
      </c>
      <c r="B1467" s="217">
        <f>'E M ALMIRANTE TAMANDARÉ'!C11</f>
        <v/>
      </c>
    </row>
    <row r="1468" ht="15" customHeight="1" s="107">
      <c r="A1468" s="216">
        <f>'E M ALMIRANTE TAMANDARÉ'!F12</f>
        <v/>
      </c>
      <c r="B1468" s="217">
        <f>'E M ALMIRANTE TAMANDARÉ'!C12</f>
        <v/>
      </c>
    </row>
    <row r="1469" ht="15" customHeight="1" s="107">
      <c r="A1469" s="216">
        <f>'E M ALMIRANTE TAMANDARÉ'!F13</f>
        <v/>
      </c>
      <c r="B1469" s="217">
        <f>'E M ALMIRANTE TAMANDARÉ'!C13</f>
        <v/>
      </c>
    </row>
    <row r="1470" ht="15" customHeight="1" s="107">
      <c r="A1470" s="216">
        <f>'E M ALMIRANTE TAMANDARÉ'!F14</f>
        <v/>
      </c>
      <c r="B1470" s="217">
        <f>'E M ALMIRANTE TAMANDARÉ'!C14</f>
        <v/>
      </c>
    </row>
    <row r="1471" ht="15" customHeight="1" s="107">
      <c r="A1471" s="216">
        <f>'E M ALMIRANTE TAMANDARÉ'!F15</f>
        <v/>
      </c>
      <c r="B1471" s="217">
        <f>'E M ALMIRANTE TAMANDARÉ'!C15</f>
        <v/>
      </c>
    </row>
    <row r="1472" ht="15" customHeight="1" s="107">
      <c r="A1472" s="216">
        <f>'E M ALMIRANTE TAMANDARÉ'!F16</f>
        <v/>
      </c>
      <c r="B1472" s="217">
        <f>'E M ALMIRANTE TAMANDARÉ'!C16</f>
        <v/>
      </c>
    </row>
    <row r="1473" ht="15" customHeight="1" s="107">
      <c r="A1473" s="216">
        <f>'E M ALMIRANTE TAMANDARÉ'!F17</f>
        <v/>
      </c>
      <c r="B1473" s="217">
        <f>'E M ALMIRANTE TAMANDARÉ'!C17</f>
        <v/>
      </c>
    </row>
    <row r="1474" ht="15" customHeight="1" s="107">
      <c r="A1474" s="216">
        <f>'E M ALMIRANTE TAMANDARÉ'!F18</f>
        <v/>
      </c>
      <c r="B1474" s="217">
        <f>'E M ALMIRANTE TAMANDARÉ'!C18</f>
        <v/>
      </c>
    </row>
    <row r="1475" ht="15" customHeight="1" s="107">
      <c r="A1475" s="216">
        <f>'E M ALMIRANTE TAMANDARÉ'!F19</f>
        <v/>
      </c>
      <c r="B1475" s="217">
        <f>'E M ALMIRANTE TAMANDARÉ'!C19</f>
        <v/>
      </c>
    </row>
    <row r="1476" ht="15" customHeight="1" s="107">
      <c r="A1476" s="216">
        <f>'E M ALMIRANTE TAMANDARÉ'!F20</f>
        <v/>
      </c>
      <c r="B1476" s="217">
        <f>'E M ALMIRANTE TAMANDARÉ'!C20</f>
        <v/>
      </c>
    </row>
    <row r="1477" ht="15" customHeight="1" s="107">
      <c r="A1477" s="216">
        <f>'E M ALMIRANTE TAMANDARÉ'!F21</f>
        <v/>
      </c>
      <c r="B1477" s="217">
        <f>'E M ALMIRANTE TAMANDARÉ'!C21</f>
        <v/>
      </c>
    </row>
    <row r="1478" ht="15" customHeight="1" s="107">
      <c r="A1478" s="216">
        <f>'E M ALMIRANTE TAMANDARÉ'!F22</f>
        <v/>
      </c>
      <c r="B1478" s="217">
        <f>'E M ALMIRANTE TAMANDARÉ'!C22</f>
        <v/>
      </c>
    </row>
    <row r="1479" ht="15" customHeight="1" s="107">
      <c r="A1479" s="216">
        <f>'E M ALMIRANTE TAMANDARÉ'!F23</f>
        <v/>
      </c>
      <c r="B1479" s="217">
        <f>'E M ALMIRANTE TAMANDARÉ'!C23</f>
        <v/>
      </c>
    </row>
    <row r="1480" ht="15" customHeight="1" s="107">
      <c r="A1480" s="216">
        <f>'E M ALMIRANTE TAMANDARÉ'!F24</f>
        <v/>
      </c>
      <c r="B1480" s="217">
        <f>'E M ALMIRANTE TAMANDARÉ'!C24</f>
        <v/>
      </c>
    </row>
    <row r="1481" ht="15" customHeight="1" s="107">
      <c r="A1481" s="216">
        <f>'E M ALMIRANTE TAMANDARÉ'!F25</f>
        <v/>
      </c>
      <c r="B1481" s="217">
        <f>'E M ALMIRANTE TAMANDARÉ'!C25</f>
        <v/>
      </c>
    </row>
    <row r="1482" ht="15" customHeight="1" s="107">
      <c r="A1482" s="216">
        <f>'E M ALMIRANTE TAMANDARÉ'!F26</f>
        <v/>
      </c>
      <c r="B1482" s="217">
        <f>'E M ALMIRANTE TAMANDARÉ'!C26</f>
        <v/>
      </c>
    </row>
    <row r="1483" ht="15" customHeight="1" s="107">
      <c r="A1483" s="216">
        <f>'E M ALMIRANTE TAMANDARÉ'!F27</f>
        <v/>
      </c>
      <c r="B1483" s="217">
        <f>'E M ALMIRANTE TAMANDARÉ'!C27</f>
        <v/>
      </c>
    </row>
    <row r="1484" ht="15" customHeight="1" s="107">
      <c r="A1484" s="216">
        <f>'ESCOLA PAROQUIAL CARLOS DEMIÁ'!F9</f>
        <v/>
      </c>
      <c r="B1484" s="217">
        <f>'ESCOLA PAROQUIAL CARLOS DEMIÁ'!C9</f>
        <v/>
      </c>
    </row>
    <row r="1485" ht="15" customHeight="1" s="107">
      <c r="A1485" s="216">
        <f>'ESCOLA PAROQUIAL CARLOS DEMIÁ'!F10</f>
        <v/>
      </c>
      <c r="B1485" s="217">
        <f>'ESCOLA PAROQUIAL CARLOS DEMIÁ'!C10</f>
        <v/>
      </c>
    </row>
    <row r="1486" ht="15" customHeight="1" s="107">
      <c r="A1486" s="216">
        <f>'ESCOLA PAROQUIAL CARLOS DEMIÁ'!F11</f>
        <v/>
      </c>
      <c r="B1486" s="217">
        <f>'ESCOLA PAROQUIAL CARLOS DEMIÁ'!C11</f>
        <v/>
      </c>
    </row>
    <row r="1487" ht="15" customHeight="1" s="107">
      <c r="A1487" s="216">
        <f>'ESCOLA PAROQUIAL CARLOS DEMIÁ'!F12</f>
        <v/>
      </c>
      <c r="B1487" s="217">
        <f>'ESCOLA PAROQUIAL CARLOS DEMIÁ'!C12</f>
        <v/>
      </c>
    </row>
    <row r="1488" ht="15" customHeight="1" s="107">
      <c r="A1488" s="216">
        <f>'ESCOLA PAROQUIAL CARLOS DEMIÁ'!F13</f>
        <v/>
      </c>
      <c r="B1488" s="217">
        <f>'ESCOLA PAROQUIAL CARLOS DEMIÁ'!C13</f>
        <v/>
      </c>
    </row>
    <row r="1489" ht="15" customHeight="1" s="107">
      <c r="A1489" s="216">
        <f>'ESCOLA PAROQUIAL CARLOS DEMIÁ'!F14</f>
        <v/>
      </c>
      <c r="B1489" s="217">
        <f>'ESCOLA PAROQUIAL CARLOS DEMIÁ'!C14</f>
        <v/>
      </c>
    </row>
    <row r="1490" ht="15" customHeight="1" s="107">
      <c r="A1490" s="216">
        <f>'ESCOLA PAROQUIAL CARLOS DEMIÁ'!F15</f>
        <v/>
      </c>
      <c r="B1490" s="217">
        <f>'ESCOLA PAROQUIAL CARLOS DEMIÁ'!C15</f>
        <v/>
      </c>
    </row>
    <row r="1491" ht="15" customHeight="1" s="107">
      <c r="A1491" s="216">
        <f>'ESCOLA PAROQUIAL CARLOS DEMIÁ'!F16</f>
        <v/>
      </c>
      <c r="B1491" s="217">
        <f>'ESCOLA PAROQUIAL CARLOS DEMIÁ'!C16</f>
        <v/>
      </c>
    </row>
    <row r="1492" ht="15" customHeight="1" s="107">
      <c r="A1492" s="216">
        <f>'ESCOLA PAROQUIAL CARLOS DEMIÁ'!F17</f>
        <v/>
      </c>
      <c r="B1492" s="217">
        <f>'ESCOLA PAROQUIAL CARLOS DEMIÁ'!C17</f>
        <v/>
      </c>
    </row>
    <row r="1493" ht="15" customHeight="1" s="107">
      <c r="A1493" s="216">
        <f>'ESCOLA PAROQUIAL CARLOS DEMIÁ'!F18</f>
        <v/>
      </c>
      <c r="B1493" s="217">
        <f>'ESCOLA PAROQUIAL CARLOS DEMIÁ'!C18</f>
        <v/>
      </c>
    </row>
    <row r="1494" ht="15" customHeight="1" s="107">
      <c r="A1494" s="216">
        <f>'ESCOLA PAROQUIAL CARLOS DEMIÁ'!F19</f>
        <v/>
      </c>
      <c r="B1494" s="217">
        <f>'ESCOLA PAROQUIAL CARLOS DEMIÁ'!C19</f>
        <v/>
      </c>
    </row>
    <row r="1495" ht="15" customHeight="1" s="107">
      <c r="A1495" s="216">
        <f>'ESCOLA PAROQUIAL CARLOS DEMIÁ'!F20</f>
        <v/>
      </c>
      <c r="B1495" s="217">
        <f>'ESCOLA PAROQUIAL CARLOS DEMIÁ'!C20</f>
        <v/>
      </c>
    </row>
    <row r="1496" ht="15" customHeight="1" s="107">
      <c r="A1496" s="216">
        <f>'ESCOLA PAROQUIAL CARLOS DEMIÁ'!F21</f>
        <v/>
      </c>
      <c r="B1496" s="217">
        <f>'ESCOLA PAROQUIAL CARLOS DEMIÁ'!C21</f>
        <v/>
      </c>
    </row>
    <row r="1497" ht="15" customHeight="1" s="107">
      <c r="A1497" s="216">
        <f>'ESCOLA PAROQUIAL CARLOS DEMIÁ'!F22</f>
        <v/>
      </c>
      <c r="B1497" s="217">
        <f>'ESCOLA PAROQUIAL CARLOS DEMIÁ'!C22</f>
        <v/>
      </c>
    </row>
    <row r="1498" ht="15" customHeight="1" s="107">
      <c r="A1498" s="216">
        <f>'ESCOLA PAROQUIAL CARLOS DEMIÁ'!F23</f>
        <v/>
      </c>
      <c r="B1498" s="217">
        <f>'ESCOLA PAROQUIAL CARLOS DEMIÁ'!C23</f>
        <v/>
      </c>
    </row>
    <row r="1499" ht="15" customHeight="1" s="107">
      <c r="A1499" s="216">
        <f>'ESCOLA PAROQUIAL CARLOS DEMIÁ'!F24</f>
        <v/>
      </c>
      <c r="B1499" s="217">
        <f>'ESCOLA PAROQUIAL CARLOS DEMIÁ'!C24</f>
        <v/>
      </c>
    </row>
    <row r="1500" ht="15" customHeight="1" s="107">
      <c r="A1500" s="216">
        <f>'ESCOLA PAROQUIAL CARLOS DEMIÁ'!F25</f>
        <v/>
      </c>
      <c r="B1500" s="217">
        <f>'ESCOLA PAROQUIAL CARLOS DEMIÁ'!C25</f>
        <v/>
      </c>
    </row>
    <row r="1501" ht="15" customHeight="1" s="107">
      <c r="A1501" s="216">
        <f>'ESCOLA PAROQUIAL CARLOS DEMIÁ'!F26</f>
        <v/>
      </c>
      <c r="B1501" s="217">
        <f>'ESCOLA PAROQUIAL CARLOS DEMIÁ'!C26</f>
        <v/>
      </c>
    </row>
    <row r="1502" ht="15" customHeight="1" s="107">
      <c r="A1502" s="216">
        <f>'ESCOLA PAROQUIAL CARLOS DEMIÁ'!F27</f>
        <v/>
      </c>
      <c r="B1502" s="217">
        <f>'ESCOLA PAROQUIAL CARLOS DEMIÁ'!C27</f>
        <v/>
      </c>
    </row>
    <row r="1503" ht="15" customHeight="1" s="107">
      <c r="A1503" s="216">
        <f>'CENTRO PAROQUIAL DE EDUCAÇÃO IN'!F9</f>
        <v/>
      </c>
      <c r="B1503" s="217">
        <f>'CENTRO PAROQUIAL DE EDUCAÇÃO IN'!C9</f>
        <v/>
      </c>
    </row>
    <row r="1504" ht="15" customHeight="1" s="107">
      <c r="A1504" s="216">
        <f>'CENTRO PAROQUIAL DE EDUCAÇÃO IN'!F10</f>
        <v/>
      </c>
      <c r="B1504" s="217">
        <f>'CENTRO PAROQUIAL DE EDUCAÇÃO IN'!C10</f>
        <v/>
      </c>
    </row>
    <row r="1505" ht="15" customHeight="1" s="107">
      <c r="A1505" s="216">
        <f>'CENTRO PAROQUIAL DE EDUCAÇÃO IN'!F11</f>
        <v/>
      </c>
      <c r="B1505" s="217">
        <f>'CENTRO PAROQUIAL DE EDUCAÇÃO IN'!C11</f>
        <v/>
      </c>
    </row>
    <row r="1506" ht="15" customHeight="1" s="107">
      <c r="A1506" s="216">
        <f>'CENTRO PAROQUIAL DE EDUCAÇÃO IN'!F12</f>
        <v/>
      </c>
      <c r="B1506" s="217">
        <f>'CENTRO PAROQUIAL DE EDUCAÇÃO IN'!C12</f>
        <v/>
      </c>
    </row>
    <row r="1507" ht="15" customHeight="1" s="107">
      <c r="A1507" s="216">
        <f>'CENTRO PAROQUIAL DE EDUCAÇÃO IN'!F13</f>
        <v/>
      </c>
      <c r="B1507" s="217">
        <f>'CENTRO PAROQUIAL DE EDUCAÇÃO IN'!C13</f>
        <v/>
      </c>
    </row>
    <row r="1508" ht="15" customHeight="1" s="107">
      <c r="A1508" s="216">
        <f>'CENTRO PAROQUIAL DE EDUCAÇÃO IN'!F14</f>
        <v/>
      </c>
      <c r="B1508" s="217">
        <f>'CENTRO PAROQUIAL DE EDUCAÇÃO IN'!C14</f>
        <v/>
      </c>
    </row>
    <row r="1509" ht="15" customHeight="1" s="107">
      <c r="A1509" s="216">
        <f>'CENTRO PAROQUIAL DE EDUCAÇÃO IN'!F15</f>
        <v/>
      </c>
      <c r="B1509" s="217">
        <f>'CENTRO PAROQUIAL DE EDUCAÇÃO IN'!C15</f>
        <v/>
      </c>
    </row>
    <row r="1510" ht="15" customHeight="1" s="107">
      <c r="A1510" s="216">
        <f>'CENTRO PAROQUIAL DE EDUCAÇÃO IN'!F16</f>
        <v/>
      </c>
      <c r="B1510" s="217">
        <f>'CENTRO PAROQUIAL DE EDUCAÇÃO IN'!C16</f>
        <v/>
      </c>
    </row>
    <row r="1511" ht="15" customHeight="1" s="107">
      <c r="A1511" s="216">
        <f>'CENTRO PAROQUIAL DE EDUCAÇÃO IN'!F17</f>
        <v/>
      </c>
      <c r="B1511" s="217">
        <f>'CENTRO PAROQUIAL DE EDUCAÇÃO IN'!C17</f>
        <v/>
      </c>
    </row>
    <row r="1512" ht="15" customHeight="1" s="107">
      <c r="A1512" s="216">
        <f>'CENTRO PAROQUIAL DE EDUCAÇÃO IN'!F18</f>
        <v/>
      </c>
      <c r="B1512" s="217">
        <f>'CENTRO PAROQUIAL DE EDUCAÇÃO IN'!C18</f>
        <v/>
      </c>
    </row>
    <row r="1513" ht="15" customHeight="1" s="107">
      <c r="A1513" s="216">
        <f>'CENTRO PAROQUIAL DE EDUCAÇÃO IN'!F19</f>
        <v/>
      </c>
      <c r="B1513" s="217">
        <f>'CENTRO PAROQUIAL DE EDUCAÇÃO IN'!C19</f>
        <v/>
      </c>
    </row>
    <row r="1514" ht="15" customHeight="1" s="107">
      <c r="A1514" s="216">
        <f>'CENTRO PAROQUIAL DE EDUCAÇÃO IN'!F20</f>
        <v/>
      </c>
      <c r="B1514" s="217">
        <f>'CENTRO PAROQUIAL DE EDUCAÇÃO IN'!C20</f>
        <v/>
      </c>
    </row>
    <row r="1515" ht="15" customHeight="1" s="107">
      <c r="A1515" s="216">
        <f>'CENTRO PAROQUIAL DE EDUCAÇÃO IN'!F21</f>
        <v/>
      </c>
      <c r="B1515" s="217">
        <f>'CENTRO PAROQUIAL DE EDUCAÇÃO IN'!C21</f>
        <v/>
      </c>
    </row>
    <row r="1516" ht="15" customHeight="1" s="107">
      <c r="A1516" s="216">
        <f>'CENTRO PAROQUIAL DE EDUCAÇÃO IN'!F22</f>
        <v/>
      </c>
      <c r="B1516" s="217">
        <f>'CENTRO PAROQUIAL DE EDUCAÇÃO IN'!C22</f>
        <v/>
      </c>
    </row>
    <row r="1517" ht="15" customHeight="1" s="107">
      <c r="A1517" s="216">
        <f>'CENTRO PAROQUIAL DE EDUCAÇÃO IN'!F23</f>
        <v/>
      </c>
      <c r="B1517" s="217">
        <f>'CENTRO PAROQUIAL DE EDUCAÇÃO IN'!C23</f>
        <v/>
      </c>
    </row>
    <row r="1518" ht="15" customHeight="1" s="107">
      <c r="A1518" s="216">
        <f>'CENTRO PAROQUIAL DE EDUCAÇÃO IN'!F24</f>
        <v/>
      </c>
      <c r="B1518" s="217">
        <f>'CENTRO PAROQUIAL DE EDUCAÇÃO IN'!C24</f>
        <v/>
      </c>
    </row>
    <row r="1519" ht="15" customHeight="1" s="107">
      <c r="A1519" s="216">
        <f>'CENTRO PAROQUIAL DE EDUCAÇÃO IN'!F25</f>
        <v/>
      </c>
      <c r="B1519" s="217">
        <f>'CENTRO PAROQUIAL DE EDUCAÇÃO IN'!C25</f>
        <v/>
      </c>
    </row>
    <row r="1520" ht="15" customHeight="1" s="107">
      <c r="A1520" s="216">
        <f>'CENTRO PAROQUIAL DE EDUCAÇÃO IN'!F26</f>
        <v/>
      </c>
      <c r="B1520" s="217">
        <f>'CENTRO PAROQUIAL DE EDUCAÇÃO IN'!C26</f>
        <v/>
      </c>
    </row>
    <row r="1521" ht="15" customHeight="1" s="107">
      <c r="A1521" s="216">
        <f>'CENTRO PAROQUIAL DE EDUCAÇÃO IN'!F27</f>
        <v/>
      </c>
      <c r="B1521" s="217">
        <f>'CENTRO PAROQUIAL DE EDUCAÇÃO IN'!C27</f>
        <v/>
      </c>
    </row>
    <row r="1522" ht="15" customHeight="1" s="107">
      <c r="A1522" s="216">
        <f>'CEI IRMÃ SILVANA'!F9</f>
        <v/>
      </c>
      <c r="B1522" s="217">
        <f>'CEI IRMÃ SILVANA'!C9</f>
        <v/>
      </c>
    </row>
    <row r="1523" ht="15" customHeight="1" s="107">
      <c r="A1523" s="216">
        <f>'CEI IRMÃ SILVANA'!F10</f>
        <v/>
      </c>
      <c r="B1523" s="217">
        <f>'CEI IRMÃ SILVANA'!C10</f>
        <v/>
      </c>
    </row>
    <row r="1524" ht="15" customHeight="1" s="107">
      <c r="A1524" s="216">
        <f>'CEI IRMÃ SILVANA'!F11</f>
        <v/>
      </c>
      <c r="B1524" s="217">
        <f>'CEI IRMÃ SILVANA'!C11</f>
        <v/>
      </c>
    </row>
    <row r="1525" ht="15" customHeight="1" s="107">
      <c r="A1525" s="216">
        <f>'CEI IRMÃ SILVANA'!F12</f>
        <v/>
      </c>
      <c r="B1525" s="217">
        <f>'CEI IRMÃ SILVANA'!C12</f>
        <v/>
      </c>
    </row>
    <row r="1526" ht="15" customHeight="1" s="107">
      <c r="A1526" s="216">
        <f>'CEI IRMÃ SILVANA'!F13</f>
        <v/>
      </c>
      <c r="B1526" s="217">
        <f>'CEI IRMÃ SILVANA'!C13</f>
        <v/>
      </c>
    </row>
    <row r="1527" ht="15" customHeight="1" s="107">
      <c r="A1527" s="216">
        <f>'CEI IRMÃ SILVANA'!F14</f>
        <v/>
      </c>
      <c r="B1527" s="217">
        <f>'CEI IRMÃ SILVANA'!C14</f>
        <v/>
      </c>
    </row>
    <row r="1528" ht="15" customHeight="1" s="107">
      <c r="A1528" s="216">
        <f>'CEI IRMÃ SILVANA'!F15</f>
        <v/>
      </c>
      <c r="B1528" s="217">
        <f>'CEI IRMÃ SILVANA'!C15</f>
        <v/>
      </c>
    </row>
    <row r="1529" ht="15" customHeight="1" s="107">
      <c r="A1529" s="216">
        <f>'CEI IRMÃ SILVANA'!F16</f>
        <v/>
      </c>
      <c r="B1529" s="217">
        <f>'CEI IRMÃ SILVANA'!C16</f>
        <v/>
      </c>
    </row>
    <row r="1530" ht="15" customHeight="1" s="107">
      <c r="A1530" s="216">
        <f>'CEI IRMÃ SILVANA'!F17</f>
        <v/>
      </c>
      <c r="B1530" s="217">
        <f>'CEI IRMÃ SILVANA'!C17</f>
        <v/>
      </c>
    </row>
    <row r="1531" ht="15" customHeight="1" s="107">
      <c r="A1531" s="216">
        <f>'CEI IRMÃ SILVANA'!F18</f>
        <v/>
      </c>
      <c r="B1531" s="217">
        <f>'CEI IRMÃ SILVANA'!C18</f>
        <v/>
      </c>
    </row>
    <row r="1532" ht="15" customHeight="1" s="107">
      <c r="A1532" s="216">
        <f>'CEI IRMÃ SILVANA'!F19</f>
        <v/>
      </c>
      <c r="B1532" s="217">
        <f>'CEI IRMÃ SILVANA'!C19</f>
        <v/>
      </c>
    </row>
    <row r="1533" ht="15" customHeight="1" s="107">
      <c r="A1533" s="216">
        <f>'CEI IRMÃ SILVANA'!F20</f>
        <v/>
      </c>
      <c r="B1533" s="217">
        <f>'CEI IRMÃ SILVANA'!C20</f>
        <v/>
      </c>
    </row>
    <row r="1534" ht="15" customHeight="1" s="107">
      <c r="A1534" s="216">
        <f>'CEI IRMÃ SILVANA'!F21</f>
        <v/>
      </c>
      <c r="B1534" s="217">
        <f>'CEI IRMÃ SILVANA'!C21</f>
        <v/>
      </c>
    </row>
    <row r="1535" ht="15" customHeight="1" s="107">
      <c r="A1535" s="216">
        <f>'CEI IRMÃ SILVANA'!F22</f>
        <v/>
      </c>
      <c r="B1535" s="217">
        <f>'CEI IRMÃ SILVANA'!C22</f>
        <v/>
      </c>
    </row>
    <row r="1536" ht="15" customHeight="1" s="107">
      <c r="A1536" s="216">
        <f>'CEI IRMÃ SILVANA'!F23</f>
        <v/>
      </c>
      <c r="B1536" s="217">
        <f>'CEI IRMÃ SILVANA'!C23</f>
        <v/>
      </c>
    </row>
    <row r="1537" ht="15" customHeight="1" s="107">
      <c r="A1537" s="216">
        <f>'CEI IRMÃ SILVANA'!F24</f>
        <v/>
      </c>
      <c r="B1537" s="217">
        <f>'CEI IRMÃ SILVANA'!C24</f>
        <v/>
      </c>
    </row>
    <row r="1538" ht="15" customHeight="1" s="107">
      <c r="A1538" s="216">
        <f>'CEI IRMÃ SILVANA'!F25</f>
        <v/>
      </c>
      <c r="B1538" s="217">
        <f>'CEI IRMÃ SILVANA'!C25</f>
        <v/>
      </c>
    </row>
    <row r="1539" ht="15" customHeight="1" s="107">
      <c r="A1539" s="216">
        <f>'CEI IRMÃ SILVANA'!F26</f>
        <v/>
      </c>
      <c r="B1539" s="217">
        <f>'CEI IRMÃ SILVANA'!C26</f>
        <v/>
      </c>
    </row>
    <row r="1540" ht="15" customHeight="1" s="107">
      <c r="A1540" s="216">
        <f>'CEI IRMÃ SILVANA'!F27</f>
        <v/>
      </c>
      <c r="B1540" s="217">
        <f>'CEI IRMÃ SILVANA'!C27</f>
        <v/>
      </c>
    </row>
    <row r="1541" ht="15" customHeight="1" s="107">
      <c r="A1541" s="216">
        <f>'CEI OLÍVIA MACHADO DA COSTA NOG'!F9</f>
        <v/>
      </c>
      <c r="B1541" s="217">
        <f>'CEI OLÍVIA MACHADO DA COSTA NOG'!C9</f>
        <v/>
      </c>
    </row>
    <row r="1542" ht="15" customHeight="1" s="107">
      <c r="A1542" s="216">
        <f>'CEI OLÍVIA MACHADO DA COSTA NOG'!F10</f>
        <v/>
      </c>
      <c r="B1542" s="217">
        <f>'CEI OLÍVIA MACHADO DA COSTA NOG'!C10</f>
        <v/>
      </c>
    </row>
    <row r="1543" ht="15" customHeight="1" s="107">
      <c r="A1543" s="216">
        <f>'CEI OLÍVIA MACHADO DA COSTA NOG'!F11</f>
        <v/>
      </c>
      <c r="B1543" s="217">
        <f>'CEI OLÍVIA MACHADO DA COSTA NOG'!C11</f>
        <v/>
      </c>
    </row>
    <row r="1544" ht="15" customHeight="1" s="107">
      <c r="A1544" s="216">
        <f>'CEI OLÍVIA MACHADO DA COSTA NOG'!F12</f>
        <v/>
      </c>
      <c r="B1544" s="217">
        <f>'CEI OLÍVIA MACHADO DA COSTA NOG'!C12</f>
        <v/>
      </c>
    </row>
    <row r="1545" ht="15" customHeight="1" s="107">
      <c r="A1545" s="216">
        <f>'CEI OLÍVIA MACHADO DA COSTA NOG'!F13</f>
        <v/>
      </c>
      <c r="B1545" s="217">
        <f>'CEI OLÍVIA MACHADO DA COSTA NOG'!C13</f>
        <v/>
      </c>
    </row>
    <row r="1546" ht="15" customHeight="1" s="107">
      <c r="A1546" s="216">
        <f>'CEI OLÍVIA MACHADO DA COSTA NOG'!F14</f>
        <v/>
      </c>
      <c r="B1546" s="217">
        <f>'CEI OLÍVIA MACHADO DA COSTA NOG'!C14</f>
        <v/>
      </c>
    </row>
    <row r="1547" ht="15" customHeight="1" s="107">
      <c r="A1547" s="216">
        <f>'CEI OLÍVIA MACHADO DA COSTA NOG'!F15</f>
        <v/>
      </c>
      <c r="B1547" s="217">
        <f>'CEI OLÍVIA MACHADO DA COSTA NOG'!C15</f>
        <v/>
      </c>
    </row>
    <row r="1548" ht="15" customHeight="1" s="107">
      <c r="A1548" s="216">
        <f>'CEI OLÍVIA MACHADO DA COSTA NOG'!F16</f>
        <v/>
      </c>
      <c r="B1548" s="217">
        <f>'CEI OLÍVIA MACHADO DA COSTA NOG'!C16</f>
        <v/>
      </c>
    </row>
    <row r="1549" ht="15" customHeight="1" s="107">
      <c r="A1549" s="216">
        <f>'CEI OLÍVIA MACHADO DA COSTA NOG'!F17</f>
        <v/>
      </c>
      <c r="B1549" s="217">
        <f>'CEI OLÍVIA MACHADO DA COSTA NOG'!C17</f>
        <v/>
      </c>
    </row>
    <row r="1550" ht="15" customHeight="1" s="107">
      <c r="A1550" s="216">
        <f>'CEI OLÍVIA MACHADO DA COSTA NOG'!F18</f>
        <v/>
      </c>
      <c r="B1550" s="217">
        <f>'CEI OLÍVIA MACHADO DA COSTA NOG'!C18</f>
        <v/>
      </c>
    </row>
    <row r="1551" ht="15" customHeight="1" s="107">
      <c r="A1551" s="216">
        <f>'CEI OLÍVIA MACHADO DA COSTA NOG'!F19</f>
        <v/>
      </c>
      <c r="B1551" s="217">
        <f>'CEI OLÍVIA MACHADO DA COSTA NOG'!C19</f>
        <v/>
      </c>
    </row>
    <row r="1552" ht="15" customHeight="1" s="107">
      <c r="A1552" s="216">
        <f>'CEI OLÍVIA MACHADO DA COSTA NOG'!F20</f>
        <v/>
      </c>
      <c r="B1552" s="217">
        <f>'CEI OLÍVIA MACHADO DA COSTA NOG'!C20</f>
        <v/>
      </c>
    </row>
    <row r="1553" ht="15" customHeight="1" s="107">
      <c r="A1553" s="216">
        <f>'CEI OLÍVIA MACHADO DA COSTA NOG'!F21</f>
        <v/>
      </c>
      <c r="B1553" s="217">
        <f>'CEI OLÍVIA MACHADO DA COSTA NOG'!C21</f>
        <v/>
      </c>
    </row>
    <row r="1554" ht="15" customHeight="1" s="107">
      <c r="A1554" s="216">
        <f>'CEI OLÍVIA MACHADO DA COSTA NOG'!F22</f>
        <v/>
      </c>
      <c r="B1554" s="217">
        <f>'CEI OLÍVIA MACHADO DA COSTA NOG'!C22</f>
        <v/>
      </c>
    </row>
    <row r="1555" ht="15" customHeight="1" s="107">
      <c r="A1555" s="216">
        <f>'CEI OLÍVIA MACHADO DA COSTA NOG'!F23</f>
        <v/>
      </c>
      <c r="B1555" s="217">
        <f>'CEI OLÍVIA MACHADO DA COSTA NOG'!C23</f>
        <v/>
      </c>
    </row>
    <row r="1556" ht="15" customHeight="1" s="107">
      <c r="A1556" s="216">
        <f>'CEI OLÍVIA MACHADO DA COSTA NOG'!F24</f>
        <v/>
      </c>
      <c r="B1556" s="217">
        <f>'CEI OLÍVIA MACHADO DA COSTA NOG'!C24</f>
        <v/>
      </c>
    </row>
    <row r="1557" ht="15" customHeight="1" s="107">
      <c r="A1557" s="216">
        <f>'CEI OLÍVIA MACHADO DA COSTA NOG'!F25</f>
        <v/>
      </c>
      <c r="B1557" s="217">
        <f>'CEI OLÍVIA MACHADO DA COSTA NOG'!C25</f>
        <v/>
      </c>
    </row>
    <row r="1558" ht="15" customHeight="1" s="107">
      <c r="A1558" s="216">
        <f>'CEI OLÍVIA MACHADO DA COSTA NOG'!F26</f>
        <v/>
      </c>
      <c r="B1558" s="217">
        <f>'CEI OLÍVIA MACHADO DA COSTA NOG'!C26</f>
        <v/>
      </c>
    </row>
    <row r="1559" ht="15" customHeight="1" s="107">
      <c r="A1559" s="216">
        <f>'CEI OLÍVIA MACHADO DA COSTA NOG'!F27</f>
        <v/>
      </c>
      <c r="B1559" s="217">
        <f>'CEI OLÍVIA MACHADO DA COSTA NOG'!C27</f>
        <v/>
      </c>
    </row>
    <row r="1560" ht="15" customHeight="1" s="107">
      <c r="A1560" s="216">
        <f>'E M GOVERNADOR MARCELLO ALENCAR'!F9</f>
        <v/>
      </c>
      <c r="B1560" s="217">
        <f>'E M GOVERNADOR MARCELLO ALENCAR'!C9</f>
        <v/>
      </c>
    </row>
    <row r="1561" ht="15" customHeight="1" s="107">
      <c r="A1561" s="216">
        <f>'E M GOVERNADOR MARCELLO ALENCAR'!F10</f>
        <v/>
      </c>
      <c r="B1561" s="217">
        <f>'E M GOVERNADOR MARCELLO ALENCAR'!C10</f>
        <v/>
      </c>
    </row>
    <row r="1562" ht="15" customHeight="1" s="107">
      <c r="A1562" s="216">
        <f>'E M GOVERNADOR MARCELLO ALENCAR'!F11</f>
        <v/>
      </c>
      <c r="B1562" s="217">
        <f>'E M GOVERNADOR MARCELLO ALENCAR'!C11</f>
        <v/>
      </c>
    </row>
    <row r="1563" ht="15" customHeight="1" s="107">
      <c r="A1563" s="216">
        <f>'E M GOVERNADOR MARCELLO ALENCAR'!F12</f>
        <v/>
      </c>
      <c r="B1563" s="217">
        <f>'E M GOVERNADOR MARCELLO ALENCAR'!C12</f>
        <v/>
      </c>
    </row>
    <row r="1564" ht="15" customHeight="1" s="107">
      <c r="A1564" s="216">
        <f>'E M GOVERNADOR MARCELLO ALENCAR'!F13</f>
        <v/>
      </c>
      <c r="B1564" s="217">
        <f>'E M GOVERNADOR MARCELLO ALENCAR'!C13</f>
        <v/>
      </c>
    </row>
    <row r="1565" ht="15" customHeight="1" s="107">
      <c r="A1565" s="216">
        <f>'E M GOVERNADOR MARCELLO ALENCAR'!F14</f>
        <v/>
      </c>
      <c r="B1565" s="217">
        <f>'E M GOVERNADOR MARCELLO ALENCAR'!C14</f>
        <v/>
      </c>
    </row>
    <row r="1566" ht="15" customHeight="1" s="107">
      <c r="A1566" s="216">
        <f>'E M GOVERNADOR MARCELLO ALENCAR'!F15</f>
        <v/>
      </c>
      <c r="B1566" s="217">
        <f>'E M GOVERNADOR MARCELLO ALENCAR'!C15</f>
        <v/>
      </c>
    </row>
    <row r="1567" ht="15" customHeight="1" s="107">
      <c r="A1567" s="216">
        <f>'E M GOVERNADOR MARCELLO ALENCAR'!F16</f>
        <v/>
      </c>
      <c r="B1567" s="217">
        <f>'E M GOVERNADOR MARCELLO ALENCAR'!C16</f>
        <v/>
      </c>
    </row>
    <row r="1568" ht="15" customHeight="1" s="107">
      <c r="A1568" s="216">
        <f>'E M GOVERNADOR MARCELLO ALENCAR'!F17</f>
        <v/>
      </c>
      <c r="B1568" s="217">
        <f>'E M GOVERNADOR MARCELLO ALENCAR'!C17</f>
        <v/>
      </c>
    </row>
    <row r="1569" ht="15" customHeight="1" s="107">
      <c r="A1569" s="216">
        <f>'E M GOVERNADOR MARCELLO ALENCAR'!F18</f>
        <v/>
      </c>
      <c r="B1569" s="217">
        <f>'E M GOVERNADOR MARCELLO ALENCAR'!C18</f>
        <v/>
      </c>
    </row>
    <row r="1570" ht="15" customHeight="1" s="107">
      <c r="A1570" s="216">
        <f>'E M GOVERNADOR MARCELLO ALENCAR'!F19</f>
        <v/>
      </c>
      <c r="B1570" s="217">
        <f>'E M GOVERNADOR MARCELLO ALENCAR'!C19</f>
        <v/>
      </c>
    </row>
    <row r="1571" ht="15" customHeight="1" s="107">
      <c r="A1571" s="216">
        <f>'E M GOVERNADOR MARCELLO ALENCAR'!F20</f>
        <v/>
      </c>
      <c r="B1571" s="217">
        <f>'E M GOVERNADOR MARCELLO ALENCAR'!C20</f>
        <v/>
      </c>
    </row>
    <row r="1572" ht="15" customHeight="1" s="107">
      <c r="A1572" s="216">
        <f>'E M GOVERNADOR MARCELLO ALENCAR'!F21</f>
        <v/>
      </c>
      <c r="B1572" s="217">
        <f>'E M GOVERNADOR MARCELLO ALENCAR'!C21</f>
        <v/>
      </c>
    </row>
    <row r="1573" ht="15" customHeight="1" s="107">
      <c r="A1573" s="216">
        <f>'E M GOVERNADOR MARCELLO ALENCAR'!F22</f>
        <v/>
      </c>
      <c r="B1573" s="217">
        <f>'E M GOVERNADOR MARCELLO ALENCAR'!C22</f>
        <v/>
      </c>
    </row>
    <row r="1574" ht="15" customHeight="1" s="107">
      <c r="A1574" s="216">
        <f>'E M GOVERNADOR MARCELLO ALENCAR'!F23</f>
        <v/>
      </c>
      <c r="B1574" s="217">
        <f>'E M GOVERNADOR MARCELLO ALENCAR'!C23</f>
        <v/>
      </c>
    </row>
    <row r="1575" ht="15" customHeight="1" s="107">
      <c r="A1575" s="216">
        <f>'E M GOVERNADOR MARCELLO ALENCAR'!F24</f>
        <v/>
      </c>
      <c r="B1575" s="217">
        <f>'E M GOVERNADOR MARCELLO ALENCAR'!C24</f>
        <v/>
      </c>
    </row>
    <row r="1576" ht="15" customHeight="1" s="107">
      <c r="A1576" s="216">
        <f>'E M GOVERNADOR MARCELLO ALENCAR'!F25</f>
        <v/>
      </c>
      <c r="B1576" s="217">
        <f>'E M GOVERNADOR MARCELLO ALENCAR'!C25</f>
        <v/>
      </c>
    </row>
    <row r="1577" ht="15" customHeight="1" s="107">
      <c r="A1577" s="216">
        <f>'E M GOVERNADOR MARCELLO ALENCAR'!F26</f>
        <v/>
      </c>
      <c r="B1577" s="217">
        <f>'E M GOVERNADOR MARCELLO ALENCAR'!C26</f>
        <v/>
      </c>
    </row>
    <row r="1578" ht="15" customHeight="1" s="107">
      <c r="A1578" s="216">
        <f>'E M GOVERNADOR MARCELLO ALENCAR'!F27</f>
        <v/>
      </c>
      <c r="B1578" s="217">
        <f>'E M GOVERNADOR MARCELLO ALENCAR'!C27</f>
        <v/>
      </c>
    </row>
    <row r="1579" ht="15" customHeight="1" s="107">
      <c r="A1579" s="216">
        <f>'E M PROFESSOR FLÁVIO MACIEL'!F9</f>
        <v/>
      </c>
      <c r="B1579" s="217">
        <f>'E M PROFESSOR FLÁVIO MACIEL'!C9</f>
        <v/>
      </c>
    </row>
    <row r="1580" ht="15" customHeight="1" s="107">
      <c r="A1580" s="216">
        <f>'E M PROFESSOR FLÁVIO MACIEL'!F10</f>
        <v/>
      </c>
      <c r="B1580" s="217">
        <f>'E M PROFESSOR FLÁVIO MACIEL'!C10</f>
        <v/>
      </c>
    </row>
    <row r="1581" ht="15" customHeight="1" s="107">
      <c r="A1581" s="216">
        <f>'E M PROFESSOR FLÁVIO MACIEL'!F11</f>
        <v/>
      </c>
      <c r="B1581" s="217">
        <f>'E M PROFESSOR FLÁVIO MACIEL'!C11</f>
        <v/>
      </c>
    </row>
    <row r="1582" ht="15" customHeight="1" s="107">
      <c r="A1582" s="216">
        <f>'E M PROFESSOR FLÁVIO MACIEL'!F12</f>
        <v/>
      </c>
      <c r="B1582" s="217">
        <f>'E M PROFESSOR FLÁVIO MACIEL'!C12</f>
        <v/>
      </c>
    </row>
    <row r="1583" ht="15" customHeight="1" s="107">
      <c r="A1583" s="216">
        <f>'E M PROFESSOR FLÁVIO MACIEL'!F13</f>
        <v/>
      </c>
      <c r="B1583" s="217">
        <f>'E M PROFESSOR FLÁVIO MACIEL'!C13</f>
        <v/>
      </c>
    </row>
    <row r="1584" ht="15" customHeight="1" s="107">
      <c r="A1584" s="216">
        <f>'E M PROFESSOR FLÁVIO MACIEL'!F14</f>
        <v/>
      </c>
      <c r="B1584" s="217">
        <f>'E M PROFESSOR FLÁVIO MACIEL'!C14</f>
        <v/>
      </c>
    </row>
    <row r="1585" ht="15" customHeight="1" s="107">
      <c r="A1585" s="216">
        <f>'E M PROFESSOR FLÁVIO MACIEL'!F15</f>
        <v/>
      </c>
      <c r="B1585" s="217">
        <f>'E M PROFESSOR FLÁVIO MACIEL'!C15</f>
        <v/>
      </c>
    </row>
    <row r="1586" ht="15" customHeight="1" s="107">
      <c r="A1586" s="216">
        <f>'E M PROFESSOR FLÁVIO MACIEL'!F16</f>
        <v/>
      </c>
      <c r="B1586" s="217">
        <f>'E M PROFESSOR FLÁVIO MACIEL'!C16</f>
        <v/>
      </c>
    </row>
    <row r="1587" ht="15" customHeight="1" s="107">
      <c r="A1587" s="216">
        <f>'E M PROFESSOR FLÁVIO MACIEL'!F17</f>
        <v/>
      </c>
      <c r="B1587" s="217">
        <f>'E M PROFESSOR FLÁVIO MACIEL'!C17</f>
        <v/>
      </c>
    </row>
    <row r="1588" ht="15" customHeight="1" s="107">
      <c r="A1588" s="216">
        <f>'E M PROFESSOR FLÁVIO MACIEL'!F18</f>
        <v/>
      </c>
      <c r="B1588" s="217">
        <f>'E M PROFESSOR FLÁVIO MACIEL'!C18</f>
        <v/>
      </c>
    </row>
    <row r="1589" ht="15" customHeight="1" s="107">
      <c r="A1589" s="216">
        <f>'E M PROFESSOR FLÁVIO MACIEL'!F19</f>
        <v/>
      </c>
      <c r="B1589" s="217">
        <f>'E M PROFESSOR FLÁVIO MACIEL'!C19</f>
        <v/>
      </c>
    </row>
    <row r="1590" ht="15" customHeight="1" s="107">
      <c r="A1590" s="216">
        <f>'E M PROFESSOR FLÁVIO MACIEL'!F20</f>
        <v/>
      </c>
      <c r="B1590" s="217">
        <f>'E M PROFESSOR FLÁVIO MACIEL'!C20</f>
        <v/>
      </c>
    </row>
    <row r="1591" ht="15" customHeight="1" s="107">
      <c r="A1591" s="216">
        <f>'E M PROFESSOR FLÁVIO MACIEL'!F21</f>
        <v/>
      </c>
      <c r="B1591" s="217">
        <f>'E M PROFESSOR FLÁVIO MACIEL'!C21</f>
        <v/>
      </c>
    </row>
    <row r="1592" ht="15" customHeight="1" s="107">
      <c r="A1592" s="216">
        <f>'E M PROFESSOR FLÁVIO MACIEL'!F22</f>
        <v/>
      </c>
      <c r="B1592" s="217">
        <f>'E M PROFESSOR FLÁVIO MACIEL'!C22</f>
        <v/>
      </c>
    </row>
    <row r="1593" ht="15" customHeight="1" s="107">
      <c r="A1593" s="216">
        <f>'E M PROFESSOR FLÁVIO MACIEL'!F23</f>
        <v/>
      </c>
      <c r="B1593" s="217">
        <f>'E M PROFESSOR FLÁVIO MACIEL'!C23</f>
        <v/>
      </c>
    </row>
    <row r="1594" ht="15" customHeight="1" s="107">
      <c r="A1594" s="216">
        <f>'E M PROFESSOR FLÁVIO MACIEL'!F24</f>
        <v/>
      </c>
      <c r="B1594" s="217">
        <f>'E M PROFESSOR FLÁVIO MACIEL'!C24</f>
        <v/>
      </c>
    </row>
    <row r="1595" ht="15" customHeight="1" s="107">
      <c r="A1595" s="216">
        <f>'E M PROFESSOR FLÁVIO MACIEL'!F25</f>
        <v/>
      </c>
      <c r="B1595" s="217">
        <f>'E M PROFESSOR FLÁVIO MACIEL'!C25</f>
        <v/>
      </c>
    </row>
    <row r="1596" ht="15" customHeight="1" s="107">
      <c r="A1596" s="216">
        <f>'E M PROFESSOR FLÁVIO MACIEL'!F26</f>
        <v/>
      </c>
      <c r="B1596" s="217">
        <f>'E M PROFESSOR FLÁVIO MACIEL'!C26</f>
        <v/>
      </c>
    </row>
    <row r="1597" ht="15" customHeight="1" s="107">
      <c r="A1597" s="216">
        <f>'E M PROFESSOR FLÁVIO MACIEL'!F27</f>
        <v/>
      </c>
      <c r="B1597" s="217">
        <f>'E M PROFESSOR FLÁVIO MACIEL'!C27</f>
        <v/>
      </c>
    </row>
    <row r="1598" ht="15" customHeight="1" s="107">
      <c r="A1598" s="216">
        <f>'E M PROFª JANDIRA PEIXOTO BORDI'!F9</f>
        <v/>
      </c>
      <c r="B1598" s="217">
        <f>'E M PROFª JANDIRA PEIXOTO BORDI'!C9</f>
        <v/>
      </c>
    </row>
    <row r="1599" ht="15" customHeight="1" s="107">
      <c r="A1599" s="216">
        <f>'E M PROFª JANDIRA PEIXOTO BORDI'!F10</f>
        <v/>
      </c>
      <c r="B1599" s="217">
        <f>'E M PROFª JANDIRA PEIXOTO BORDI'!C10</f>
        <v/>
      </c>
    </row>
    <row r="1600" ht="15" customHeight="1" s="107">
      <c r="A1600" s="216">
        <f>'E M PROFª JANDIRA PEIXOTO BORDI'!F11</f>
        <v/>
      </c>
      <c r="B1600" s="217">
        <f>'E M PROFª JANDIRA PEIXOTO BORDI'!C11</f>
        <v/>
      </c>
    </row>
    <row r="1601" ht="15" customHeight="1" s="107">
      <c r="A1601" s="216">
        <f>'E M PROFª JANDIRA PEIXOTO BORDI'!F12</f>
        <v/>
      </c>
      <c r="B1601" s="217">
        <f>'E M PROFª JANDIRA PEIXOTO BORDI'!C12</f>
        <v/>
      </c>
    </row>
    <row r="1602" ht="15" customHeight="1" s="107">
      <c r="A1602" s="216">
        <f>'E M PROFª JANDIRA PEIXOTO BORDI'!F13</f>
        <v/>
      </c>
      <c r="B1602" s="217">
        <f>'E M PROFª JANDIRA PEIXOTO BORDI'!C13</f>
        <v/>
      </c>
    </row>
    <row r="1603" ht="15" customHeight="1" s="107">
      <c r="A1603" s="216">
        <f>'E M PROFª JANDIRA PEIXOTO BORDI'!F14</f>
        <v/>
      </c>
      <c r="B1603" s="217">
        <f>'E M PROFª JANDIRA PEIXOTO BORDI'!C14</f>
        <v/>
      </c>
    </row>
    <row r="1604" ht="15" customHeight="1" s="107">
      <c r="A1604" s="216">
        <f>'E M PROFª JANDIRA PEIXOTO BORDI'!F15</f>
        <v/>
      </c>
      <c r="B1604" s="217">
        <f>'E M PROFª JANDIRA PEIXOTO BORDI'!C15</f>
        <v/>
      </c>
    </row>
    <row r="1605" ht="15" customHeight="1" s="107">
      <c r="A1605" s="216">
        <f>'E M PROFª JANDIRA PEIXOTO BORDI'!F16</f>
        <v/>
      </c>
      <c r="B1605" s="217">
        <f>'E M PROFª JANDIRA PEIXOTO BORDI'!C16</f>
        <v/>
      </c>
    </row>
    <row r="1606" ht="15" customHeight="1" s="107">
      <c r="A1606" s="216">
        <f>'E M PROFª JANDIRA PEIXOTO BORDI'!F17</f>
        <v/>
      </c>
      <c r="B1606" s="217">
        <f>'E M PROFª JANDIRA PEIXOTO BORDI'!C17</f>
        <v/>
      </c>
    </row>
    <row r="1607" ht="15" customHeight="1" s="107">
      <c r="A1607" s="216">
        <f>'E M PROFª JANDIRA PEIXOTO BORDI'!F18</f>
        <v/>
      </c>
      <c r="B1607" s="217">
        <f>'E M PROFª JANDIRA PEIXOTO BORDI'!C18</f>
        <v/>
      </c>
    </row>
    <row r="1608" ht="15" customHeight="1" s="107">
      <c r="A1608" s="216">
        <f>'E M PROFª JANDIRA PEIXOTO BORDI'!F19</f>
        <v/>
      </c>
      <c r="B1608" s="217">
        <f>'E M PROFª JANDIRA PEIXOTO BORDI'!C19</f>
        <v/>
      </c>
    </row>
    <row r="1609" ht="15" customHeight="1" s="107">
      <c r="A1609" s="216">
        <f>'E M PROFª JANDIRA PEIXOTO BORDI'!F20</f>
        <v/>
      </c>
      <c r="B1609" s="217">
        <f>'E M PROFª JANDIRA PEIXOTO BORDI'!C20</f>
        <v/>
      </c>
    </row>
    <row r="1610" ht="15" customHeight="1" s="107">
      <c r="A1610" s="216">
        <f>'E M PROFª JANDIRA PEIXOTO BORDI'!F21</f>
        <v/>
      </c>
      <c r="B1610" s="217">
        <f>'E M PROFª JANDIRA PEIXOTO BORDI'!C21</f>
        <v/>
      </c>
    </row>
    <row r="1611" ht="15" customHeight="1" s="107">
      <c r="A1611" s="216">
        <f>'E M PROFª JANDIRA PEIXOTO BORDI'!F22</f>
        <v/>
      </c>
      <c r="B1611" s="217">
        <f>'E M PROFª JANDIRA PEIXOTO BORDI'!C22</f>
        <v/>
      </c>
    </row>
    <row r="1612" ht="15" customHeight="1" s="107">
      <c r="A1612" s="216">
        <f>'E M PROFª JANDIRA PEIXOTO BORDI'!F23</f>
        <v/>
      </c>
      <c r="B1612" s="217">
        <f>'E M PROFª JANDIRA PEIXOTO BORDI'!C23</f>
        <v/>
      </c>
    </row>
    <row r="1613" ht="15" customHeight="1" s="107">
      <c r="A1613" s="216">
        <f>'E M PROFª JANDIRA PEIXOTO BORDI'!F24</f>
        <v/>
      </c>
      <c r="B1613" s="217">
        <f>'E M PROFª JANDIRA PEIXOTO BORDI'!C24</f>
        <v/>
      </c>
    </row>
    <row r="1614" ht="15" customHeight="1" s="107">
      <c r="A1614" s="216">
        <f>'E M PROFª JANDIRA PEIXOTO BORDI'!F25</f>
        <v/>
      </c>
      <c r="B1614" s="217">
        <f>'E M PROFª JANDIRA PEIXOTO BORDI'!C25</f>
        <v/>
      </c>
    </row>
    <row r="1615" ht="15" customHeight="1" s="107">
      <c r="A1615" s="216">
        <f>'E M PROFª JANDIRA PEIXOTO BORDI'!F26</f>
        <v/>
      </c>
      <c r="B1615" s="217">
        <f>'E M PROFª JANDIRA PEIXOTO BORDI'!C26</f>
        <v/>
      </c>
    </row>
    <row r="1616" ht="15" customHeight="1" s="107">
      <c r="A1616" s="216">
        <f>'E M PROFª JANDIRA PEIXOTO BORDI'!F27</f>
        <v/>
      </c>
      <c r="B1616" s="217">
        <f>'E M PROFª JANDIRA PEIXOTO BORDI'!C27</f>
        <v/>
      </c>
    </row>
    <row r="1617" ht="15" customHeight="1" s="107">
      <c r="A1617" s="216">
        <f>'E M STEFAN ZWEIG'!F9</f>
        <v/>
      </c>
      <c r="B1617" s="217">
        <f>'E M STEFAN ZWEIG'!C9</f>
        <v/>
      </c>
    </row>
    <row r="1618" ht="15" customHeight="1" s="107">
      <c r="A1618" s="216">
        <f>'E M STEFAN ZWEIG'!F10</f>
        <v/>
      </c>
      <c r="B1618" s="217">
        <f>'E M STEFAN ZWEIG'!C10</f>
        <v/>
      </c>
    </row>
    <row r="1619" ht="15" customHeight="1" s="107">
      <c r="A1619" s="216">
        <f>'E M STEFAN ZWEIG'!F11</f>
        <v/>
      </c>
      <c r="B1619" s="217">
        <f>'E M STEFAN ZWEIG'!C11</f>
        <v/>
      </c>
    </row>
    <row r="1620" ht="15" customHeight="1" s="107">
      <c r="A1620" s="216">
        <f>'E M STEFAN ZWEIG'!F12</f>
        <v/>
      </c>
      <c r="B1620" s="217">
        <f>'E M STEFAN ZWEIG'!C12</f>
        <v/>
      </c>
    </row>
    <row r="1621" ht="15" customHeight="1" s="107">
      <c r="A1621" s="216">
        <f>'E M STEFAN ZWEIG'!F13</f>
        <v/>
      </c>
      <c r="B1621" s="217">
        <f>'E M STEFAN ZWEIG'!C13</f>
        <v/>
      </c>
    </row>
    <row r="1622" ht="15" customHeight="1" s="107">
      <c r="A1622" s="216">
        <f>'E M STEFAN ZWEIG'!F14</f>
        <v/>
      </c>
      <c r="B1622" s="217">
        <f>'E M STEFAN ZWEIG'!C14</f>
        <v/>
      </c>
    </row>
    <row r="1623" ht="15" customHeight="1" s="107">
      <c r="A1623" s="216">
        <f>'E M STEFAN ZWEIG'!F15</f>
        <v/>
      </c>
      <c r="B1623" s="217">
        <f>'E M STEFAN ZWEIG'!C15</f>
        <v/>
      </c>
    </row>
    <row r="1624" ht="15" customHeight="1" s="107">
      <c r="A1624" s="216">
        <f>'E M STEFAN ZWEIG'!F16</f>
        <v/>
      </c>
      <c r="B1624" s="217">
        <f>'E M STEFAN ZWEIG'!C16</f>
        <v/>
      </c>
    </row>
    <row r="1625" ht="15" customHeight="1" s="107">
      <c r="A1625" s="216">
        <f>'E M STEFAN ZWEIG'!F17</f>
        <v/>
      </c>
      <c r="B1625" s="217">
        <f>'E M STEFAN ZWEIG'!C17</f>
        <v/>
      </c>
    </row>
    <row r="1626" ht="15" customHeight="1" s="107">
      <c r="A1626" s="216">
        <f>'E M STEFAN ZWEIG'!F18</f>
        <v/>
      </c>
      <c r="B1626" s="217">
        <f>'E M STEFAN ZWEIG'!C18</f>
        <v/>
      </c>
    </row>
    <row r="1627" ht="15" customHeight="1" s="107">
      <c r="A1627" s="216">
        <f>'E M STEFAN ZWEIG'!F19</f>
        <v/>
      </c>
      <c r="B1627" s="217">
        <f>'E M STEFAN ZWEIG'!C19</f>
        <v/>
      </c>
    </row>
    <row r="1628" ht="15" customHeight="1" s="107">
      <c r="A1628" s="216">
        <f>'E M STEFAN ZWEIG'!F20</f>
        <v/>
      </c>
      <c r="B1628" s="217">
        <f>'E M STEFAN ZWEIG'!C20</f>
        <v/>
      </c>
    </row>
    <row r="1629" ht="15" customHeight="1" s="107">
      <c r="A1629" s="216">
        <f>'E M STEFAN ZWEIG'!F21</f>
        <v/>
      </c>
      <c r="B1629" s="217">
        <f>'E M STEFAN ZWEIG'!C21</f>
        <v/>
      </c>
    </row>
    <row r="1630" ht="15" customHeight="1" s="107">
      <c r="A1630" s="216">
        <f>'E M STEFAN ZWEIG'!F22</f>
        <v/>
      </c>
      <c r="B1630" s="217">
        <f>'E M STEFAN ZWEIG'!C22</f>
        <v/>
      </c>
    </row>
    <row r="1631" ht="15" customHeight="1" s="107">
      <c r="A1631" s="216">
        <f>'E M STEFAN ZWEIG'!F23</f>
        <v/>
      </c>
      <c r="B1631" s="217">
        <f>'E M STEFAN ZWEIG'!C23</f>
        <v/>
      </c>
    </row>
    <row r="1632" ht="15" customHeight="1" s="107">
      <c r="A1632" s="216">
        <f>'E M STEFAN ZWEIG'!F24</f>
        <v/>
      </c>
      <c r="B1632" s="217">
        <f>'E M STEFAN ZWEIG'!C24</f>
        <v/>
      </c>
    </row>
    <row r="1633" ht="15" customHeight="1" s="107">
      <c r="A1633" s="216">
        <f>'E M STEFAN ZWEIG'!F25</f>
        <v/>
      </c>
      <c r="B1633" s="217">
        <f>'E M STEFAN ZWEIG'!C25</f>
        <v/>
      </c>
    </row>
    <row r="1634" ht="15" customHeight="1" s="107">
      <c r="A1634" s="216">
        <f>'E M STEFAN ZWEIG'!F26</f>
        <v/>
      </c>
      <c r="B1634" s="217">
        <f>'E M STEFAN ZWEIG'!C26</f>
        <v/>
      </c>
    </row>
    <row r="1635" ht="15" customHeight="1" s="107">
      <c r="A1635" s="216">
        <f>'E M STEFAN ZWEIG'!F27</f>
        <v/>
      </c>
      <c r="B1635" s="217">
        <f>'E M STEFAN ZWEIG'!C27</f>
        <v/>
      </c>
    </row>
    <row r="1636" ht="15" customHeight="1" s="107">
      <c r="A1636" s="216">
        <f>'ESCOLA PAROQUIAL BOM JESUS'!F9</f>
        <v/>
      </c>
      <c r="B1636" s="217">
        <f>'ESCOLA PAROQUIAL BOM JESUS'!C9</f>
        <v/>
      </c>
    </row>
    <row r="1637" ht="15" customHeight="1" s="107">
      <c r="A1637" s="216">
        <f>'ESCOLA PAROQUIAL BOM JESUS'!F10</f>
        <v/>
      </c>
      <c r="B1637" s="217">
        <f>'ESCOLA PAROQUIAL BOM JESUS'!C10</f>
        <v/>
      </c>
    </row>
    <row r="1638" ht="15" customHeight="1" s="107">
      <c r="A1638" s="216">
        <f>'ESCOLA PAROQUIAL BOM JESUS'!F11</f>
        <v/>
      </c>
      <c r="B1638" s="217">
        <f>'ESCOLA PAROQUIAL BOM JESUS'!C11</f>
        <v/>
      </c>
    </row>
    <row r="1639" ht="15" customHeight="1" s="107">
      <c r="A1639" s="216">
        <f>'ESCOLA PAROQUIAL BOM JESUS'!F12</f>
        <v/>
      </c>
      <c r="B1639" s="217">
        <f>'ESCOLA PAROQUIAL BOM JESUS'!C12</f>
        <v/>
      </c>
    </row>
    <row r="1640" ht="15" customHeight="1" s="107">
      <c r="A1640" s="216">
        <f>'ESCOLA PAROQUIAL BOM JESUS'!F13</f>
        <v/>
      </c>
      <c r="B1640" s="217">
        <f>'ESCOLA PAROQUIAL BOM JESUS'!C13</f>
        <v/>
      </c>
    </row>
    <row r="1641" ht="15" customHeight="1" s="107">
      <c r="A1641" s="216">
        <f>'ESCOLA PAROQUIAL BOM JESUS'!F14</f>
        <v/>
      </c>
      <c r="B1641" s="217">
        <f>'ESCOLA PAROQUIAL BOM JESUS'!C14</f>
        <v/>
      </c>
    </row>
    <row r="1642" ht="15" customHeight="1" s="107">
      <c r="A1642" s="216">
        <f>'ESCOLA PAROQUIAL BOM JESUS'!F15</f>
        <v/>
      </c>
      <c r="B1642" s="217">
        <f>'ESCOLA PAROQUIAL BOM JESUS'!C15</f>
        <v/>
      </c>
    </row>
    <row r="1643" ht="15" customHeight="1" s="107">
      <c r="A1643" s="216">
        <f>'ESCOLA PAROQUIAL BOM JESUS'!F16</f>
        <v/>
      </c>
      <c r="B1643" s="217">
        <f>'ESCOLA PAROQUIAL BOM JESUS'!C16</f>
        <v/>
      </c>
    </row>
    <row r="1644" ht="15" customHeight="1" s="107">
      <c r="A1644" s="216">
        <f>'ESCOLA PAROQUIAL BOM JESUS'!F17</f>
        <v/>
      </c>
      <c r="B1644" s="217">
        <f>'ESCOLA PAROQUIAL BOM JESUS'!C17</f>
        <v/>
      </c>
    </row>
    <row r="1645" ht="15" customHeight="1" s="107">
      <c r="A1645" s="216">
        <f>'ESCOLA PAROQUIAL BOM JESUS'!F18</f>
        <v/>
      </c>
      <c r="B1645" s="217">
        <f>'ESCOLA PAROQUIAL BOM JESUS'!C18</f>
        <v/>
      </c>
    </row>
    <row r="1646" ht="15" customHeight="1" s="107">
      <c r="A1646" s="216">
        <f>'ESCOLA PAROQUIAL BOM JESUS'!F19</f>
        <v/>
      </c>
      <c r="B1646" s="217">
        <f>'ESCOLA PAROQUIAL BOM JESUS'!C19</f>
        <v/>
      </c>
    </row>
    <row r="1647" ht="15" customHeight="1" s="107">
      <c r="A1647" s="216">
        <f>'ESCOLA PAROQUIAL BOM JESUS'!F20</f>
        <v/>
      </c>
      <c r="B1647" s="217">
        <f>'ESCOLA PAROQUIAL BOM JESUS'!C20</f>
        <v/>
      </c>
    </row>
    <row r="1648" ht="15" customHeight="1" s="107">
      <c r="A1648" s="216">
        <f>'ESCOLA PAROQUIAL BOM JESUS'!F21</f>
        <v/>
      </c>
      <c r="B1648" s="217">
        <f>'ESCOLA PAROQUIAL BOM JESUS'!C21</f>
        <v/>
      </c>
    </row>
    <row r="1649" ht="15" customHeight="1" s="107">
      <c r="A1649" s="216">
        <f>'ESCOLA PAROQUIAL BOM JESUS'!F22</f>
        <v/>
      </c>
      <c r="B1649" s="217">
        <f>'ESCOLA PAROQUIAL BOM JESUS'!C22</f>
        <v/>
      </c>
    </row>
    <row r="1650" ht="15" customHeight="1" s="107">
      <c r="A1650" s="216">
        <f>'ESCOLA PAROQUIAL BOM JESUS'!F23</f>
        <v/>
      </c>
      <c r="B1650" s="217">
        <f>'ESCOLA PAROQUIAL BOM JESUS'!C23</f>
        <v/>
      </c>
    </row>
    <row r="1651" ht="15" customHeight="1" s="107">
      <c r="A1651" s="216">
        <f>'ESCOLA PAROQUIAL BOM JESUS'!F24</f>
        <v/>
      </c>
      <c r="B1651" s="217">
        <f>'ESCOLA PAROQUIAL BOM JESUS'!C24</f>
        <v/>
      </c>
    </row>
    <row r="1652" ht="15" customHeight="1" s="107">
      <c r="A1652" s="216">
        <f>'ESCOLA PAROQUIAL BOM JESUS'!F25</f>
        <v/>
      </c>
      <c r="B1652" s="217">
        <f>'ESCOLA PAROQUIAL BOM JESUS'!C25</f>
        <v/>
      </c>
    </row>
    <row r="1653" ht="15" customHeight="1" s="107">
      <c r="A1653" s="216">
        <f>'ESCOLA PAROQUIAL BOM JESUS'!F26</f>
        <v/>
      </c>
      <c r="B1653" s="217">
        <f>'ESCOLA PAROQUIAL BOM JESUS'!C26</f>
        <v/>
      </c>
    </row>
    <row r="1654" ht="15" customHeight="1" s="107">
      <c r="A1654" s="216">
        <f>'ESCOLA PAROQUIAL BOM JESUS'!F27</f>
        <v/>
      </c>
      <c r="B1654" s="217">
        <f>'ESCOLA PAROQUIAL BOM JESUS'!C27</f>
        <v/>
      </c>
    </row>
    <row r="1655" ht="15" customHeight="1" s="107">
      <c r="A1655" s="216">
        <f>'CEI MARLI SOARES FERREIRA NETTO'!F9</f>
        <v/>
      </c>
      <c r="B1655" s="217">
        <f>'CEI MARLI SOARES FERREIRA NETTO'!C9</f>
        <v/>
      </c>
    </row>
    <row r="1656" ht="15" customHeight="1" s="107">
      <c r="A1656" s="216">
        <f>'CEI MARLI SOARES FERREIRA NETTO'!F10</f>
        <v/>
      </c>
      <c r="B1656" s="217">
        <f>'CEI MARLI SOARES FERREIRA NETTO'!C10</f>
        <v/>
      </c>
    </row>
    <row r="1657" ht="15" customHeight="1" s="107">
      <c r="A1657" s="216">
        <f>'CEI MARLI SOARES FERREIRA NETTO'!F11</f>
        <v/>
      </c>
      <c r="B1657" s="217">
        <f>'CEI MARLI SOARES FERREIRA NETTO'!C11</f>
        <v/>
      </c>
    </row>
    <row r="1658" ht="15" customHeight="1" s="107">
      <c r="A1658" s="216">
        <f>'CEI MARLI SOARES FERREIRA NETTO'!F12</f>
        <v/>
      </c>
      <c r="B1658" s="217">
        <f>'CEI MARLI SOARES FERREIRA NETTO'!C12</f>
        <v/>
      </c>
    </row>
    <row r="1659" ht="15" customHeight="1" s="107">
      <c r="A1659" s="216">
        <f>'CEI MARLI SOARES FERREIRA NETTO'!F13</f>
        <v/>
      </c>
      <c r="B1659" s="217">
        <f>'CEI MARLI SOARES FERREIRA NETTO'!C13</f>
        <v/>
      </c>
    </row>
    <row r="1660" ht="15" customHeight="1" s="107">
      <c r="A1660" s="216">
        <f>'CEI MARLI SOARES FERREIRA NETTO'!F14</f>
        <v/>
      </c>
      <c r="B1660" s="217">
        <f>'CEI MARLI SOARES FERREIRA NETTO'!C14</f>
        <v/>
      </c>
    </row>
    <row r="1661" ht="15" customHeight="1" s="107">
      <c r="A1661" s="216">
        <f>'CEI MARLI SOARES FERREIRA NETTO'!F15</f>
        <v/>
      </c>
      <c r="B1661" s="217">
        <f>'CEI MARLI SOARES FERREIRA NETTO'!C15</f>
        <v/>
      </c>
    </row>
    <row r="1662" ht="15" customHeight="1" s="107">
      <c r="A1662" s="216">
        <f>'CEI MARLI SOARES FERREIRA NETTO'!F16</f>
        <v/>
      </c>
      <c r="B1662" s="217">
        <f>'CEI MARLI SOARES FERREIRA NETTO'!C16</f>
        <v/>
      </c>
    </row>
    <row r="1663" ht="15" customHeight="1" s="107">
      <c r="A1663" s="216">
        <f>'CEI MARLI SOARES FERREIRA NETTO'!F17</f>
        <v/>
      </c>
      <c r="B1663" s="217">
        <f>'CEI MARLI SOARES FERREIRA NETTO'!C17</f>
        <v/>
      </c>
    </row>
    <row r="1664" ht="15" customHeight="1" s="107">
      <c r="A1664" s="216">
        <f>'CEI MARLI SOARES FERREIRA NETTO'!F18</f>
        <v/>
      </c>
      <c r="B1664" s="217">
        <f>'CEI MARLI SOARES FERREIRA NETTO'!C18</f>
        <v/>
      </c>
    </row>
    <row r="1665" ht="15" customHeight="1" s="107">
      <c r="A1665" s="216">
        <f>'CEI MARLI SOARES FERREIRA NETTO'!F19</f>
        <v/>
      </c>
      <c r="B1665" s="217">
        <f>'CEI MARLI SOARES FERREIRA NETTO'!C19</f>
        <v/>
      </c>
    </row>
    <row r="1666" ht="15" customHeight="1" s="107">
      <c r="A1666" s="216">
        <f>'CEI MARLI SOARES FERREIRA NETTO'!F20</f>
        <v/>
      </c>
      <c r="B1666" s="217">
        <f>'CEI MARLI SOARES FERREIRA NETTO'!C20</f>
        <v/>
      </c>
    </row>
    <row r="1667" ht="15" customHeight="1" s="107">
      <c r="A1667" s="216">
        <f>'CEI MARLI SOARES FERREIRA NETTO'!F21</f>
        <v/>
      </c>
      <c r="B1667" s="217">
        <f>'CEI MARLI SOARES FERREIRA NETTO'!C21</f>
        <v/>
      </c>
    </row>
    <row r="1668" ht="15" customHeight="1" s="107">
      <c r="A1668" s="216">
        <f>'CEI MARLI SOARES FERREIRA NETTO'!F22</f>
        <v/>
      </c>
      <c r="B1668" s="217">
        <f>'CEI MARLI SOARES FERREIRA NETTO'!C22</f>
        <v/>
      </c>
    </row>
    <row r="1669" ht="15" customHeight="1" s="107">
      <c r="A1669" s="216">
        <f>'CEI MARLI SOARES FERREIRA NETTO'!F23</f>
        <v/>
      </c>
      <c r="B1669" s="217">
        <f>'CEI MARLI SOARES FERREIRA NETTO'!C23</f>
        <v/>
      </c>
    </row>
    <row r="1670" ht="15" customHeight="1" s="107">
      <c r="A1670" s="216">
        <f>'CEI MARLI SOARES FERREIRA NETTO'!F24</f>
        <v/>
      </c>
      <c r="B1670" s="217">
        <f>'CEI MARLI SOARES FERREIRA NETTO'!C24</f>
        <v/>
      </c>
    </row>
    <row r="1671" ht="15" customHeight="1" s="107">
      <c r="A1671" s="216">
        <f>'CEI MARLI SOARES FERREIRA NETTO'!F25</f>
        <v/>
      </c>
      <c r="B1671" s="217">
        <f>'CEI MARLI SOARES FERREIRA NETTO'!C25</f>
        <v/>
      </c>
    </row>
    <row r="1672" ht="15" customHeight="1" s="107">
      <c r="A1672" s="216">
        <f>'CEI MARLI SOARES FERREIRA NETTO'!F26</f>
        <v/>
      </c>
      <c r="B1672" s="217">
        <f>'CEI MARLI SOARES FERREIRA NETTO'!C26</f>
        <v/>
      </c>
    </row>
    <row r="1673" ht="15" customHeight="1" s="107">
      <c r="A1673" s="216">
        <f>'CEI MARLI SOARES FERREIRA NETTO'!F27</f>
        <v/>
      </c>
      <c r="B1673" s="217">
        <f>'CEI MARLI SOARES FERREIRA NETTO'!C27</f>
        <v/>
      </c>
    </row>
    <row r="1674" ht="15" customHeight="1" s="107">
      <c r="A1674" s="216">
        <f>'CENTRO DE EDUCAÇÃO INFANTIL CHI'!F9</f>
        <v/>
      </c>
      <c r="B1674" s="217">
        <f>'CENTRO DE EDUCAÇÃO INFANTIL CHI'!C9</f>
        <v/>
      </c>
    </row>
    <row r="1675" ht="15" customHeight="1" s="107">
      <c r="A1675" s="216">
        <f>'CENTRO DE EDUCAÇÃO INFANTIL CHI'!F10</f>
        <v/>
      </c>
      <c r="B1675" s="217">
        <f>'CENTRO DE EDUCAÇÃO INFANTIL CHI'!C10</f>
        <v/>
      </c>
    </row>
    <row r="1676" ht="15" customHeight="1" s="107">
      <c r="A1676" s="216">
        <f>'CENTRO DE EDUCAÇÃO INFANTIL CHI'!F11</f>
        <v/>
      </c>
      <c r="B1676" s="217">
        <f>'CENTRO DE EDUCAÇÃO INFANTIL CHI'!C11</f>
        <v/>
      </c>
    </row>
    <row r="1677" ht="15" customHeight="1" s="107">
      <c r="A1677" s="216">
        <f>'CENTRO DE EDUCAÇÃO INFANTIL CHI'!F12</f>
        <v/>
      </c>
      <c r="B1677" s="217">
        <f>'CENTRO DE EDUCAÇÃO INFANTIL CHI'!C12</f>
        <v/>
      </c>
    </row>
    <row r="1678" ht="15" customHeight="1" s="107">
      <c r="A1678" s="216">
        <f>'CENTRO DE EDUCAÇÃO INFANTIL CHI'!F13</f>
        <v/>
      </c>
      <c r="B1678" s="217">
        <f>'CENTRO DE EDUCAÇÃO INFANTIL CHI'!C13</f>
        <v/>
      </c>
    </row>
    <row r="1679" ht="15" customHeight="1" s="107">
      <c r="A1679" s="216">
        <f>'CENTRO DE EDUCAÇÃO INFANTIL CHI'!F14</f>
        <v/>
      </c>
      <c r="B1679" s="217">
        <f>'CENTRO DE EDUCAÇÃO INFANTIL CHI'!C14</f>
        <v/>
      </c>
    </row>
    <row r="1680" ht="15" customHeight="1" s="107">
      <c r="A1680" s="216">
        <f>'CENTRO DE EDUCAÇÃO INFANTIL CHI'!F15</f>
        <v/>
      </c>
      <c r="B1680" s="217">
        <f>'CENTRO DE EDUCAÇÃO INFANTIL CHI'!C15</f>
        <v/>
      </c>
    </row>
    <row r="1681" ht="15" customHeight="1" s="107">
      <c r="A1681" s="216">
        <f>'CENTRO DE EDUCAÇÃO INFANTIL CHI'!F16</f>
        <v/>
      </c>
      <c r="B1681" s="217">
        <f>'CENTRO DE EDUCAÇÃO INFANTIL CHI'!C16</f>
        <v/>
      </c>
    </row>
    <row r="1682" ht="15" customHeight="1" s="107">
      <c r="A1682" s="216">
        <f>'CENTRO DE EDUCAÇÃO INFANTIL CHI'!F17</f>
        <v/>
      </c>
      <c r="B1682" s="217">
        <f>'CENTRO DE EDUCAÇÃO INFANTIL CHI'!C17</f>
        <v/>
      </c>
    </row>
    <row r="1683" ht="15" customHeight="1" s="107">
      <c r="A1683" s="216">
        <f>'CENTRO DE EDUCAÇÃO INFANTIL CHI'!F18</f>
        <v/>
      </c>
      <c r="B1683" s="217">
        <f>'CENTRO DE EDUCAÇÃO INFANTIL CHI'!C18</f>
        <v/>
      </c>
    </row>
    <row r="1684" ht="15" customHeight="1" s="107">
      <c r="A1684" s="216">
        <f>'CENTRO DE EDUCAÇÃO INFANTIL CHI'!F19</f>
        <v/>
      </c>
      <c r="B1684" s="217">
        <f>'CENTRO DE EDUCAÇÃO INFANTIL CHI'!C19</f>
        <v/>
      </c>
    </row>
    <row r="1685" ht="15" customHeight="1" s="107">
      <c r="A1685" s="216">
        <f>'CENTRO DE EDUCAÇÃO INFANTIL CHI'!F20</f>
        <v/>
      </c>
      <c r="B1685" s="217">
        <f>'CENTRO DE EDUCAÇÃO INFANTIL CHI'!C20</f>
        <v/>
      </c>
    </row>
    <row r="1686" ht="15" customHeight="1" s="107">
      <c r="A1686" s="216">
        <f>'CENTRO DE EDUCAÇÃO INFANTIL CHI'!F21</f>
        <v/>
      </c>
      <c r="B1686" s="217">
        <f>'CENTRO DE EDUCAÇÃO INFANTIL CHI'!C21</f>
        <v/>
      </c>
    </row>
    <row r="1687" ht="15" customHeight="1" s="107">
      <c r="A1687" s="216">
        <f>'CENTRO DE EDUCAÇÃO INFANTIL CHI'!F22</f>
        <v/>
      </c>
      <c r="B1687" s="217">
        <f>'CENTRO DE EDUCAÇÃO INFANTIL CHI'!C22</f>
        <v/>
      </c>
    </row>
    <row r="1688" ht="15" customHeight="1" s="107">
      <c r="A1688" s="216">
        <f>'CENTRO DE EDUCAÇÃO INFANTIL CHI'!F23</f>
        <v/>
      </c>
      <c r="B1688" s="217">
        <f>'CENTRO DE EDUCAÇÃO INFANTIL CHI'!C23</f>
        <v/>
      </c>
    </row>
    <row r="1689" ht="15" customHeight="1" s="107">
      <c r="A1689" s="216">
        <f>'CENTRO DE EDUCAÇÃO INFANTIL CHI'!F24</f>
        <v/>
      </c>
      <c r="B1689" s="217">
        <f>'CENTRO DE EDUCAÇÃO INFANTIL CHI'!C24</f>
        <v/>
      </c>
    </row>
    <row r="1690" ht="15" customHeight="1" s="107">
      <c r="A1690" s="216">
        <f>'CENTRO DE EDUCAÇÃO INFANTIL CHI'!F25</f>
        <v/>
      </c>
      <c r="B1690" s="217">
        <f>'CENTRO DE EDUCAÇÃO INFANTIL CHI'!C25</f>
        <v/>
      </c>
    </row>
    <row r="1691" ht="15" customHeight="1" s="107">
      <c r="A1691" s="216">
        <f>'CENTRO DE EDUCAÇÃO INFANTIL CHI'!F26</f>
        <v/>
      </c>
      <c r="B1691" s="217">
        <f>'CENTRO DE EDUCAÇÃO INFANTIL CHI'!C26</f>
        <v/>
      </c>
    </row>
    <row r="1692" ht="15" customHeight="1" s="107">
      <c r="A1692" s="216">
        <f>'CENTRO DE EDUCAÇÃO INFANTIL CHI'!F27</f>
        <v/>
      </c>
      <c r="B1692" s="217">
        <f>'CENTRO DE EDUCAÇÃO INFANTIL CHI'!C27</f>
        <v/>
      </c>
    </row>
    <row r="1693" ht="15" customHeight="1" s="107">
      <c r="A1693" s="216">
        <f>'CEI VILA IPANEMA'!F9</f>
        <v/>
      </c>
      <c r="B1693" s="217">
        <f>'CEI VILA IPANEMA'!C9</f>
        <v/>
      </c>
    </row>
    <row r="1694" ht="15" customHeight="1" s="107">
      <c r="A1694" s="216">
        <f>'CEI VILA IPANEMA'!F10</f>
        <v/>
      </c>
      <c r="B1694" s="217">
        <f>'CEI VILA IPANEMA'!C10</f>
        <v/>
      </c>
    </row>
    <row r="1695" ht="15" customHeight="1" s="107">
      <c r="A1695" s="216">
        <f>'CEI VILA IPANEMA'!F11</f>
        <v/>
      </c>
      <c r="B1695" s="217">
        <f>'CEI VILA IPANEMA'!C11</f>
        <v/>
      </c>
    </row>
    <row r="1696" ht="15" customHeight="1" s="107">
      <c r="A1696" s="216">
        <f>'CEI VILA IPANEMA'!F12</f>
        <v/>
      </c>
      <c r="B1696" s="217">
        <f>'CEI VILA IPANEMA'!C12</f>
        <v/>
      </c>
    </row>
    <row r="1697" ht="15" customHeight="1" s="107">
      <c r="A1697" s="216">
        <f>'CEI VILA IPANEMA'!F13</f>
        <v/>
      </c>
      <c r="B1697" s="217">
        <f>'CEI VILA IPANEMA'!C13</f>
        <v/>
      </c>
    </row>
    <row r="1698" ht="15" customHeight="1" s="107">
      <c r="A1698" s="216">
        <f>'CEI VILA IPANEMA'!F14</f>
        <v/>
      </c>
      <c r="B1698" s="217">
        <f>'CEI VILA IPANEMA'!C14</f>
        <v/>
      </c>
    </row>
    <row r="1699" ht="15" customHeight="1" s="107">
      <c r="A1699" s="216">
        <f>'CEI VILA IPANEMA'!F15</f>
        <v/>
      </c>
      <c r="B1699" s="217">
        <f>'CEI VILA IPANEMA'!C15</f>
        <v/>
      </c>
    </row>
    <row r="1700" ht="15" customHeight="1" s="107">
      <c r="A1700" s="216">
        <f>'CEI VILA IPANEMA'!F16</f>
        <v/>
      </c>
      <c r="B1700" s="217">
        <f>'CEI VILA IPANEMA'!C16</f>
        <v/>
      </c>
    </row>
    <row r="1701" ht="15" customHeight="1" s="107">
      <c r="A1701" s="216">
        <f>'CEI VILA IPANEMA'!F17</f>
        <v/>
      </c>
      <c r="B1701" s="217">
        <f>'CEI VILA IPANEMA'!C17</f>
        <v/>
      </c>
    </row>
    <row r="1702" ht="15" customHeight="1" s="107">
      <c r="A1702" s="216">
        <f>'CEI VILA IPANEMA'!F18</f>
        <v/>
      </c>
      <c r="B1702" s="217">
        <f>'CEI VILA IPANEMA'!C18</f>
        <v/>
      </c>
    </row>
    <row r="1703" ht="15" customHeight="1" s="107">
      <c r="A1703" s="216">
        <f>'CEI VILA IPANEMA'!F19</f>
        <v/>
      </c>
      <c r="B1703" s="217">
        <f>'CEI VILA IPANEMA'!C19</f>
        <v/>
      </c>
    </row>
    <row r="1704" ht="15" customHeight="1" s="107">
      <c r="A1704" s="216">
        <f>'CEI VILA IPANEMA'!F20</f>
        <v/>
      </c>
      <c r="B1704" s="217">
        <f>'CEI VILA IPANEMA'!C20</f>
        <v/>
      </c>
    </row>
    <row r="1705" ht="15" customHeight="1" s="107">
      <c r="A1705" s="216">
        <f>'CEI VILA IPANEMA'!F21</f>
        <v/>
      </c>
      <c r="B1705" s="217">
        <f>'CEI VILA IPANEMA'!C21</f>
        <v/>
      </c>
    </row>
    <row r="1706" ht="15" customHeight="1" s="107">
      <c r="A1706" s="216">
        <f>'CEI VILA IPANEMA'!F22</f>
        <v/>
      </c>
      <c r="B1706" s="217">
        <f>'CEI VILA IPANEMA'!C22</f>
        <v/>
      </c>
    </row>
    <row r="1707" ht="15" customHeight="1" s="107">
      <c r="A1707" s="216">
        <f>'CEI VILA IPANEMA'!F23</f>
        <v/>
      </c>
      <c r="B1707" s="217">
        <f>'CEI VILA IPANEMA'!C23</f>
        <v/>
      </c>
    </row>
    <row r="1708" ht="15" customHeight="1" s="107">
      <c r="A1708" s="216">
        <f>'CEI VILA IPANEMA'!F24</f>
        <v/>
      </c>
      <c r="B1708" s="217">
        <f>'CEI VILA IPANEMA'!C24</f>
        <v/>
      </c>
    </row>
    <row r="1709" ht="15" customHeight="1" s="107">
      <c r="A1709" s="216">
        <f>'CEI VILA IPANEMA'!F25</f>
        <v/>
      </c>
      <c r="B1709" s="217">
        <f>'CEI VILA IPANEMA'!C25</f>
        <v/>
      </c>
    </row>
    <row r="1710" ht="15" customHeight="1" s="107">
      <c r="A1710" s="216">
        <f>'CEI VILA IPANEMA'!F26</f>
        <v/>
      </c>
      <c r="B1710" s="217">
        <f>'CEI VILA IPANEMA'!C26</f>
        <v/>
      </c>
    </row>
    <row r="1711" ht="15" customHeight="1" s="107">
      <c r="A1711" s="216">
        <f>'CEI VILA IPANEMA'!F27</f>
        <v/>
      </c>
      <c r="B1711" s="217">
        <f>'CEI VILA IPANEMA'!C27</f>
        <v/>
      </c>
    </row>
    <row r="1712" ht="15" customHeight="1" s="107">
      <c r="A1712" s="216">
        <f>'E M ROBERT KENNEDY'!F9</f>
        <v/>
      </c>
      <c r="B1712" s="217">
        <f>'E M ROBERT KENNEDY'!C9</f>
        <v/>
      </c>
    </row>
    <row r="1713" ht="15" customHeight="1" s="107">
      <c r="A1713" s="216">
        <f>'E M ROBERT KENNEDY'!F10</f>
        <v/>
      </c>
      <c r="B1713" s="217">
        <f>'E M ROBERT KENNEDY'!C10</f>
        <v/>
      </c>
    </row>
    <row r="1714" ht="15" customHeight="1" s="107">
      <c r="A1714" s="216">
        <f>'E M ROBERT KENNEDY'!F11</f>
        <v/>
      </c>
      <c r="B1714" s="217">
        <f>'E M ROBERT KENNEDY'!C11</f>
        <v/>
      </c>
    </row>
    <row r="1715" ht="15" customHeight="1" s="107">
      <c r="A1715" s="216">
        <f>'E M ROBERT KENNEDY'!F12</f>
        <v/>
      </c>
      <c r="B1715" s="217">
        <f>'E M ROBERT KENNEDY'!C12</f>
        <v/>
      </c>
    </row>
    <row r="1716" ht="15" customHeight="1" s="107">
      <c r="A1716" s="216">
        <f>'E M ROBERT KENNEDY'!F13</f>
        <v/>
      </c>
      <c r="B1716" s="217">
        <f>'E M ROBERT KENNEDY'!C13</f>
        <v/>
      </c>
    </row>
    <row r="1717" ht="15" customHeight="1" s="107">
      <c r="A1717" s="216">
        <f>'E M ROBERT KENNEDY'!F14</f>
        <v/>
      </c>
      <c r="B1717" s="217">
        <f>'E M ROBERT KENNEDY'!C14</f>
        <v/>
      </c>
    </row>
    <row r="1718" ht="15" customHeight="1" s="107">
      <c r="A1718" s="216">
        <f>'E M ROBERT KENNEDY'!F15</f>
        <v/>
      </c>
      <c r="B1718" s="217">
        <f>'E M ROBERT KENNEDY'!C15</f>
        <v/>
      </c>
    </row>
    <row r="1719" ht="15" customHeight="1" s="107">
      <c r="A1719" s="216">
        <f>'E M ROBERT KENNEDY'!F16</f>
        <v/>
      </c>
      <c r="B1719" s="217">
        <f>'E M ROBERT KENNEDY'!C16</f>
        <v/>
      </c>
    </row>
    <row r="1720" ht="15" customHeight="1" s="107">
      <c r="A1720" s="216">
        <f>'E M ROBERT KENNEDY'!F17</f>
        <v/>
      </c>
      <c r="B1720" s="217">
        <f>'E M ROBERT KENNEDY'!C17</f>
        <v/>
      </c>
    </row>
    <row r="1721" ht="15" customHeight="1" s="107">
      <c r="A1721" s="216">
        <f>'E M ROBERT KENNEDY'!F18</f>
        <v/>
      </c>
      <c r="B1721" s="217">
        <f>'E M ROBERT KENNEDY'!C18</f>
        <v/>
      </c>
    </row>
    <row r="1722" ht="15" customHeight="1" s="107">
      <c r="A1722" s="216">
        <f>'E M ROBERT KENNEDY'!F19</f>
        <v/>
      </c>
      <c r="B1722" s="217">
        <f>'E M ROBERT KENNEDY'!C19</f>
        <v/>
      </c>
    </row>
    <row r="1723" ht="15" customHeight="1" s="107">
      <c r="A1723" s="216">
        <f>'E M ROBERT KENNEDY'!F20</f>
        <v/>
      </c>
      <c r="B1723" s="217">
        <f>'E M ROBERT KENNEDY'!C20</f>
        <v/>
      </c>
    </row>
    <row r="1724" ht="15" customHeight="1" s="107">
      <c r="A1724" s="216">
        <f>'E M ROBERT KENNEDY'!F21</f>
        <v/>
      </c>
      <c r="B1724" s="217">
        <f>'E M ROBERT KENNEDY'!C21</f>
        <v/>
      </c>
    </row>
    <row r="1725" ht="15" customHeight="1" s="107">
      <c r="A1725" s="216">
        <f>'E M ROBERT KENNEDY'!F22</f>
        <v/>
      </c>
      <c r="B1725" s="217">
        <f>'E M ROBERT KENNEDY'!C22</f>
        <v/>
      </c>
    </row>
    <row r="1726" ht="15" customHeight="1" s="107">
      <c r="A1726" s="216">
        <f>'E M ROBERT KENNEDY'!F23</f>
        <v/>
      </c>
      <c r="B1726" s="217">
        <f>'E M ROBERT KENNEDY'!C23</f>
        <v/>
      </c>
    </row>
    <row r="1727" ht="15" customHeight="1" s="107">
      <c r="A1727" s="216">
        <f>'E M ROBERT KENNEDY'!F24</f>
        <v/>
      </c>
      <c r="B1727" s="217">
        <f>'E M ROBERT KENNEDY'!C24</f>
        <v/>
      </c>
    </row>
    <row r="1728" ht="15" customHeight="1" s="107">
      <c r="A1728" s="216">
        <f>'E M ROBERT KENNEDY'!F25</f>
        <v/>
      </c>
      <c r="B1728" s="217">
        <f>'E M ROBERT KENNEDY'!C25</f>
        <v/>
      </c>
    </row>
    <row r="1729" ht="15" customHeight="1" s="107">
      <c r="A1729" s="216">
        <f>'E M ROBERT KENNEDY'!F26</f>
        <v/>
      </c>
      <c r="B1729" s="217">
        <f>'E M ROBERT KENNEDY'!C26</f>
        <v/>
      </c>
    </row>
    <row r="1730" ht="15" customHeight="1" s="107">
      <c r="A1730" s="216">
        <f>'E M ROBERT KENNEDY'!F27</f>
        <v/>
      </c>
      <c r="B1730" s="217">
        <f>'E M ROBERT KENNEDY'!C27</f>
        <v/>
      </c>
    </row>
    <row r="1731" ht="15" customHeight="1" s="107">
      <c r="A1731" s="216">
        <f>'ESCOLA MUNICIPAL ANA MOHAMMAD'!F9</f>
        <v/>
      </c>
      <c r="B1731" s="217">
        <f>'ESCOLA MUNICIPAL ANA MOHAMMAD'!C9</f>
        <v/>
      </c>
    </row>
    <row r="1732" ht="15" customHeight="1" s="107">
      <c r="A1732" s="216">
        <f>'ESCOLA MUNICIPAL ANA MOHAMMAD'!F10</f>
        <v/>
      </c>
      <c r="B1732" s="217">
        <f>'ESCOLA MUNICIPAL ANA MOHAMMAD'!C10</f>
        <v/>
      </c>
    </row>
    <row r="1733" ht="15" customHeight="1" s="107">
      <c r="A1733" s="216">
        <f>'ESCOLA MUNICIPAL ANA MOHAMMAD'!F11</f>
        <v/>
      </c>
      <c r="B1733" s="217">
        <f>'ESCOLA MUNICIPAL ANA MOHAMMAD'!C11</f>
        <v/>
      </c>
    </row>
    <row r="1734" ht="15" customHeight="1" s="107">
      <c r="A1734" s="216">
        <f>'ESCOLA MUNICIPAL ANA MOHAMMAD'!F12</f>
        <v/>
      </c>
      <c r="B1734" s="217">
        <f>'ESCOLA MUNICIPAL ANA MOHAMMAD'!C12</f>
        <v/>
      </c>
    </row>
    <row r="1735" ht="15" customHeight="1" s="107">
      <c r="A1735" s="216">
        <f>'ESCOLA MUNICIPAL ANA MOHAMMAD'!F13</f>
        <v/>
      </c>
      <c r="B1735" s="217">
        <f>'ESCOLA MUNICIPAL ANA MOHAMMAD'!C13</f>
        <v/>
      </c>
    </row>
    <row r="1736" ht="15" customHeight="1" s="107">
      <c r="A1736" s="216">
        <f>'ESCOLA MUNICIPAL ANA MOHAMMAD'!F14</f>
        <v/>
      </c>
      <c r="B1736" s="217">
        <f>'ESCOLA MUNICIPAL ANA MOHAMMAD'!C14</f>
        <v/>
      </c>
    </row>
    <row r="1737" ht="15" customHeight="1" s="107">
      <c r="A1737" s="216">
        <f>'ESCOLA MUNICIPAL ANA MOHAMMAD'!F15</f>
        <v/>
      </c>
      <c r="B1737" s="217">
        <f>'ESCOLA MUNICIPAL ANA MOHAMMAD'!C15</f>
        <v/>
      </c>
    </row>
    <row r="1738" ht="15" customHeight="1" s="107">
      <c r="A1738" s="216">
        <f>'ESCOLA MUNICIPAL ANA MOHAMMAD'!F16</f>
        <v/>
      </c>
      <c r="B1738" s="217">
        <f>'ESCOLA MUNICIPAL ANA MOHAMMAD'!C16</f>
        <v/>
      </c>
    </row>
    <row r="1739" ht="15" customHeight="1" s="107">
      <c r="A1739" s="216">
        <f>'ESCOLA MUNICIPAL ANA MOHAMMAD'!F17</f>
        <v/>
      </c>
      <c r="B1739" s="217">
        <f>'ESCOLA MUNICIPAL ANA MOHAMMAD'!C17</f>
        <v/>
      </c>
    </row>
    <row r="1740" ht="15" customHeight="1" s="107">
      <c r="A1740" s="216">
        <f>'ESCOLA MUNICIPAL ANA MOHAMMAD'!F18</f>
        <v/>
      </c>
      <c r="B1740" s="217">
        <f>'ESCOLA MUNICIPAL ANA MOHAMMAD'!C18</f>
        <v/>
      </c>
    </row>
    <row r="1741" ht="15" customHeight="1" s="107">
      <c r="A1741" s="216">
        <f>'ESCOLA MUNICIPAL ANA MOHAMMAD'!F19</f>
        <v/>
      </c>
      <c r="B1741" s="217">
        <f>'ESCOLA MUNICIPAL ANA MOHAMMAD'!C19</f>
        <v/>
      </c>
    </row>
    <row r="1742" ht="15" customHeight="1" s="107">
      <c r="A1742" s="216">
        <f>'ESCOLA MUNICIPAL ANA MOHAMMAD'!F20</f>
        <v/>
      </c>
      <c r="B1742" s="217">
        <f>'ESCOLA MUNICIPAL ANA MOHAMMAD'!C20</f>
        <v/>
      </c>
    </row>
    <row r="1743" ht="15" customHeight="1" s="107">
      <c r="A1743" s="216">
        <f>'ESCOLA MUNICIPAL ANA MOHAMMAD'!F21</f>
        <v/>
      </c>
      <c r="B1743" s="217">
        <f>'ESCOLA MUNICIPAL ANA MOHAMMAD'!C21</f>
        <v/>
      </c>
    </row>
    <row r="1744" ht="15" customHeight="1" s="107">
      <c r="A1744" s="216">
        <f>'ESCOLA MUNICIPAL ANA MOHAMMAD'!F22</f>
        <v/>
      </c>
      <c r="B1744" s="217">
        <f>'ESCOLA MUNICIPAL ANA MOHAMMAD'!C22</f>
        <v/>
      </c>
    </row>
    <row r="1745" ht="15" customHeight="1" s="107">
      <c r="A1745" s="216">
        <f>'ESCOLA MUNICIPAL ANA MOHAMMAD'!F23</f>
        <v/>
      </c>
      <c r="B1745" s="217">
        <f>'ESCOLA MUNICIPAL ANA MOHAMMAD'!C23</f>
        <v/>
      </c>
    </row>
    <row r="1746" ht="15" customHeight="1" s="107">
      <c r="A1746" s="216">
        <f>'ESCOLA MUNICIPAL ANA MOHAMMAD'!F24</f>
        <v/>
      </c>
      <c r="B1746" s="217">
        <f>'ESCOLA MUNICIPAL ANA MOHAMMAD'!C24</f>
        <v/>
      </c>
    </row>
    <row r="1747" ht="15" customHeight="1" s="107">
      <c r="A1747" s="216">
        <f>'ESCOLA MUNICIPAL ANA MOHAMMAD'!F25</f>
        <v/>
      </c>
      <c r="B1747" s="217">
        <f>'ESCOLA MUNICIPAL ANA MOHAMMAD'!C25</f>
        <v/>
      </c>
    </row>
    <row r="1748" ht="15" customHeight="1" s="107">
      <c r="A1748" s="216">
        <f>'ESCOLA MUNICIPAL ANA MOHAMMAD'!F26</f>
        <v/>
      </c>
      <c r="B1748" s="217">
        <f>'ESCOLA MUNICIPAL ANA MOHAMMAD'!C26</f>
        <v/>
      </c>
    </row>
    <row r="1749" ht="15" customHeight="1" s="107">
      <c r="A1749" s="216">
        <f>'ESCOLA MUNICIPAL ANA MOHAMMAD'!F27</f>
        <v/>
      </c>
      <c r="B1749" s="217">
        <f>'ESCOLA MUNICIPAL ANA MOHAMMAD'!C27</f>
        <v/>
      </c>
    </row>
    <row r="1750" ht="15" customHeight="1" s="107">
      <c r="A1750" s="216">
        <f>'ESCOLA SÃO CRISTÓVÃO'!F9</f>
        <v/>
      </c>
      <c r="B1750" s="217">
        <f>'ESCOLA SÃO CRISTÓVÃO'!C9</f>
        <v/>
      </c>
    </row>
    <row r="1751" ht="15" customHeight="1" s="107">
      <c r="A1751" s="216">
        <f>'ESCOLA SÃO CRISTÓVÃO'!F10</f>
        <v/>
      </c>
      <c r="B1751" s="217">
        <f>'ESCOLA SÃO CRISTÓVÃO'!C10</f>
        <v/>
      </c>
    </row>
    <row r="1752" ht="15" customHeight="1" s="107">
      <c r="A1752" s="216">
        <f>'ESCOLA SÃO CRISTÓVÃO'!F11</f>
        <v/>
      </c>
      <c r="B1752" s="217">
        <f>'ESCOLA SÃO CRISTÓVÃO'!C11</f>
        <v/>
      </c>
    </row>
    <row r="1753" ht="15" customHeight="1" s="107">
      <c r="A1753" s="216">
        <f>'ESCOLA SÃO CRISTÓVÃO'!F12</f>
        <v/>
      </c>
      <c r="B1753" s="217">
        <f>'ESCOLA SÃO CRISTÓVÃO'!C12</f>
        <v/>
      </c>
    </row>
    <row r="1754" ht="15" customHeight="1" s="107">
      <c r="A1754" s="216">
        <f>'ESCOLA SÃO CRISTÓVÃO'!F13</f>
        <v/>
      </c>
      <c r="B1754" s="217">
        <f>'ESCOLA SÃO CRISTÓVÃO'!C13</f>
        <v/>
      </c>
    </row>
    <row r="1755" ht="15" customHeight="1" s="107">
      <c r="A1755" s="216">
        <f>'ESCOLA SÃO CRISTÓVÃO'!F14</f>
        <v/>
      </c>
      <c r="B1755" s="217">
        <f>'ESCOLA SÃO CRISTÓVÃO'!C14</f>
        <v/>
      </c>
    </row>
    <row r="1756" ht="15" customHeight="1" s="107">
      <c r="A1756" s="216">
        <f>'ESCOLA SÃO CRISTÓVÃO'!F15</f>
        <v/>
      </c>
      <c r="B1756" s="217">
        <f>'ESCOLA SÃO CRISTÓVÃO'!C15</f>
        <v/>
      </c>
    </row>
    <row r="1757" ht="15" customHeight="1" s="107">
      <c r="A1757" s="216">
        <f>'ESCOLA SÃO CRISTÓVÃO'!F16</f>
        <v/>
      </c>
      <c r="B1757" s="217">
        <f>'ESCOLA SÃO CRISTÓVÃO'!C16</f>
        <v/>
      </c>
    </row>
    <row r="1758" ht="15" customHeight="1" s="107">
      <c r="A1758" s="216">
        <f>'ESCOLA SÃO CRISTÓVÃO'!F17</f>
        <v/>
      </c>
      <c r="B1758" s="217">
        <f>'ESCOLA SÃO CRISTÓVÃO'!C17</f>
        <v/>
      </c>
    </row>
    <row r="1759" ht="15" customHeight="1" s="107">
      <c r="A1759" s="216">
        <f>'ESCOLA SÃO CRISTÓVÃO'!F18</f>
        <v/>
      </c>
      <c r="B1759" s="217">
        <f>'ESCOLA SÃO CRISTÓVÃO'!C18</f>
        <v/>
      </c>
    </row>
    <row r="1760" ht="15" customHeight="1" s="107">
      <c r="A1760" s="216">
        <f>'ESCOLA SÃO CRISTÓVÃO'!F19</f>
        <v/>
      </c>
      <c r="B1760" s="217">
        <f>'ESCOLA SÃO CRISTÓVÃO'!C19</f>
        <v/>
      </c>
    </row>
    <row r="1761" ht="15" customHeight="1" s="107">
      <c r="A1761" s="216">
        <f>'ESCOLA SÃO CRISTÓVÃO'!F20</f>
        <v/>
      </c>
      <c r="B1761" s="217">
        <f>'ESCOLA SÃO CRISTÓVÃO'!C20</f>
        <v/>
      </c>
    </row>
    <row r="1762" ht="15" customHeight="1" s="107">
      <c r="A1762" s="216">
        <f>'ESCOLA SÃO CRISTÓVÃO'!F21</f>
        <v/>
      </c>
      <c r="B1762" s="217">
        <f>'ESCOLA SÃO CRISTÓVÃO'!C21</f>
        <v/>
      </c>
    </row>
    <row r="1763" ht="15" customHeight="1" s="107">
      <c r="A1763" s="216">
        <f>'ESCOLA SÃO CRISTÓVÃO'!F22</f>
        <v/>
      </c>
      <c r="B1763" s="217">
        <f>'ESCOLA SÃO CRISTÓVÃO'!C22</f>
        <v/>
      </c>
    </row>
    <row r="1764" ht="15" customHeight="1" s="107">
      <c r="A1764" s="216">
        <f>'ESCOLA SÃO CRISTÓVÃO'!F23</f>
        <v/>
      </c>
      <c r="B1764" s="217">
        <f>'ESCOLA SÃO CRISTÓVÃO'!C23</f>
        <v/>
      </c>
    </row>
    <row r="1765" ht="15" customHeight="1" s="107">
      <c r="A1765" s="216">
        <f>'ESCOLA SÃO CRISTÓVÃO'!F24</f>
        <v/>
      </c>
      <c r="B1765" s="217">
        <f>'ESCOLA SÃO CRISTÓVÃO'!C24</f>
        <v/>
      </c>
    </row>
    <row r="1766" ht="15" customHeight="1" s="107">
      <c r="A1766" s="216">
        <f>'ESCOLA SÃO CRISTÓVÃO'!F25</f>
        <v/>
      </c>
      <c r="B1766" s="217">
        <f>'ESCOLA SÃO CRISTÓVÃO'!C25</f>
        <v/>
      </c>
    </row>
    <row r="1767" ht="15" customHeight="1" s="107">
      <c r="A1767" s="216">
        <f>'ESCOLA SÃO CRISTÓVÃO'!F26</f>
        <v/>
      </c>
      <c r="B1767" s="217">
        <f>'ESCOLA SÃO CRISTÓVÃO'!C26</f>
        <v/>
      </c>
    </row>
    <row r="1768" ht="15" customHeight="1" s="107">
      <c r="A1768" s="216">
        <f>'ESCOLA SÃO CRISTÓVÃO'!F27</f>
        <v/>
      </c>
      <c r="B1768" s="217">
        <f>'ESCOLA SÃO CRISTÓVÃO'!C27</f>
        <v/>
      </c>
    </row>
    <row r="1769" ht="15" customHeight="1" s="107">
      <c r="A1769" s="216">
        <f>'CEI DÉA LÚCIA CORDEIRO'!F9</f>
        <v/>
      </c>
      <c r="B1769" s="217">
        <f>'CEI DÉA LÚCIA CORDEIRO'!C9</f>
        <v/>
      </c>
    </row>
    <row r="1770" ht="15" customHeight="1" s="107">
      <c r="A1770" s="216">
        <f>'CEI DÉA LÚCIA CORDEIRO'!F10</f>
        <v/>
      </c>
      <c r="B1770" s="217">
        <f>'CEI DÉA LÚCIA CORDEIRO'!C10</f>
        <v/>
      </c>
    </row>
    <row r="1771" ht="15" customHeight="1" s="107">
      <c r="A1771" s="216">
        <f>'CEI DÉA LÚCIA CORDEIRO'!F11</f>
        <v/>
      </c>
      <c r="B1771" s="217">
        <f>'CEI DÉA LÚCIA CORDEIRO'!C11</f>
        <v/>
      </c>
    </row>
    <row r="1772" ht="15" customHeight="1" s="107">
      <c r="A1772" s="216">
        <f>'CEI DÉA LÚCIA CORDEIRO'!F12</f>
        <v/>
      </c>
      <c r="B1772" s="217">
        <f>'CEI DÉA LÚCIA CORDEIRO'!C12</f>
        <v/>
      </c>
    </row>
    <row r="1773" ht="15" customHeight="1" s="107">
      <c r="A1773" s="216">
        <f>'CEI DÉA LÚCIA CORDEIRO'!F13</f>
        <v/>
      </c>
      <c r="B1773" s="217">
        <f>'CEI DÉA LÚCIA CORDEIRO'!C13</f>
        <v/>
      </c>
    </row>
    <row r="1774" ht="15" customHeight="1" s="107">
      <c r="A1774" s="216">
        <f>'CEI DÉA LÚCIA CORDEIRO'!F14</f>
        <v/>
      </c>
      <c r="B1774" s="217">
        <f>'CEI DÉA LÚCIA CORDEIRO'!C14</f>
        <v/>
      </c>
    </row>
    <row r="1775" ht="15" customHeight="1" s="107">
      <c r="A1775" s="216">
        <f>'CEI DÉA LÚCIA CORDEIRO'!F15</f>
        <v/>
      </c>
      <c r="B1775" s="217">
        <f>'CEI DÉA LÚCIA CORDEIRO'!C15</f>
        <v/>
      </c>
    </row>
    <row r="1776" ht="15" customHeight="1" s="107">
      <c r="A1776" s="216">
        <f>'CEI DÉA LÚCIA CORDEIRO'!F16</f>
        <v/>
      </c>
      <c r="B1776" s="217">
        <f>'CEI DÉA LÚCIA CORDEIRO'!C16</f>
        <v/>
      </c>
    </row>
    <row r="1777" ht="15" customHeight="1" s="107">
      <c r="A1777" s="216">
        <f>'CEI DÉA LÚCIA CORDEIRO'!F17</f>
        <v/>
      </c>
      <c r="B1777" s="217">
        <f>'CEI DÉA LÚCIA CORDEIRO'!C17</f>
        <v/>
      </c>
    </row>
    <row r="1778" ht="15" customHeight="1" s="107">
      <c r="A1778" s="216">
        <f>'CEI DÉA LÚCIA CORDEIRO'!F18</f>
        <v/>
      </c>
      <c r="B1778" s="217">
        <f>'CEI DÉA LÚCIA CORDEIRO'!C18</f>
        <v/>
      </c>
    </row>
    <row r="1779" ht="15" customHeight="1" s="107">
      <c r="A1779" s="216">
        <f>'CEI DÉA LÚCIA CORDEIRO'!F19</f>
        <v/>
      </c>
      <c r="B1779" s="217">
        <f>'CEI DÉA LÚCIA CORDEIRO'!C19</f>
        <v/>
      </c>
    </row>
    <row r="1780" ht="15" customHeight="1" s="107">
      <c r="A1780" s="216">
        <f>'CEI DÉA LÚCIA CORDEIRO'!F20</f>
        <v/>
      </c>
      <c r="B1780" s="217">
        <f>'CEI DÉA LÚCIA CORDEIRO'!C20</f>
        <v/>
      </c>
    </row>
    <row r="1781" ht="15" customHeight="1" s="107">
      <c r="A1781" s="216">
        <f>'CEI DÉA LÚCIA CORDEIRO'!F21</f>
        <v/>
      </c>
      <c r="B1781" s="217">
        <f>'CEI DÉA LÚCIA CORDEIRO'!C21</f>
        <v/>
      </c>
    </row>
    <row r="1782" ht="15" customHeight="1" s="107">
      <c r="A1782" s="216">
        <f>'CEI DÉA LÚCIA CORDEIRO'!F22</f>
        <v/>
      </c>
      <c r="B1782" s="217">
        <f>'CEI DÉA LÚCIA CORDEIRO'!C22</f>
        <v/>
      </c>
    </row>
    <row r="1783" ht="15" customHeight="1" s="107">
      <c r="A1783" s="216">
        <f>'CEI DÉA LÚCIA CORDEIRO'!F23</f>
        <v/>
      </c>
      <c r="B1783" s="217">
        <f>'CEI DÉA LÚCIA CORDEIRO'!C23</f>
        <v/>
      </c>
    </row>
    <row r="1784" ht="15" customHeight="1" s="107">
      <c r="A1784" s="216">
        <f>'CEI DÉA LÚCIA CORDEIRO'!F24</f>
        <v/>
      </c>
      <c r="B1784" s="217">
        <f>'CEI DÉA LÚCIA CORDEIRO'!C24</f>
        <v/>
      </c>
    </row>
    <row r="1785" ht="15" customHeight="1" s="107">
      <c r="A1785" s="216">
        <f>'CEI DÉA LÚCIA CORDEIRO'!F25</f>
        <v/>
      </c>
      <c r="B1785" s="217">
        <f>'CEI DÉA LÚCIA CORDEIRO'!C25</f>
        <v/>
      </c>
    </row>
    <row r="1786" ht="15" customHeight="1" s="107">
      <c r="A1786" s="216">
        <f>'CEI DÉA LÚCIA CORDEIRO'!F26</f>
        <v/>
      </c>
      <c r="B1786" s="217">
        <f>'CEI DÉA LÚCIA CORDEIRO'!C26</f>
        <v/>
      </c>
    </row>
    <row r="1787" ht="15" customHeight="1" s="107">
      <c r="A1787" s="216">
        <f>'CEI DÉA LÚCIA CORDEIRO'!F27</f>
        <v/>
      </c>
      <c r="B1787" s="217">
        <f>'CEI DÉA LÚCIA CORDEIRO'!C27</f>
        <v/>
      </c>
    </row>
    <row r="1788" ht="15" customHeight="1" s="107">
      <c r="A1788" s="216">
        <f>'CEI SAGRADA FAMÍLIA'!F9</f>
        <v/>
      </c>
      <c r="B1788" s="217">
        <f>'CEI SAGRADA FAMÍLIA'!C9</f>
        <v/>
      </c>
    </row>
    <row r="1789" ht="15" customHeight="1" s="107">
      <c r="A1789" s="216">
        <f>'CEI SAGRADA FAMÍLIA'!F10</f>
        <v/>
      </c>
      <c r="B1789" s="217">
        <f>'CEI SAGRADA FAMÍLIA'!C10</f>
        <v/>
      </c>
    </row>
    <row r="1790" ht="15" customHeight="1" s="107">
      <c r="A1790" s="216">
        <f>'CEI SAGRADA FAMÍLIA'!F11</f>
        <v/>
      </c>
      <c r="B1790" s="217">
        <f>'CEI SAGRADA FAMÍLIA'!C11</f>
        <v/>
      </c>
    </row>
    <row r="1791" ht="15" customHeight="1" s="107">
      <c r="A1791" s="216">
        <f>'CEI SAGRADA FAMÍLIA'!F12</f>
        <v/>
      </c>
      <c r="B1791" s="217">
        <f>'CEI SAGRADA FAMÍLIA'!C12</f>
        <v/>
      </c>
    </row>
    <row r="1792" ht="15" customHeight="1" s="107">
      <c r="A1792" s="216">
        <f>'CEI SAGRADA FAMÍLIA'!F13</f>
        <v/>
      </c>
      <c r="B1792" s="217">
        <f>'CEI SAGRADA FAMÍLIA'!C13</f>
        <v/>
      </c>
    </row>
    <row r="1793" ht="15" customHeight="1" s="107">
      <c r="A1793" s="216">
        <f>'CEI SAGRADA FAMÍLIA'!F14</f>
        <v/>
      </c>
      <c r="B1793" s="217">
        <f>'CEI SAGRADA FAMÍLIA'!C14</f>
        <v/>
      </c>
    </row>
    <row r="1794" ht="15" customHeight="1" s="107">
      <c r="A1794" s="216">
        <f>'CEI SAGRADA FAMÍLIA'!F15</f>
        <v/>
      </c>
      <c r="B1794" s="217">
        <f>'CEI SAGRADA FAMÍLIA'!C15</f>
        <v/>
      </c>
    </row>
    <row r="1795" ht="15" customHeight="1" s="107">
      <c r="A1795" s="216">
        <f>'CEI SAGRADA FAMÍLIA'!F16</f>
        <v/>
      </c>
      <c r="B1795" s="217">
        <f>'CEI SAGRADA FAMÍLIA'!C16</f>
        <v/>
      </c>
    </row>
    <row r="1796" ht="15" customHeight="1" s="107">
      <c r="A1796" s="216">
        <f>'CEI SAGRADA FAMÍLIA'!F17</f>
        <v/>
      </c>
      <c r="B1796" s="217">
        <f>'CEI SAGRADA FAMÍLIA'!C17</f>
        <v/>
      </c>
    </row>
    <row r="1797" ht="15" customHeight="1" s="107">
      <c r="A1797" s="216">
        <f>'CEI SAGRADA FAMÍLIA'!F18</f>
        <v/>
      </c>
      <c r="B1797" s="217">
        <f>'CEI SAGRADA FAMÍLIA'!C18</f>
        <v/>
      </c>
    </row>
    <row r="1798" ht="15" customHeight="1" s="107">
      <c r="A1798" s="216">
        <f>'CEI SAGRADA FAMÍLIA'!F19</f>
        <v/>
      </c>
      <c r="B1798" s="217">
        <f>'CEI SAGRADA FAMÍLIA'!C19</f>
        <v/>
      </c>
    </row>
    <row r="1799" ht="15" customHeight="1" s="107">
      <c r="A1799" s="216">
        <f>'CEI SAGRADA FAMÍLIA'!F20</f>
        <v/>
      </c>
      <c r="B1799" s="217">
        <f>'CEI SAGRADA FAMÍLIA'!C20</f>
        <v/>
      </c>
    </row>
    <row r="1800" ht="15" customHeight="1" s="107">
      <c r="A1800" s="216">
        <f>'CEI SAGRADA FAMÍLIA'!F21</f>
        <v/>
      </c>
      <c r="B1800" s="217">
        <f>'CEI SAGRADA FAMÍLIA'!C21</f>
        <v/>
      </c>
    </row>
    <row r="1801" ht="15" customHeight="1" s="107">
      <c r="A1801" s="216">
        <f>'CEI SAGRADA FAMÍLIA'!F22</f>
        <v/>
      </c>
      <c r="B1801" s="217">
        <f>'CEI SAGRADA FAMÍLIA'!C22</f>
        <v/>
      </c>
    </row>
    <row r="1802" ht="15" customHeight="1" s="107">
      <c r="A1802" s="216">
        <f>'CEI SAGRADA FAMÍLIA'!F23</f>
        <v/>
      </c>
      <c r="B1802" s="217">
        <f>'CEI SAGRADA FAMÍLIA'!C23</f>
        <v/>
      </c>
    </row>
    <row r="1803" ht="15" customHeight="1" s="107">
      <c r="A1803" s="216">
        <f>'CEI SAGRADA FAMÍLIA'!F24</f>
        <v/>
      </c>
      <c r="B1803" s="217">
        <f>'CEI SAGRADA FAMÍLIA'!C24</f>
        <v/>
      </c>
    </row>
    <row r="1804" ht="15" customHeight="1" s="107">
      <c r="A1804" s="216">
        <f>'CEI SAGRADA FAMÍLIA'!F25</f>
        <v/>
      </c>
      <c r="B1804" s="217">
        <f>'CEI SAGRADA FAMÍLIA'!C25</f>
        <v/>
      </c>
    </row>
    <row r="1805" ht="15" customHeight="1" s="107">
      <c r="A1805" s="216">
        <f>'CEI SAGRADA FAMÍLIA'!F26</f>
        <v/>
      </c>
      <c r="B1805" s="217">
        <f>'CEI SAGRADA FAMÍLIA'!C26</f>
        <v/>
      </c>
    </row>
    <row r="1806" ht="15" customHeight="1" s="107">
      <c r="A1806" s="216">
        <f>'CEI SAGRADA FAMÍLIA'!F27</f>
        <v/>
      </c>
      <c r="B1806" s="217">
        <f>'CEI SAGRADA FAMÍLIA'!C27</f>
        <v/>
      </c>
    </row>
    <row r="1807" ht="15" customHeight="1" s="107">
      <c r="A1807" s="216">
        <f>'CEI SÃO JOSÉ DAS OBLATAS DE NAZ'!F9</f>
        <v/>
      </c>
      <c r="B1807" s="217">
        <f>'CEI SÃO JOSÉ DAS OBLATAS DE NAZ'!C9</f>
        <v/>
      </c>
    </row>
    <row r="1808" ht="15" customHeight="1" s="107">
      <c r="A1808" s="216">
        <f>'CEI SÃO JOSÉ DAS OBLATAS DE NAZ'!F10</f>
        <v/>
      </c>
      <c r="B1808" s="217">
        <f>'CEI SÃO JOSÉ DAS OBLATAS DE NAZ'!C10</f>
        <v/>
      </c>
    </row>
    <row r="1809" ht="15" customHeight="1" s="107">
      <c r="A1809" s="216">
        <f>'CEI SÃO JOSÉ DAS OBLATAS DE NAZ'!F11</f>
        <v/>
      </c>
      <c r="B1809" s="217">
        <f>'CEI SÃO JOSÉ DAS OBLATAS DE NAZ'!C11</f>
        <v/>
      </c>
    </row>
    <row r="1810" ht="15" customHeight="1" s="107">
      <c r="A1810" s="216">
        <f>'CEI SÃO JOSÉ DAS OBLATAS DE NAZ'!F12</f>
        <v/>
      </c>
      <c r="B1810" s="217">
        <f>'CEI SÃO JOSÉ DAS OBLATAS DE NAZ'!C12</f>
        <v/>
      </c>
    </row>
    <row r="1811" ht="15" customHeight="1" s="107">
      <c r="A1811" s="216">
        <f>'CEI SÃO JOSÉ DAS OBLATAS DE NAZ'!F13</f>
        <v/>
      </c>
      <c r="B1811" s="217">
        <f>'CEI SÃO JOSÉ DAS OBLATAS DE NAZ'!C13</f>
        <v/>
      </c>
    </row>
    <row r="1812" ht="15" customHeight="1" s="107">
      <c r="A1812" s="216">
        <f>'CEI SÃO JOSÉ DAS OBLATAS DE NAZ'!F14</f>
        <v/>
      </c>
      <c r="B1812" s="217">
        <f>'CEI SÃO JOSÉ DAS OBLATAS DE NAZ'!C14</f>
        <v/>
      </c>
    </row>
    <row r="1813" ht="15" customHeight="1" s="107">
      <c r="A1813" s="216">
        <f>'CEI SÃO JOSÉ DAS OBLATAS DE NAZ'!F15</f>
        <v/>
      </c>
      <c r="B1813" s="217">
        <f>'CEI SÃO JOSÉ DAS OBLATAS DE NAZ'!C15</f>
        <v/>
      </c>
    </row>
    <row r="1814" ht="15" customHeight="1" s="107">
      <c r="A1814" s="216">
        <f>'CEI SÃO JOSÉ DAS OBLATAS DE NAZ'!F16</f>
        <v/>
      </c>
      <c r="B1814" s="217">
        <f>'CEI SÃO JOSÉ DAS OBLATAS DE NAZ'!C16</f>
        <v/>
      </c>
    </row>
    <row r="1815" ht="15" customHeight="1" s="107">
      <c r="A1815" s="216">
        <f>'CEI SÃO JOSÉ DAS OBLATAS DE NAZ'!F17</f>
        <v/>
      </c>
      <c r="B1815" s="217">
        <f>'CEI SÃO JOSÉ DAS OBLATAS DE NAZ'!C17</f>
        <v/>
      </c>
    </row>
    <row r="1816" ht="15" customHeight="1" s="107">
      <c r="A1816" s="216">
        <f>'CEI SÃO JOSÉ DAS OBLATAS DE NAZ'!F18</f>
        <v/>
      </c>
      <c r="B1816" s="217">
        <f>'CEI SÃO JOSÉ DAS OBLATAS DE NAZ'!C18</f>
        <v/>
      </c>
    </row>
    <row r="1817" ht="15" customHeight="1" s="107">
      <c r="A1817" s="216">
        <f>'CEI SÃO JOSÉ DAS OBLATAS DE NAZ'!F19</f>
        <v/>
      </c>
      <c r="B1817" s="217">
        <f>'CEI SÃO JOSÉ DAS OBLATAS DE NAZ'!C19</f>
        <v/>
      </c>
    </row>
    <row r="1818" ht="15" customHeight="1" s="107">
      <c r="A1818" s="216">
        <f>'CEI SÃO JOSÉ DAS OBLATAS DE NAZ'!F20</f>
        <v/>
      </c>
      <c r="B1818" s="217">
        <f>'CEI SÃO JOSÉ DAS OBLATAS DE NAZ'!C20</f>
        <v/>
      </c>
    </row>
    <row r="1819" ht="15" customHeight="1" s="107">
      <c r="A1819" s="216">
        <f>'CEI SÃO JOSÉ DAS OBLATAS DE NAZ'!F21</f>
        <v/>
      </c>
      <c r="B1819" s="217">
        <f>'CEI SÃO JOSÉ DAS OBLATAS DE NAZ'!C21</f>
        <v/>
      </c>
    </row>
    <row r="1820" ht="15" customHeight="1" s="107">
      <c r="A1820" s="216">
        <f>'CEI SÃO JOSÉ DAS OBLATAS DE NAZ'!F22</f>
        <v/>
      </c>
      <c r="B1820" s="217">
        <f>'CEI SÃO JOSÉ DAS OBLATAS DE NAZ'!C22</f>
        <v/>
      </c>
    </row>
    <row r="1821" ht="15" customHeight="1" s="107">
      <c r="A1821" s="216">
        <f>'CEI SÃO JOSÉ DAS OBLATAS DE NAZ'!F23</f>
        <v/>
      </c>
      <c r="B1821" s="217">
        <f>'CEI SÃO JOSÉ DAS OBLATAS DE NAZ'!C23</f>
        <v/>
      </c>
    </row>
    <row r="1822" ht="15" customHeight="1" s="107">
      <c r="A1822" s="216">
        <f>'CEI SÃO JOSÉ DAS OBLATAS DE NAZ'!F24</f>
        <v/>
      </c>
      <c r="B1822" s="217">
        <f>'CEI SÃO JOSÉ DAS OBLATAS DE NAZ'!C24</f>
        <v/>
      </c>
    </row>
    <row r="1823" ht="15" customHeight="1" s="107">
      <c r="A1823" s="216">
        <f>'CEI SÃO JOSÉ DAS OBLATAS DE NAZ'!F25</f>
        <v/>
      </c>
      <c r="B1823" s="217">
        <f>'CEI SÃO JOSÉ DAS OBLATAS DE NAZ'!C25</f>
        <v/>
      </c>
    </row>
    <row r="1824" ht="15" customHeight="1" s="107">
      <c r="A1824" s="216">
        <f>'CEI SÃO JOSÉ DAS OBLATAS DE NAZ'!F26</f>
        <v/>
      </c>
      <c r="B1824" s="217">
        <f>'CEI SÃO JOSÉ DAS OBLATAS DE NAZ'!C26</f>
        <v/>
      </c>
    </row>
    <row r="1825" ht="15" customHeight="1" s="107">
      <c r="A1825" s="216">
        <f>'CEI SÃO JOSÉ DAS OBLATAS DE NAZ'!F27</f>
        <v/>
      </c>
      <c r="B1825" s="217">
        <f>'CEI SÃO JOSÉ DAS OBLATAS DE NAZ'!C27</f>
        <v/>
      </c>
    </row>
    <row r="1826" ht="15" customHeight="1" s="107">
      <c r="A1826" s="216">
        <f>'ESCOLA MUNICIPAL JORGE AMADO'!F9</f>
        <v/>
      </c>
      <c r="B1826" s="217">
        <f>'ESCOLA MUNICIPAL JORGE AMADO'!C9</f>
        <v/>
      </c>
    </row>
    <row r="1827" ht="15" customHeight="1" s="107">
      <c r="A1827" s="216">
        <f>'ESCOLA MUNICIPAL JORGE AMADO'!F10</f>
        <v/>
      </c>
      <c r="B1827" s="217">
        <f>'ESCOLA MUNICIPAL JORGE AMADO'!C10</f>
        <v/>
      </c>
    </row>
    <row r="1828" ht="15" customHeight="1" s="107">
      <c r="A1828" s="216">
        <f>'ESCOLA MUNICIPAL JORGE AMADO'!F11</f>
        <v/>
      </c>
      <c r="B1828" s="217">
        <f>'ESCOLA MUNICIPAL JORGE AMADO'!C11</f>
        <v/>
      </c>
    </row>
    <row r="1829" ht="15" customHeight="1" s="107">
      <c r="A1829" s="216">
        <f>'ESCOLA MUNICIPAL JORGE AMADO'!F12</f>
        <v/>
      </c>
      <c r="B1829" s="217">
        <f>'ESCOLA MUNICIPAL JORGE AMADO'!C12</f>
        <v/>
      </c>
    </row>
    <row r="1830" ht="15" customHeight="1" s="107">
      <c r="A1830" s="216">
        <f>'ESCOLA MUNICIPAL JORGE AMADO'!F13</f>
        <v/>
      </c>
      <c r="B1830" s="217">
        <f>'ESCOLA MUNICIPAL JORGE AMADO'!C13</f>
        <v/>
      </c>
    </row>
    <row r="1831" ht="15" customHeight="1" s="107">
      <c r="A1831" s="216">
        <f>'ESCOLA MUNICIPAL JORGE AMADO'!F14</f>
        <v/>
      </c>
      <c r="B1831" s="217">
        <f>'ESCOLA MUNICIPAL JORGE AMADO'!C14</f>
        <v/>
      </c>
    </row>
    <row r="1832" ht="15" customHeight="1" s="107">
      <c r="A1832" s="216">
        <f>'ESCOLA MUNICIPAL JORGE AMADO'!F15</f>
        <v/>
      </c>
      <c r="B1832" s="217">
        <f>'ESCOLA MUNICIPAL JORGE AMADO'!C15</f>
        <v/>
      </c>
    </row>
    <row r="1833" ht="15" customHeight="1" s="107">
      <c r="A1833" s="216">
        <f>'ESCOLA MUNICIPAL JORGE AMADO'!F16</f>
        <v/>
      </c>
      <c r="B1833" s="217">
        <f>'ESCOLA MUNICIPAL JORGE AMADO'!C16</f>
        <v/>
      </c>
    </row>
    <row r="1834" ht="15" customHeight="1" s="107">
      <c r="A1834" s="216">
        <f>'ESCOLA MUNICIPAL JORGE AMADO'!F17</f>
        <v/>
      </c>
      <c r="B1834" s="217">
        <f>'ESCOLA MUNICIPAL JORGE AMADO'!C17</f>
        <v/>
      </c>
    </row>
    <row r="1835" ht="15" customHeight="1" s="107">
      <c r="A1835" s="216">
        <f>'ESCOLA MUNICIPAL JORGE AMADO'!F18</f>
        <v/>
      </c>
      <c r="B1835" s="217">
        <f>'ESCOLA MUNICIPAL JORGE AMADO'!C18</f>
        <v/>
      </c>
    </row>
    <row r="1836" ht="15" customHeight="1" s="107">
      <c r="A1836" s="216">
        <f>'ESCOLA MUNICIPAL JORGE AMADO'!F19</f>
        <v/>
      </c>
      <c r="B1836" s="217">
        <f>'ESCOLA MUNICIPAL JORGE AMADO'!C19</f>
        <v/>
      </c>
    </row>
    <row r="1837" ht="15" customHeight="1" s="107">
      <c r="A1837" s="216">
        <f>'ESCOLA MUNICIPAL JORGE AMADO'!F20</f>
        <v/>
      </c>
      <c r="B1837" s="217">
        <f>'ESCOLA MUNICIPAL JORGE AMADO'!C20</f>
        <v/>
      </c>
    </row>
    <row r="1838" ht="15" customHeight="1" s="107">
      <c r="A1838" s="216">
        <f>'ESCOLA MUNICIPAL JORGE AMADO'!F21</f>
        <v/>
      </c>
      <c r="B1838" s="217">
        <f>'ESCOLA MUNICIPAL JORGE AMADO'!C21</f>
        <v/>
      </c>
    </row>
    <row r="1839" ht="15" customHeight="1" s="107">
      <c r="A1839" s="216">
        <f>'ESCOLA MUNICIPAL JORGE AMADO'!F22</f>
        <v/>
      </c>
      <c r="B1839" s="217">
        <f>'ESCOLA MUNICIPAL JORGE AMADO'!C22</f>
        <v/>
      </c>
    </row>
    <row r="1840" ht="15" customHeight="1" s="107">
      <c r="A1840" s="216">
        <f>'ESCOLA MUNICIPAL JORGE AMADO'!F23</f>
        <v/>
      </c>
      <c r="B1840" s="217">
        <f>'ESCOLA MUNICIPAL JORGE AMADO'!C23</f>
        <v/>
      </c>
    </row>
    <row r="1841" ht="15" customHeight="1" s="107">
      <c r="A1841" s="216">
        <f>'ESCOLA MUNICIPAL JORGE AMADO'!F24</f>
        <v/>
      </c>
      <c r="B1841" s="217">
        <f>'ESCOLA MUNICIPAL JORGE AMADO'!C24</f>
        <v/>
      </c>
    </row>
    <row r="1842" ht="15" customHeight="1" s="107">
      <c r="A1842" s="216">
        <f>'ESCOLA MUNICIPAL JORGE AMADO'!F25</f>
        <v/>
      </c>
      <c r="B1842" s="217">
        <f>'ESCOLA MUNICIPAL JORGE AMADO'!C25</f>
        <v/>
      </c>
    </row>
    <row r="1843" ht="15" customHeight="1" s="107">
      <c r="A1843" s="216">
        <f>'ESCOLA MUNICIPAL JORGE AMADO'!F26</f>
        <v/>
      </c>
      <c r="B1843" s="217">
        <f>'ESCOLA MUNICIPAL JORGE AMADO'!C26</f>
        <v/>
      </c>
    </row>
    <row r="1844" ht="15" customHeight="1" s="107">
      <c r="A1844" s="216">
        <f>'ESCOLA MUNICIPAL JORGE AMADO'!F27</f>
        <v/>
      </c>
      <c r="B1844" s="217">
        <f>'ESCOLA MUNICIPAL JORGE AMADO'!C27</f>
        <v/>
      </c>
    </row>
    <row r="1845" ht="15" customHeight="1" s="107">
      <c r="A1845" s="216">
        <f>'E M FÁBRICA DO SABER'!F9</f>
        <v/>
      </c>
      <c r="B1845" s="217">
        <f>'E M FÁBRICA DO SABER'!C9</f>
        <v/>
      </c>
    </row>
    <row r="1846" ht="15" customHeight="1" s="107">
      <c r="A1846" s="216">
        <f>'E M FÁBRICA DO SABER'!F10</f>
        <v/>
      </c>
      <c r="B1846" s="217">
        <f>'E M FÁBRICA DO SABER'!C10</f>
        <v/>
      </c>
    </row>
    <row r="1847" ht="15" customHeight="1" s="107">
      <c r="A1847" s="216">
        <f>'E M FÁBRICA DO SABER'!F11</f>
        <v/>
      </c>
      <c r="B1847" s="217">
        <f>'E M FÁBRICA DO SABER'!C11</f>
        <v/>
      </c>
    </row>
    <row r="1848" ht="15" customHeight="1" s="107">
      <c r="A1848" s="216">
        <f>'E M FÁBRICA DO SABER'!F12</f>
        <v/>
      </c>
      <c r="B1848" s="217">
        <f>'E M FÁBRICA DO SABER'!C12</f>
        <v/>
      </c>
    </row>
    <row r="1849" ht="15" customHeight="1" s="107">
      <c r="A1849" s="216">
        <f>'E M FÁBRICA DO SABER'!F13</f>
        <v/>
      </c>
      <c r="B1849" s="217">
        <f>'E M FÁBRICA DO SABER'!C13</f>
        <v/>
      </c>
    </row>
    <row r="1850" ht="15" customHeight="1" s="107">
      <c r="A1850" s="216">
        <f>'E M FÁBRICA DO SABER'!F14</f>
        <v/>
      </c>
      <c r="B1850" s="217">
        <f>'E M FÁBRICA DO SABER'!C14</f>
        <v/>
      </c>
    </row>
    <row r="1851" ht="15" customHeight="1" s="107">
      <c r="A1851" s="216">
        <f>'E M FÁBRICA DO SABER'!F15</f>
        <v/>
      </c>
      <c r="B1851" s="217">
        <f>'E M FÁBRICA DO SABER'!C15</f>
        <v/>
      </c>
    </row>
    <row r="1852" ht="15" customHeight="1" s="107">
      <c r="A1852" s="216">
        <f>'E M FÁBRICA DO SABER'!F16</f>
        <v/>
      </c>
      <c r="B1852" s="217">
        <f>'E M FÁBRICA DO SABER'!C16</f>
        <v/>
      </c>
    </row>
    <row r="1853" ht="15" customHeight="1" s="107">
      <c r="A1853" s="216">
        <f>'E M FÁBRICA DO SABER'!F17</f>
        <v/>
      </c>
      <c r="B1853" s="217">
        <f>'E M FÁBRICA DO SABER'!C17</f>
        <v/>
      </c>
    </row>
    <row r="1854" ht="15" customHeight="1" s="107">
      <c r="A1854" s="216">
        <f>'E M FÁBRICA DO SABER'!F18</f>
        <v/>
      </c>
      <c r="B1854" s="217">
        <f>'E M FÁBRICA DO SABER'!C18</f>
        <v/>
      </c>
    </row>
    <row r="1855" ht="15" customHeight="1" s="107">
      <c r="A1855" s="216">
        <f>'E M FÁBRICA DO SABER'!F19</f>
        <v/>
      </c>
      <c r="B1855" s="217">
        <f>'E M FÁBRICA DO SABER'!C19</f>
        <v/>
      </c>
    </row>
    <row r="1856" ht="15" customHeight="1" s="107">
      <c r="A1856" s="216">
        <f>'E M FÁBRICA DO SABER'!F20</f>
        <v/>
      </c>
      <c r="B1856" s="217">
        <f>'E M FÁBRICA DO SABER'!C20</f>
        <v/>
      </c>
    </row>
    <row r="1857" ht="15" customHeight="1" s="107">
      <c r="A1857" s="216">
        <f>'E M FÁBRICA DO SABER'!F21</f>
        <v/>
      </c>
      <c r="B1857" s="217">
        <f>'E M FÁBRICA DO SABER'!C21</f>
        <v/>
      </c>
    </row>
    <row r="1858" ht="15" customHeight="1" s="107">
      <c r="A1858" s="216">
        <f>'E M FÁBRICA DO SABER'!F22</f>
        <v/>
      </c>
      <c r="B1858" s="217">
        <f>'E M FÁBRICA DO SABER'!C22</f>
        <v/>
      </c>
    </row>
    <row r="1859" ht="15" customHeight="1" s="107">
      <c r="A1859" s="216">
        <f>'E M FÁBRICA DO SABER'!F23</f>
        <v/>
      </c>
      <c r="B1859" s="217">
        <f>'E M FÁBRICA DO SABER'!C23</f>
        <v/>
      </c>
    </row>
    <row r="1860" ht="15" customHeight="1" s="107">
      <c r="A1860" s="216">
        <f>'E M FÁBRICA DO SABER'!F24</f>
        <v/>
      </c>
      <c r="B1860" s="217">
        <f>'E M FÁBRICA DO SABER'!C24</f>
        <v/>
      </c>
    </row>
    <row r="1861" ht="15" customHeight="1" s="107">
      <c r="A1861" s="216">
        <f>'E M FÁBRICA DO SABER'!F25</f>
        <v/>
      </c>
      <c r="B1861" s="217">
        <f>'E M FÁBRICA DO SABER'!C25</f>
        <v/>
      </c>
    </row>
    <row r="1862" ht="15" customHeight="1" s="107">
      <c r="A1862" s="216">
        <f>'E M FÁBRICA DO SABER'!F26</f>
        <v/>
      </c>
      <c r="B1862" s="217">
        <f>'E M FÁBRICA DO SABER'!C26</f>
        <v/>
      </c>
    </row>
    <row r="1863" ht="15" customHeight="1" s="107">
      <c r="A1863" s="216">
        <f>'E M FÁBRICA DO SABER'!F27</f>
        <v/>
      </c>
      <c r="B1863" s="217">
        <f>'E M FÁBRICA DO SABER'!C27</f>
        <v/>
      </c>
    </row>
    <row r="1864" ht="15" customHeight="1" s="107">
      <c r="A1864" s="216">
        <f>'CIEP BRIZOLÃO 474 MAESTRO GUERR'!F9</f>
        <v/>
      </c>
      <c r="B1864" s="217">
        <f>'CIEP BRIZOLÃO 474 MAESTRO GUERR'!C9</f>
        <v/>
      </c>
    </row>
    <row r="1865" ht="15" customHeight="1" s="107">
      <c r="A1865" s="216">
        <f>'CIEP BRIZOLÃO 474 MAESTRO GUERR'!F10</f>
        <v/>
      </c>
      <c r="B1865" s="217">
        <f>'CIEP BRIZOLÃO 474 MAESTRO GUERR'!C10</f>
        <v/>
      </c>
    </row>
    <row r="1866" ht="15" customHeight="1" s="107">
      <c r="A1866" s="216">
        <f>'CIEP BRIZOLÃO 474 MAESTRO GUERR'!F11</f>
        <v/>
      </c>
      <c r="B1866" s="217">
        <f>'CIEP BRIZOLÃO 474 MAESTRO GUERR'!C11</f>
        <v/>
      </c>
    </row>
    <row r="1867" ht="15" customHeight="1" s="107">
      <c r="A1867" s="216">
        <f>'CIEP BRIZOLÃO 474 MAESTRO GUERR'!F12</f>
        <v/>
      </c>
      <c r="B1867" s="217">
        <f>'CIEP BRIZOLÃO 474 MAESTRO GUERR'!C12</f>
        <v/>
      </c>
    </row>
    <row r="1868" ht="15" customHeight="1" s="107">
      <c r="A1868" s="216">
        <f>'CIEP BRIZOLÃO 474 MAESTRO GUERR'!F13</f>
        <v/>
      </c>
      <c r="B1868" s="217">
        <f>'CIEP BRIZOLÃO 474 MAESTRO GUERR'!C13</f>
        <v/>
      </c>
    </row>
    <row r="1869" ht="15" customHeight="1" s="107">
      <c r="A1869" s="216">
        <f>'CIEP BRIZOLÃO 474 MAESTRO GUERR'!F14</f>
        <v/>
      </c>
      <c r="B1869" s="217">
        <f>'CIEP BRIZOLÃO 474 MAESTRO GUERR'!C14</f>
        <v/>
      </c>
    </row>
    <row r="1870" ht="15" customHeight="1" s="107">
      <c r="A1870" s="216">
        <f>'CIEP BRIZOLÃO 474 MAESTRO GUERR'!F15</f>
        <v/>
      </c>
      <c r="B1870" s="217">
        <f>'CIEP BRIZOLÃO 474 MAESTRO GUERR'!C15</f>
        <v/>
      </c>
    </row>
    <row r="1871" ht="15" customHeight="1" s="107">
      <c r="A1871" s="216">
        <f>'CIEP BRIZOLÃO 474 MAESTRO GUERR'!F16</f>
        <v/>
      </c>
      <c r="B1871" s="217">
        <f>'CIEP BRIZOLÃO 474 MAESTRO GUERR'!C16</f>
        <v/>
      </c>
    </row>
    <row r="1872" ht="15" customHeight="1" s="107">
      <c r="A1872" s="216">
        <f>'CIEP BRIZOLÃO 474 MAESTRO GUERR'!F17</f>
        <v/>
      </c>
      <c r="B1872" s="217">
        <f>'CIEP BRIZOLÃO 474 MAESTRO GUERR'!C17</f>
        <v/>
      </c>
    </row>
    <row r="1873" ht="15" customHeight="1" s="107">
      <c r="A1873" s="216">
        <f>'CIEP BRIZOLÃO 474 MAESTRO GUERR'!F18</f>
        <v/>
      </c>
      <c r="B1873" s="217">
        <f>'CIEP BRIZOLÃO 474 MAESTRO GUERR'!C18</f>
        <v/>
      </c>
    </row>
    <row r="1874" ht="15" customHeight="1" s="107">
      <c r="A1874" s="216">
        <f>'CIEP BRIZOLÃO 474 MAESTRO GUERR'!F19</f>
        <v/>
      </c>
      <c r="B1874" s="217">
        <f>'CIEP BRIZOLÃO 474 MAESTRO GUERR'!C19</f>
        <v/>
      </c>
    </row>
    <row r="1875" ht="15" customHeight="1" s="107">
      <c r="A1875" s="216">
        <f>'CIEP BRIZOLÃO 474 MAESTRO GUERR'!F20</f>
        <v/>
      </c>
      <c r="B1875" s="217">
        <f>'CIEP BRIZOLÃO 474 MAESTRO GUERR'!C20</f>
        <v/>
      </c>
    </row>
    <row r="1876" ht="15" customHeight="1" s="107">
      <c r="A1876" s="216">
        <f>'CIEP BRIZOLÃO 474 MAESTRO GUERR'!F21</f>
        <v/>
      </c>
      <c r="B1876" s="217">
        <f>'CIEP BRIZOLÃO 474 MAESTRO GUERR'!C21</f>
        <v/>
      </c>
    </row>
    <row r="1877" ht="15" customHeight="1" s="107">
      <c r="A1877" s="216">
        <f>'CIEP BRIZOLÃO 474 MAESTRO GUERR'!F22</f>
        <v/>
      </c>
      <c r="B1877" s="217">
        <f>'CIEP BRIZOLÃO 474 MAESTRO GUERR'!C22</f>
        <v/>
      </c>
    </row>
    <row r="1878" ht="15" customHeight="1" s="107">
      <c r="A1878" s="216">
        <f>'CIEP BRIZOLÃO 474 MAESTRO GUERR'!F23</f>
        <v/>
      </c>
      <c r="B1878" s="217">
        <f>'CIEP BRIZOLÃO 474 MAESTRO GUERR'!C23</f>
        <v/>
      </c>
    </row>
    <row r="1879" ht="15" customHeight="1" s="107">
      <c r="A1879" s="216">
        <f>'CIEP BRIZOLÃO 474 MAESTRO GUERR'!F24</f>
        <v/>
      </c>
      <c r="B1879" s="217">
        <f>'CIEP BRIZOLÃO 474 MAESTRO GUERR'!C24</f>
        <v/>
      </c>
    </row>
    <row r="1880" ht="15" customHeight="1" s="107">
      <c r="A1880" s="216">
        <f>'CIEP BRIZOLÃO 474 MAESTRO GUERR'!F25</f>
        <v/>
      </c>
      <c r="B1880" s="217">
        <f>'CIEP BRIZOLÃO 474 MAESTRO GUERR'!C25</f>
        <v/>
      </c>
    </row>
    <row r="1881" ht="15" customHeight="1" s="107">
      <c r="A1881" s="216">
        <f>'CIEP BRIZOLÃO 474 MAESTRO GUERR'!F26</f>
        <v/>
      </c>
      <c r="B1881" s="217">
        <f>'CIEP BRIZOLÃO 474 MAESTRO GUERR'!C26</f>
        <v/>
      </c>
    </row>
    <row r="1882" ht="15" customHeight="1" s="107">
      <c r="A1882" s="216">
        <f>'CIEP BRIZOLÃO 474 MAESTRO GUERR'!F27</f>
        <v/>
      </c>
      <c r="B1882" s="217">
        <f>'CIEP BRIZOLÃO 474 MAESTRO GUERR'!C27</f>
        <v/>
      </c>
    </row>
    <row r="1883" ht="15" customHeight="1" s="107">
      <c r="A1883" s="216">
        <f>'CENTRO DE ENSINO PROF DARCY RIB'!F9</f>
        <v/>
      </c>
      <c r="B1883" s="217">
        <f>'CENTRO DE ENSINO PROF DARCY RIB'!C9</f>
        <v/>
      </c>
    </row>
    <row r="1884" ht="15" customHeight="1" s="107">
      <c r="A1884" s="216">
        <f>'CENTRO DE ENSINO PROF DARCY RIB'!F10</f>
        <v/>
      </c>
      <c r="B1884" s="217">
        <f>'CENTRO DE ENSINO PROF DARCY RIB'!C10</f>
        <v/>
      </c>
    </row>
    <row r="1885" ht="15" customHeight="1" s="107">
      <c r="A1885" s="216">
        <f>'CENTRO DE ENSINO PROF DARCY RIB'!F11</f>
        <v/>
      </c>
      <c r="B1885" s="217">
        <f>'CENTRO DE ENSINO PROF DARCY RIB'!C11</f>
        <v/>
      </c>
    </row>
    <row r="1886" ht="15" customHeight="1" s="107">
      <c r="A1886" s="216">
        <f>'CENTRO DE ENSINO PROF DARCY RIB'!F12</f>
        <v/>
      </c>
      <c r="B1886" s="217">
        <f>'CENTRO DE ENSINO PROF DARCY RIB'!C12</f>
        <v/>
      </c>
    </row>
    <row r="1887" ht="15" customHeight="1" s="107">
      <c r="A1887" s="216">
        <f>'CENTRO DE ENSINO PROF DARCY RIB'!F13</f>
        <v/>
      </c>
      <c r="B1887" s="217">
        <f>'CENTRO DE ENSINO PROF DARCY RIB'!C13</f>
        <v/>
      </c>
    </row>
    <row r="1888" ht="15" customHeight="1" s="107">
      <c r="A1888" s="216">
        <f>'CENTRO DE ENSINO PROF DARCY RIB'!F14</f>
        <v/>
      </c>
      <c r="B1888" s="217">
        <f>'CENTRO DE ENSINO PROF DARCY RIB'!C14</f>
        <v/>
      </c>
    </row>
    <row r="1889" ht="15" customHeight="1" s="107">
      <c r="A1889" s="216">
        <f>'CENTRO DE ENSINO PROF DARCY RIB'!F15</f>
        <v/>
      </c>
      <c r="B1889" s="217">
        <f>'CENTRO DE ENSINO PROF DARCY RIB'!C15</f>
        <v/>
      </c>
    </row>
    <row r="1890" ht="15" customHeight="1" s="107">
      <c r="A1890" s="216">
        <f>'CENTRO DE ENSINO PROF DARCY RIB'!F16</f>
        <v/>
      </c>
      <c r="B1890" s="217">
        <f>'CENTRO DE ENSINO PROF DARCY RIB'!C16</f>
        <v/>
      </c>
    </row>
    <row r="1891" ht="15" customHeight="1" s="107">
      <c r="A1891" s="216">
        <f>'CENTRO DE ENSINO PROF DARCY RIB'!F17</f>
        <v/>
      </c>
      <c r="B1891" s="217">
        <f>'CENTRO DE ENSINO PROF DARCY RIB'!C17</f>
        <v/>
      </c>
    </row>
    <row r="1892" ht="15" customHeight="1" s="107">
      <c r="A1892" s="216">
        <f>'CENTRO DE ENSINO PROF DARCY RIB'!F18</f>
        <v/>
      </c>
      <c r="B1892" s="217">
        <f>'CENTRO DE ENSINO PROF DARCY RIB'!C18</f>
        <v/>
      </c>
    </row>
    <row r="1893" ht="15" customHeight="1" s="107">
      <c r="A1893" s="216">
        <f>'CENTRO DE ENSINO PROF DARCY RIB'!F19</f>
        <v/>
      </c>
      <c r="B1893" s="217">
        <f>'CENTRO DE ENSINO PROF DARCY RIB'!C19</f>
        <v/>
      </c>
    </row>
    <row r="1894" ht="15" customHeight="1" s="107">
      <c r="A1894" s="216">
        <f>'CENTRO DE ENSINO PROF DARCY RIB'!F20</f>
        <v/>
      </c>
      <c r="B1894" s="217">
        <f>'CENTRO DE ENSINO PROF DARCY RIB'!C20</f>
        <v/>
      </c>
    </row>
    <row r="1895" ht="15" customHeight="1" s="107">
      <c r="A1895" s="216">
        <f>'CENTRO DE ENSINO PROF DARCY RIB'!F21</f>
        <v/>
      </c>
      <c r="B1895" s="217">
        <f>'CENTRO DE ENSINO PROF DARCY RIB'!C21</f>
        <v/>
      </c>
    </row>
    <row r="1896" ht="15" customHeight="1" s="107">
      <c r="A1896" s="216">
        <f>'CENTRO DE ENSINO PROF DARCY RIB'!F22</f>
        <v/>
      </c>
      <c r="B1896" s="217">
        <f>'CENTRO DE ENSINO PROF DARCY RIB'!C22</f>
        <v/>
      </c>
    </row>
    <row r="1897" ht="15" customHeight="1" s="107">
      <c r="A1897" s="216">
        <f>'CENTRO DE ENSINO PROF DARCY RIB'!F23</f>
        <v/>
      </c>
      <c r="B1897" s="217">
        <f>'CENTRO DE ENSINO PROF DARCY RIB'!C23</f>
        <v/>
      </c>
    </row>
    <row r="1898" ht="15" customHeight="1" s="107">
      <c r="A1898" s="216">
        <f>'CENTRO DE ENSINO PROF DARCY RIB'!F24</f>
        <v/>
      </c>
      <c r="B1898" s="217">
        <f>'CENTRO DE ENSINO PROF DARCY RIB'!C24</f>
        <v/>
      </c>
    </row>
    <row r="1899" ht="15" customHeight="1" s="107">
      <c r="A1899" s="216">
        <f>'CENTRO DE ENSINO PROF DARCY RIB'!F25</f>
        <v/>
      </c>
      <c r="B1899" s="217">
        <f>'CENTRO DE ENSINO PROF DARCY RIB'!C25</f>
        <v/>
      </c>
    </row>
    <row r="1900" ht="15" customHeight="1" s="107">
      <c r="A1900" s="216">
        <f>'CENTRO DE ENSINO PROF DARCY RIB'!F26</f>
        <v/>
      </c>
      <c r="B1900" s="217">
        <f>'CENTRO DE ENSINO PROF DARCY RIB'!C26</f>
        <v/>
      </c>
    </row>
    <row r="1901" ht="15" customHeight="1" s="107">
      <c r="A1901" s="216">
        <f>'CENTRO DE ENSINO PROF DARCY RIB'!F27</f>
        <v/>
      </c>
      <c r="B1901" s="217">
        <f>'CENTRO DE ENSINO PROF DARCY RIB'!C27</f>
        <v/>
      </c>
    </row>
    <row r="1902" ht="15" customHeight="1" s="107">
      <c r="A1902" s="216">
        <f>'CEI ANDRÉ VANZAN'!F9</f>
        <v/>
      </c>
      <c r="B1902" s="217">
        <f>'CEI ANDRÉ VANZAN'!C9</f>
        <v/>
      </c>
    </row>
    <row r="1903" ht="15" customHeight="1" s="107">
      <c r="A1903" s="216">
        <f>'CEI ANDRÉ VANZAN'!F10</f>
        <v/>
      </c>
      <c r="B1903" s="217">
        <f>'CEI ANDRÉ VANZAN'!C10</f>
        <v/>
      </c>
    </row>
    <row r="1904" ht="15" customHeight="1" s="107">
      <c r="A1904" s="216">
        <f>'CEI ANDRÉ VANZAN'!F11</f>
        <v/>
      </c>
      <c r="B1904" s="217">
        <f>'CEI ANDRÉ VANZAN'!C11</f>
        <v/>
      </c>
    </row>
    <row r="1905" ht="15" customHeight="1" s="107">
      <c r="A1905" s="216">
        <f>'CEI ANDRÉ VANZAN'!F12</f>
        <v/>
      </c>
      <c r="B1905" s="217">
        <f>'CEI ANDRÉ VANZAN'!C12</f>
        <v/>
      </c>
    </row>
    <row r="1906" ht="15" customHeight="1" s="107">
      <c r="A1906" s="216">
        <f>'CEI ANDRÉ VANZAN'!F13</f>
        <v/>
      </c>
      <c r="B1906" s="217">
        <f>'CEI ANDRÉ VANZAN'!C13</f>
        <v/>
      </c>
    </row>
    <row r="1907" ht="15" customHeight="1" s="107">
      <c r="A1907" s="216">
        <f>'CEI ANDRÉ VANZAN'!F14</f>
        <v/>
      </c>
      <c r="B1907" s="217">
        <f>'CEI ANDRÉ VANZAN'!C14</f>
        <v/>
      </c>
    </row>
    <row r="1908" ht="15" customHeight="1" s="107">
      <c r="A1908" s="216">
        <f>'CEI ANDRÉ VANZAN'!F15</f>
        <v/>
      </c>
      <c r="B1908" s="217">
        <f>'CEI ANDRÉ VANZAN'!C15</f>
        <v/>
      </c>
    </row>
    <row r="1909" ht="15" customHeight="1" s="107">
      <c r="A1909" s="216">
        <f>'CEI ANDRÉ VANZAN'!F16</f>
        <v/>
      </c>
      <c r="B1909" s="217">
        <f>'CEI ANDRÉ VANZAN'!C16</f>
        <v/>
      </c>
    </row>
    <row r="1910" ht="15" customHeight="1" s="107">
      <c r="A1910" s="216">
        <f>'CEI ANDRÉ VANZAN'!F17</f>
        <v/>
      </c>
      <c r="B1910" s="217">
        <f>'CEI ANDRÉ VANZAN'!C17</f>
        <v/>
      </c>
    </row>
    <row r="1911" ht="15" customHeight="1" s="107">
      <c r="A1911" s="216">
        <f>'CEI ANDRÉ VANZAN'!F18</f>
        <v/>
      </c>
      <c r="B1911" s="217">
        <f>'CEI ANDRÉ VANZAN'!C18</f>
        <v/>
      </c>
    </row>
    <row r="1912" ht="15" customHeight="1" s="107">
      <c r="A1912" s="216">
        <f>'CEI ANDRÉ VANZAN'!F19</f>
        <v/>
      </c>
      <c r="B1912" s="217">
        <f>'CEI ANDRÉ VANZAN'!C19</f>
        <v/>
      </c>
    </row>
    <row r="1913" ht="15" customHeight="1" s="107">
      <c r="A1913" s="216">
        <f>'CEI ANDRÉ VANZAN'!F20</f>
        <v/>
      </c>
      <c r="B1913" s="217">
        <f>'CEI ANDRÉ VANZAN'!C20</f>
        <v/>
      </c>
    </row>
    <row r="1914" ht="15" customHeight="1" s="107">
      <c r="A1914" s="216">
        <f>'CEI ANDRÉ VANZAN'!F21</f>
        <v/>
      </c>
      <c r="B1914" s="217">
        <f>'CEI ANDRÉ VANZAN'!C21</f>
        <v/>
      </c>
    </row>
    <row r="1915" ht="15" customHeight="1" s="107">
      <c r="A1915" s="216">
        <f>'CEI ANDRÉ VANZAN'!F22</f>
        <v/>
      </c>
      <c r="B1915" s="217">
        <f>'CEI ANDRÉ VANZAN'!C22</f>
        <v/>
      </c>
    </row>
    <row r="1916" ht="15" customHeight="1" s="107">
      <c r="A1916" s="216">
        <f>'CEI ANDRÉ VANZAN'!F23</f>
        <v/>
      </c>
      <c r="B1916" s="217">
        <f>'CEI ANDRÉ VANZAN'!C23</f>
        <v/>
      </c>
    </row>
    <row r="1917" ht="15" customHeight="1" s="107">
      <c r="A1917" s="216">
        <f>'CEI ANDRÉ VANZAN'!F24</f>
        <v/>
      </c>
      <c r="B1917" s="217">
        <f>'CEI ANDRÉ VANZAN'!C24</f>
        <v/>
      </c>
    </row>
    <row r="1918" ht="15" customHeight="1" s="107">
      <c r="A1918" s="216">
        <f>'CEI ANDRÉ VANZAN'!F25</f>
        <v/>
      </c>
      <c r="B1918" s="217">
        <f>'CEI ANDRÉ VANZAN'!C25</f>
        <v/>
      </c>
    </row>
    <row r="1919" ht="15" customHeight="1" s="107">
      <c r="A1919" s="216">
        <f>'CEI ANDRÉ VANZAN'!F26</f>
        <v/>
      </c>
      <c r="B1919" s="217">
        <f>'CEI ANDRÉ VANZAN'!C26</f>
        <v/>
      </c>
    </row>
    <row r="1920" ht="15" customHeight="1" s="107">
      <c r="A1920" s="216">
        <f>'CEI ANDRÉ VANZAN'!F27</f>
        <v/>
      </c>
      <c r="B1920" s="217">
        <f>'CEI ANDRÉ VANZAN'!C27</f>
        <v/>
      </c>
    </row>
    <row r="1921" ht="15" customHeight="1" s="107">
      <c r="A1921" s="216">
        <f>'CENTRO DE EDUCAÇÃO INFANTIL CAR'!F9</f>
        <v/>
      </c>
      <c r="B1921" s="217">
        <f>'CENTRO DE EDUCAÇÃO INFANTIL CAR'!C9</f>
        <v/>
      </c>
    </row>
    <row r="1922" ht="15" customHeight="1" s="107">
      <c r="A1922" s="216">
        <f>'CENTRO DE EDUCAÇÃO INFANTIL CAR'!F10</f>
        <v/>
      </c>
      <c r="B1922" s="217">
        <f>'CENTRO DE EDUCAÇÃO INFANTIL CAR'!C10</f>
        <v/>
      </c>
    </row>
    <row r="1923" ht="15" customHeight="1" s="107">
      <c r="A1923" s="216">
        <f>'CENTRO DE EDUCAÇÃO INFANTIL CAR'!F11</f>
        <v/>
      </c>
      <c r="B1923" s="217">
        <f>'CENTRO DE EDUCAÇÃO INFANTIL CAR'!C11</f>
        <v/>
      </c>
    </row>
    <row r="1924" ht="15" customHeight="1" s="107">
      <c r="A1924" s="216">
        <f>'CENTRO DE EDUCAÇÃO INFANTIL CAR'!F12</f>
        <v/>
      </c>
      <c r="B1924" s="217">
        <f>'CENTRO DE EDUCAÇÃO INFANTIL CAR'!C12</f>
        <v/>
      </c>
    </row>
    <row r="1925" ht="15" customHeight="1" s="107">
      <c r="A1925" s="216">
        <f>'CENTRO DE EDUCAÇÃO INFANTIL CAR'!F13</f>
        <v/>
      </c>
      <c r="B1925" s="217">
        <f>'CENTRO DE EDUCAÇÃO INFANTIL CAR'!C13</f>
        <v/>
      </c>
    </row>
    <row r="1926" ht="15" customHeight="1" s="107">
      <c r="A1926" s="216">
        <f>'CENTRO DE EDUCAÇÃO INFANTIL CAR'!F14</f>
        <v/>
      </c>
      <c r="B1926" s="217">
        <f>'CENTRO DE EDUCAÇÃO INFANTIL CAR'!C14</f>
        <v/>
      </c>
    </row>
    <row r="1927" ht="15" customHeight="1" s="107">
      <c r="A1927" s="216">
        <f>'CENTRO DE EDUCAÇÃO INFANTIL CAR'!F15</f>
        <v/>
      </c>
      <c r="B1927" s="217">
        <f>'CENTRO DE EDUCAÇÃO INFANTIL CAR'!C15</f>
        <v/>
      </c>
    </row>
    <row r="1928" ht="15" customHeight="1" s="107">
      <c r="A1928" s="216">
        <f>'CENTRO DE EDUCAÇÃO INFANTIL CAR'!F16</f>
        <v/>
      </c>
      <c r="B1928" s="217">
        <f>'CENTRO DE EDUCAÇÃO INFANTIL CAR'!C16</f>
        <v/>
      </c>
    </row>
    <row r="1929" ht="15" customHeight="1" s="107">
      <c r="A1929" s="216">
        <f>'CENTRO DE EDUCAÇÃO INFANTIL CAR'!F17</f>
        <v/>
      </c>
      <c r="B1929" s="217">
        <f>'CENTRO DE EDUCAÇÃO INFANTIL CAR'!C17</f>
        <v/>
      </c>
    </row>
    <row r="1930" ht="15" customHeight="1" s="107">
      <c r="A1930" s="216">
        <f>'CENTRO DE EDUCAÇÃO INFANTIL CAR'!F18</f>
        <v/>
      </c>
      <c r="B1930" s="217">
        <f>'CENTRO DE EDUCAÇÃO INFANTIL CAR'!C18</f>
        <v/>
      </c>
    </row>
    <row r="1931" ht="15" customHeight="1" s="107">
      <c r="A1931" s="216">
        <f>'CENTRO DE EDUCAÇÃO INFANTIL CAR'!F19</f>
        <v/>
      </c>
      <c r="B1931" s="217">
        <f>'CENTRO DE EDUCAÇÃO INFANTIL CAR'!C19</f>
        <v/>
      </c>
    </row>
    <row r="1932" ht="15" customHeight="1" s="107">
      <c r="A1932" s="216">
        <f>'CENTRO DE EDUCAÇÃO INFANTIL CAR'!F20</f>
        <v/>
      </c>
      <c r="B1932" s="217">
        <f>'CENTRO DE EDUCAÇÃO INFANTIL CAR'!C20</f>
        <v/>
      </c>
    </row>
    <row r="1933" ht="15" customHeight="1" s="107">
      <c r="A1933" s="216">
        <f>'CENTRO DE EDUCAÇÃO INFANTIL CAR'!F21</f>
        <v/>
      </c>
      <c r="B1933" s="217">
        <f>'CENTRO DE EDUCAÇÃO INFANTIL CAR'!C21</f>
        <v/>
      </c>
    </row>
    <row r="1934" ht="15" customHeight="1" s="107">
      <c r="A1934" s="216">
        <f>'CENTRO DE EDUCAÇÃO INFANTIL CAR'!F22</f>
        <v/>
      </c>
      <c r="B1934" s="217">
        <f>'CENTRO DE EDUCAÇÃO INFANTIL CAR'!C22</f>
        <v/>
      </c>
    </row>
    <row r="1935" ht="15" customHeight="1" s="107">
      <c r="A1935" s="216">
        <f>'CENTRO DE EDUCAÇÃO INFANTIL CAR'!F23</f>
        <v/>
      </c>
      <c r="B1935" s="217">
        <f>'CENTRO DE EDUCAÇÃO INFANTIL CAR'!C23</f>
        <v/>
      </c>
    </row>
    <row r="1936" ht="15" customHeight="1" s="107">
      <c r="A1936" s="216">
        <f>'CENTRO DE EDUCAÇÃO INFANTIL CAR'!F24</f>
        <v/>
      </c>
      <c r="B1936" s="217">
        <f>'CENTRO DE EDUCAÇÃO INFANTIL CAR'!C24</f>
        <v/>
      </c>
    </row>
    <row r="1937" ht="15" customHeight="1" s="107">
      <c r="A1937" s="216">
        <f>'CENTRO DE EDUCAÇÃO INFANTIL CAR'!F25</f>
        <v/>
      </c>
      <c r="B1937" s="217">
        <f>'CENTRO DE EDUCAÇÃO INFANTIL CAR'!C25</f>
        <v/>
      </c>
    </row>
    <row r="1938" ht="15" customHeight="1" s="107">
      <c r="A1938" s="216">
        <f>'CENTRO DE EDUCAÇÃO INFANTIL CAR'!F26</f>
        <v/>
      </c>
      <c r="B1938" s="217">
        <f>'CENTRO DE EDUCAÇÃO INFANTIL CAR'!C26</f>
        <v/>
      </c>
    </row>
    <row r="1939" ht="15" customHeight="1" s="107">
      <c r="A1939" s="216">
        <f>'CENTRO DE EDUCAÇÃO INFANTIL CAR'!F27</f>
        <v/>
      </c>
      <c r="B1939" s="217">
        <f>'CENTRO DE EDUCAÇÃO INFANTIL CAR'!C27</f>
        <v/>
      </c>
    </row>
    <row r="1940" ht="15" customHeight="1" s="107">
      <c r="A1940" s="216">
        <f>'CEI BOA VISTA'!F9</f>
        <v/>
      </c>
      <c r="B1940" s="217">
        <f>'CEI BOA VISTA'!C9</f>
        <v/>
      </c>
    </row>
    <row r="1941" ht="15" customHeight="1" s="107">
      <c r="A1941" s="216">
        <f>'CEI BOA VISTA'!F10</f>
        <v/>
      </c>
      <c r="B1941" s="217">
        <f>'CEI BOA VISTA'!C10</f>
        <v/>
      </c>
    </row>
    <row r="1942" ht="15" customHeight="1" s="107">
      <c r="A1942" s="216">
        <f>'CEI BOA VISTA'!F11</f>
        <v/>
      </c>
      <c r="B1942" s="217">
        <f>'CEI BOA VISTA'!C11</f>
        <v/>
      </c>
    </row>
    <row r="1943" ht="15" customHeight="1" s="107">
      <c r="A1943" s="216">
        <f>'CEI BOA VISTA'!F12</f>
        <v/>
      </c>
      <c r="B1943" s="217">
        <f>'CEI BOA VISTA'!C12</f>
        <v/>
      </c>
    </row>
    <row r="1944" ht="15" customHeight="1" s="107">
      <c r="A1944" s="216">
        <f>'CEI BOA VISTA'!F13</f>
        <v/>
      </c>
      <c r="B1944" s="217">
        <f>'CEI BOA VISTA'!C13</f>
        <v/>
      </c>
    </row>
    <row r="1945" ht="15" customHeight="1" s="107">
      <c r="A1945" s="216">
        <f>'CEI BOA VISTA'!F14</f>
        <v/>
      </c>
      <c r="B1945" s="217">
        <f>'CEI BOA VISTA'!C14</f>
        <v/>
      </c>
    </row>
    <row r="1946" ht="15" customHeight="1" s="107">
      <c r="A1946" s="216">
        <f>'CEI BOA VISTA'!F15</f>
        <v/>
      </c>
      <c r="B1946" s="217">
        <f>'CEI BOA VISTA'!C15</f>
        <v/>
      </c>
    </row>
    <row r="1947" ht="15" customHeight="1" s="107">
      <c r="A1947" s="216">
        <f>'CEI BOA VISTA'!F16</f>
        <v/>
      </c>
      <c r="B1947" s="217">
        <f>'CEI BOA VISTA'!C16</f>
        <v/>
      </c>
    </row>
    <row r="1948" ht="15" customHeight="1" s="107">
      <c r="A1948" s="216">
        <f>'CEI BOA VISTA'!F17</f>
        <v/>
      </c>
      <c r="B1948" s="217">
        <f>'CEI BOA VISTA'!C17</f>
        <v/>
      </c>
    </row>
    <row r="1949" ht="15" customHeight="1" s="107">
      <c r="A1949" s="216">
        <f>'CEI BOA VISTA'!F18</f>
        <v/>
      </c>
      <c r="B1949" s="217">
        <f>'CEI BOA VISTA'!C18</f>
        <v/>
      </c>
    </row>
    <row r="1950" ht="15" customHeight="1" s="107">
      <c r="A1950" s="216">
        <f>'CEI BOA VISTA'!F19</f>
        <v/>
      </c>
      <c r="B1950" s="217">
        <f>'CEI BOA VISTA'!C19</f>
        <v/>
      </c>
    </row>
    <row r="1951" ht="15" customHeight="1" s="107">
      <c r="A1951" s="216">
        <f>'CEI BOA VISTA'!F20</f>
        <v/>
      </c>
      <c r="B1951" s="217">
        <f>'CEI BOA VISTA'!C20</f>
        <v/>
      </c>
    </row>
    <row r="1952" ht="15" customHeight="1" s="107">
      <c r="A1952" s="216">
        <f>'CEI BOA VISTA'!F21</f>
        <v/>
      </c>
      <c r="B1952" s="217">
        <f>'CEI BOA VISTA'!C21</f>
        <v/>
      </c>
    </row>
    <row r="1953" ht="15" customHeight="1" s="107">
      <c r="A1953" s="216">
        <f>'CEI BOA VISTA'!F22</f>
        <v/>
      </c>
      <c r="B1953" s="217">
        <f>'CEI BOA VISTA'!C22</f>
        <v/>
      </c>
    </row>
    <row r="1954" ht="15" customHeight="1" s="107">
      <c r="A1954" s="216">
        <f>'CEI BOA VISTA'!F23</f>
        <v/>
      </c>
      <c r="B1954" s="217">
        <f>'CEI BOA VISTA'!C23</f>
        <v/>
      </c>
    </row>
    <row r="1955" ht="15" customHeight="1" s="107">
      <c r="A1955" s="216">
        <f>'CEI BOA VISTA'!F24</f>
        <v/>
      </c>
      <c r="B1955" s="217">
        <f>'CEI BOA VISTA'!C24</f>
        <v/>
      </c>
    </row>
    <row r="1956" ht="15" customHeight="1" s="107">
      <c r="A1956" s="216">
        <f>'CEI BOA VISTA'!F25</f>
        <v/>
      </c>
      <c r="B1956" s="217">
        <f>'CEI BOA VISTA'!C25</f>
        <v/>
      </c>
    </row>
    <row r="1957" ht="15" customHeight="1" s="107">
      <c r="A1957" s="216">
        <f>'CEI BOA VISTA'!F26</f>
        <v/>
      </c>
      <c r="B1957" s="217">
        <f>'CEI BOA VISTA'!C26</f>
        <v/>
      </c>
    </row>
    <row r="1958" ht="15" customHeight="1" s="107">
      <c r="A1958" s="216">
        <f>'CEI BOA VISTA'!F27</f>
        <v/>
      </c>
      <c r="B1958" s="217">
        <f>'CEI BOA VISTA'!C27</f>
        <v/>
      </c>
    </row>
    <row r="1959" ht="15" customHeight="1" s="107">
      <c r="A1959" s="216">
        <f>'ASSOCIAÇÃO DA CRECHE SÃO FRANCI'!F9</f>
        <v/>
      </c>
      <c r="B1959" s="217">
        <f>'ASSOCIAÇÃO DA CRECHE SÃO FRANCI'!C9</f>
        <v/>
      </c>
    </row>
    <row r="1960" ht="15" customHeight="1" s="107">
      <c r="A1960" s="216">
        <f>'ASSOCIAÇÃO DA CRECHE SÃO FRANCI'!F10</f>
        <v/>
      </c>
      <c r="B1960" s="217">
        <f>'ASSOCIAÇÃO DA CRECHE SÃO FRANCI'!C10</f>
        <v/>
      </c>
    </row>
    <row r="1961" ht="15" customHeight="1" s="107">
      <c r="A1961" s="216">
        <f>'ASSOCIAÇÃO DA CRECHE SÃO FRANCI'!F11</f>
        <v/>
      </c>
      <c r="B1961" s="217">
        <f>'ASSOCIAÇÃO DA CRECHE SÃO FRANCI'!C11</f>
        <v/>
      </c>
    </row>
    <row r="1962" ht="15" customHeight="1" s="107">
      <c r="A1962" s="216">
        <f>'ASSOCIAÇÃO DA CRECHE SÃO FRANCI'!F12</f>
        <v/>
      </c>
      <c r="B1962" s="217">
        <f>'ASSOCIAÇÃO DA CRECHE SÃO FRANCI'!C12</f>
        <v/>
      </c>
    </row>
    <row r="1963" ht="15" customHeight="1" s="107">
      <c r="A1963" s="216">
        <f>'ASSOCIAÇÃO DA CRECHE SÃO FRANCI'!F13</f>
        <v/>
      </c>
      <c r="B1963" s="217">
        <f>'ASSOCIAÇÃO DA CRECHE SÃO FRANCI'!C13</f>
        <v/>
      </c>
    </row>
    <row r="1964" ht="15" customHeight="1" s="107">
      <c r="A1964" s="216">
        <f>'ASSOCIAÇÃO DA CRECHE SÃO FRANCI'!F14</f>
        <v/>
      </c>
      <c r="B1964" s="217">
        <f>'ASSOCIAÇÃO DA CRECHE SÃO FRANCI'!C14</f>
        <v/>
      </c>
    </row>
    <row r="1965" ht="15" customHeight="1" s="107">
      <c r="A1965" s="216">
        <f>'ASSOCIAÇÃO DA CRECHE SÃO FRANCI'!F15</f>
        <v/>
      </c>
      <c r="B1965" s="217">
        <f>'ASSOCIAÇÃO DA CRECHE SÃO FRANCI'!C15</f>
        <v/>
      </c>
    </row>
    <row r="1966" ht="15" customHeight="1" s="107">
      <c r="A1966" s="216">
        <f>'ASSOCIAÇÃO DA CRECHE SÃO FRANCI'!F16</f>
        <v/>
      </c>
      <c r="B1966" s="217">
        <f>'ASSOCIAÇÃO DA CRECHE SÃO FRANCI'!C16</f>
        <v/>
      </c>
    </row>
    <row r="1967" ht="15" customHeight="1" s="107">
      <c r="A1967" s="216">
        <f>'ASSOCIAÇÃO DA CRECHE SÃO FRANCI'!F17</f>
        <v/>
      </c>
      <c r="B1967" s="217">
        <f>'ASSOCIAÇÃO DA CRECHE SÃO FRANCI'!C17</f>
        <v/>
      </c>
    </row>
    <row r="1968" ht="15" customHeight="1" s="107">
      <c r="A1968" s="216">
        <f>'ASSOCIAÇÃO DA CRECHE SÃO FRANCI'!F18</f>
        <v/>
      </c>
      <c r="B1968" s="217">
        <f>'ASSOCIAÇÃO DA CRECHE SÃO FRANCI'!C18</f>
        <v/>
      </c>
    </row>
    <row r="1969" ht="15" customHeight="1" s="107">
      <c r="A1969" s="216">
        <f>'ASSOCIAÇÃO DA CRECHE SÃO FRANCI'!F19</f>
        <v/>
      </c>
      <c r="B1969" s="217">
        <f>'ASSOCIAÇÃO DA CRECHE SÃO FRANCI'!C19</f>
        <v/>
      </c>
    </row>
    <row r="1970" ht="15" customHeight="1" s="107">
      <c r="A1970" s="216">
        <f>'ASSOCIAÇÃO DA CRECHE SÃO FRANCI'!F20</f>
        <v/>
      </c>
      <c r="B1970" s="217">
        <f>'ASSOCIAÇÃO DA CRECHE SÃO FRANCI'!C20</f>
        <v/>
      </c>
    </row>
    <row r="1971" ht="15" customHeight="1" s="107">
      <c r="A1971" s="216">
        <f>'ASSOCIAÇÃO DA CRECHE SÃO FRANCI'!F21</f>
        <v/>
      </c>
      <c r="B1971" s="217">
        <f>'ASSOCIAÇÃO DA CRECHE SÃO FRANCI'!C21</f>
        <v/>
      </c>
    </row>
    <row r="1972" ht="15" customHeight="1" s="107">
      <c r="A1972" s="216">
        <f>'ASSOCIAÇÃO DA CRECHE SÃO FRANCI'!F22</f>
        <v/>
      </c>
      <c r="B1972" s="217">
        <f>'ASSOCIAÇÃO DA CRECHE SÃO FRANCI'!C22</f>
        <v/>
      </c>
    </row>
    <row r="1973" ht="15" customHeight="1" s="107">
      <c r="A1973" s="216">
        <f>'ASSOCIAÇÃO DA CRECHE SÃO FRANCI'!F23</f>
        <v/>
      </c>
      <c r="B1973" s="217">
        <f>'ASSOCIAÇÃO DA CRECHE SÃO FRANCI'!C23</f>
        <v/>
      </c>
    </row>
    <row r="1974" ht="15" customHeight="1" s="107">
      <c r="A1974" s="216">
        <f>'ASSOCIAÇÃO DA CRECHE SÃO FRANCI'!F24</f>
        <v/>
      </c>
      <c r="B1974" s="217">
        <f>'ASSOCIAÇÃO DA CRECHE SÃO FRANCI'!C24</f>
        <v/>
      </c>
    </row>
    <row r="1975" ht="15" customHeight="1" s="107">
      <c r="A1975" s="216">
        <f>'ASSOCIAÇÃO DA CRECHE SÃO FRANCI'!F25</f>
        <v/>
      </c>
      <c r="B1975" s="217">
        <f>'ASSOCIAÇÃO DA CRECHE SÃO FRANCI'!C25</f>
        <v/>
      </c>
    </row>
    <row r="1976" ht="15" customHeight="1" s="107">
      <c r="A1976" s="216">
        <f>'ASSOCIAÇÃO DA CRECHE SÃO FRANCI'!F26</f>
        <v/>
      </c>
      <c r="B1976" s="217">
        <f>'ASSOCIAÇÃO DA CRECHE SÃO FRANCI'!C26</f>
        <v/>
      </c>
    </row>
    <row r="1977" ht="15" customHeight="1" s="107">
      <c r="A1977" s="216">
        <f>'ASSOCIAÇÃO DA CRECHE SÃO FRANCI'!F27</f>
        <v/>
      </c>
      <c r="B1977" s="217">
        <f>'ASSOCIAÇÃO DA CRECHE SÃO FRANCI'!C27</f>
        <v/>
      </c>
    </row>
    <row r="1978" ht="15" customHeight="1" s="107">
      <c r="A1978" s="216">
        <f>'ESCOLA MUNICIPAL PAULO SALDANHA'!F9</f>
        <v/>
      </c>
      <c r="B1978" s="217">
        <f>'ESCOLA MUNICIPAL PAULO SALDANHA'!C9</f>
        <v/>
      </c>
    </row>
    <row r="1979" ht="15" customHeight="1" s="107">
      <c r="A1979" s="216">
        <f>'ESCOLA MUNICIPAL PAULO SALDANHA'!F10</f>
        <v/>
      </c>
      <c r="B1979" s="217">
        <f>'ESCOLA MUNICIPAL PAULO SALDANHA'!C10</f>
        <v/>
      </c>
    </row>
    <row r="1980" ht="15" customHeight="1" s="107">
      <c r="A1980" s="216">
        <f>'ESCOLA MUNICIPAL PAULO SALDANHA'!F11</f>
        <v/>
      </c>
      <c r="B1980" s="217">
        <f>'ESCOLA MUNICIPAL PAULO SALDANHA'!C11</f>
        <v/>
      </c>
    </row>
    <row r="1981" ht="15" customHeight="1" s="107">
      <c r="A1981" s="216">
        <f>'ESCOLA MUNICIPAL PAULO SALDANHA'!F12</f>
        <v/>
      </c>
      <c r="B1981" s="217">
        <f>'ESCOLA MUNICIPAL PAULO SALDANHA'!C12</f>
        <v/>
      </c>
    </row>
    <row r="1982" ht="15" customHeight="1" s="107">
      <c r="A1982" s="216">
        <f>'ESCOLA MUNICIPAL PAULO SALDANHA'!F13</f>
        <v/>
      </c>
      <c r="B1982" s="217">
        <f>'ESCOLA MUNICIPAL PAULO SALDANHA'!C13</f>
        <v/>
      </c>
    </row>
    <row r="1983" ht="15" customHeight="1" s="107">
      <c r="A1983" s="216">
        <f>'ESCOLA MUNICIPAL PAULO SALDANHA'!F14</f>
        <v/>
      </c>
      <c r="B1983" s="217">
        <f>'ESCOLA MUNICIPAL PAULO SALDANHA'!C14</f>
        <v/>
      </c>
    </row>
    <row r="1984" ht="15" customHeight="1" s="107">
      <c r="A1984" s="216">
        <f>'ESCOLA MUNICIPAL PAULO SALDANHA'!F15</f>
        <v/>
      </c>
      <c r="B1984" s="217">
        <f>'ESCOLA MUNICIPAL PAULO SALDANHA'!C15</f>
        <v/>
      </c>
    </row>
    <row r="1985" ht="15" customHeight="1" s="107">
      <c r="A1985" s="216">
        <f>'ESCOLA MUNICIPAL PAULO SALDANHA'!F16</f>
        <v/>
      </c>
      <c r="B1985" s="217">
        <f>'ESCOLA MUNICIPAL PAULO SALDANHA'!C16</f>
        <v/>
      </c>
    </row>
    <row r="1986" ht="15" customHeight="1" s="107">
      <c r="A1986" s="216">
        <f>'ESCOLA MUNICIPAL PAULO SALDANHA'!F17</f>
        <v/>
      </c>
      <c r="B1986" s="217">
        <f>'ESCOLA MUNICIPAL PAULO SALDANHA'!C17</f>
        <v/>
      </c>
    </row>
    <row r="1987" ht="15" customHeight="1" s="107">
      <c r="A1987" s="216">
        <f>'ESCOLA MUNICIPAL PAULO SALDANHA'!F18</f>
        <v/>
      </c>
      <c r="B1987" s="217">
        <f>'ESCOLA MUNICIPAL PAULO SALDANHA'!C18</f>
        <v/>
      </c>
    </row>
    <row r="1988" ht="15" customHeight="1" s="107">
      <c r="A1988" s="216">
        <f>'ESCOLA MUNICIPAL PAULO SALDANHA'!F19</f>
        <v/>
      </c>
      <c r="B1988" s="217">
        <f>'ESCOLA MUNICIPAL PAULO SALDANHA'!C19</f>
        <v/>
      </c>
    </row>
    <row r="1989" ht="15" customHeight="1" s="107">
      <c r="A1989" s="216">
        <f>'ESCOLA MUNICIPAL PAULO SALDANHA'!F20</f>
        <v/>
      </c>
      <c r="B1989" s="217">
        <f>'ESCOLA MUNICIPAL PAULO SALDANHA'!C20</f>
        <v/>
      </c>
    </row>
    <row r="1990" ht="15" customHeight="1" s="107">
      <c r="A1990" s="216">
        <f>'ESCOLA MUNICIPAL PAULO SALDANHA'!F21</f>
        <v/>
      </c>
      <c r="B1990" s="217">
        <f>'ESCOLA MUNICIPAL PAULO SALDANHA'!C21</f>
        <v/>
      </c>
    </row>
    <row r="1991" ht="15" customHeight="1" s="107">
      <c r="A1991" s="216">
        <f>'ESCOLA MUNICIPAL PAULO SALDANHA'!F22</f>
        <v/>
      </c>
      <c r="B1991" s="217">
        <f>'ESCOLA MUNICIPAL PAULO SALDANHA'!C22</f>
        <v/>
      </c>
    </row>
    <row r="1992" ht="15" customHeight="1" s="107">
      <c r="A1992" s="216">
        <f>'ESCOLA MUNICIPAL PAULO SALDANHA'!F23</f>
        <v/>
      </c>
      <c r="B1992" s="217">
        <f>'ESCOLA MUNICIPAL PAULO SALDANHA'!C23</f>
        <v/>
      </c>
    </row>
    <row r="1993" ht="15" customHeight="1" s="107">
      <c r="A1993" s="216">
        <f>'ESCOLA MUNICIPAL PAULO SALDANHA'!F24</f>
        <v/>
      </c>
      <c r="B1993" s="217">
        <f>'ESCOLA MUNICIPAL PAULO SALDANHA'!C24</f>
        <v/>
      </c>
    </row>
    <row r="1994" ht="15" customHeight="1" s="107">
      <c r="A1994" s="216">
        <f>'ESCOLA MUNICIPAL PAULO SALDANHA'!F25</f>
        <v/>
      </c>
      <c r="B1994" s="217">
        <f>'ESCOLA MUNICIPAL PAULO SALDANHA'!C25</f>
        <v/>
      </c>
    </row>
    <row r="1995" ht="15" customHeight="1" s="107">
      <c r="A1995" s="216">
        <f>'ESCOLA MUNICIPAL PAULO SALDANHA'!F26</f>
        <v/>
      </c>
      <c r="B1995" s="217">
        <f>'ESCOLA MUNICIPAL PAULO SALDANHA'!C26</f>
        <v/>
      </c>
    </row>
    <row r="1996" ht="15" customHeight="1" s="107">
      <c r="A1996" s="216">
        <f>'ESCOLA MUNICIPAL PAULO SALDANHA'!F27</f>
        <v/>
      </c>
      <c r="B1996" s="217">
        <f>'ESCOLA MUNICIPAL PAULO SALDANHA'!C27</f>
        <v/>
      </c>
    </row>
    <row r="1997" ht="15" customHeight="1" s="107">
      <c r="A1997" s="216">
        <f>'ESCOLA MUNICIPAL LÚCIA DE ALMEI'!F9</f>
        <v/>
      </c>
      <c r="B1997" s="217">
        <f>'ESCOLA MUNICIPAL LÚCIA DE ALMEI'!C9</f>
        <v/>
      </c>
    </row>
    <row r="1998" ht="15" customHeight="1" s="107">
      <c r="A1998" s="216">
        <f>'ESCOLA MUNICIPAL LÚCIA DE ALMEI'!F10</f>
        <v/>
      </c>
      <c r="B1998" s="217">
        <f>'ESCOLA MUNICIPAL LÚCIA DE ALMEI'!C10</f>
        <v/>
      </c>
    </row>
    <row r="1999" ht="15" customHeight="1" s="107">
      <c r="A1999" s="216">
        <f>'ESCOLA MUNICIPAL LÚCIA DE ALMEI'!F11</f>
        <v/>
      </c>
      <c r="B1999" s="217">
        <f>'ESCOLA MUNICIPAL LÚCIA DE ALMEI'!C11</f>
        <v/>
      </c>
    </row>
    <row r="2000" ht="15" customHeight="1" s="107">
      <c r="A2000" s="216">
        <f>'ESCOLA MUNICIPAL LÚCIA DE ALMEI'!F12</f>
        <v/>
      </c>
      <c r="B2000" s="217">
        <f>'ESCOLA MUNICIPAL LÚCIA DE ALMEI'!C12</f>
        <v/>
      </c>
    </row>
    <row r="2001" ht="15" customHeight="1" s="107">
      <c r="A2001" s="216">
        <f>'ESCOLA MUNICIPAL LÚCIA DE ALMEI'!F13</f>
        <v/>
      </c>
      <c r="B2001" s="217">
        <f>'ESCOLA MUNICIPAL LÚCIA DE ALMEI'!C13</f>
        <v/>
      </c>
    </row>
    <row r="2002" ht="15" customHeight="1" s="107">
      <c r="A2002" s="216">
        <f>'ESCOLA MUNICIPAL LÚCIA DE ALMEI'!F14</f>
        <v/>
      </c>
      <c r="B2002" s="217">
        <f>'ESCOLA MUNICIPAL LÚCIA DE ALMEI'!C14</f>
        <v/>
      </c>
    </row>
    <row r="2003" ht="15" customHeight="1" s="107">
      <c r="A2003" s="216">
        <f>'ESCOLA MUNICIPAL LÚCIA DE ALMEI'!F15</f>
        <v/>
      </c>
      <c r="B2003" s="217">
        <f>'ESCOLA MUNICIPAL LÚCIA DE ALMEI'!C15</f>
        <v/>
      </c>
    </row>
    <row r="2004" ht="15" customHeight="1" s="107">
      <c r="A2004" s="216">
        <f>'ESCOLA MUNICIPAL LÚCIA DE ALMEI'!F16</f>
        <v/>
      </c>
      <c r="B2004" s="217">
        <f>'ESCOLA MUNICIPAL LÚCIA DE ALMEI'!C16</f>
        <v/>
      </c>
    </row>
    <row r="2005" ht="15" customHeight="1" s="107">
      <c r="A2005" s="216">
        <f>'ESCOLA MUNICIPAL LÚCIA DE ALMEI'!F17</f>
        <v/>
      </c>
      <c r="B2005" s="217">
        <f>'ESCOLA MUNICIPAL LÚCIA DE ALMEI'!C17</f>
        <v/>
      </c>
    </row>
    <row r="2006" ht="15" customHeight="1" s="107">
      <c r="A2006" s="216">
        <f>'ESCOLA MUNICIPAL LÚCIA DE ALMEI'!F18</f>
        <v/>
      </c>
      <c r="B2006" s="217">
        <f>'ESCOLA MUNICIPAL LÚCIA DE ALMEI'!C18</f>
        <v/>
      </c>
    </row>
    <row r="2007" ht="15" customHeight="1" s="107">
      <c r="A2007" s="216">
        <f>'ESCOLA MUNICIPAL LÚCIA DE ALMEI'!F19</f>
        <v/>
      </c>
      <c r="B2007" s="217">
        <f>'ESCOLA MUNICIPAL LÚCIA DE ALMEI'!C19</f>
        <v/>
      </c>
    </row>
    <row r="2008" ht="15" customHeight="1" s="107">
      <c r="A2008" s="216">
        <f>'ESCOLA MUNICIPAL LÚCIA DE ALMEI'!F20</f>
        <v/>
      </c>
      <c r="B2008" s="217">
        <f>'ESCOLA MUNICIPAL LÚCIA DE ALMEI'!C20</f>
        <v/>
      </c>
    </row>
    <row r="2009" ht="15" customHeight="1" s="107">
      <c r="A2009" s="216">
        <f>'ESCOLA MUNICIPAL LÚCIA DE ALMEI'!F21</f>
        <v/>
      </c>
      <c r="B2009" s="217">
        <f>'ESCOLA MUNICIPAL LÚCIA DE ALMEI'!C21</f>
        <v/>
      </c>
    </row>
    <row r="2010" ht="15" customHeight="1" s="107">
      <c r="A2010" s="216">
        <f>'ESCOLA MUNICIPAL LÚCIA DE ALMEI'!F22</f>
        <v/>
      </c>
      <c r="B2010" s="217">
        <f>'ESCOLA MUNICIPAL LÚCIA DE ALMEI'!C22</f>
        <v/>
      </c>
    </row>
    <row r="2011" ht="15" customHeight="1" s="107">
      <c r="A2011" s="216">
        <f>'ESCOLA MUNICIPAL LÚCIA DE ALMEI'!F23</f>
        <v/>
      </c>
      <c r="B2011" s="217">
        <f>'ESCOLA MUNICIPAL LÚCIA DE ALMEI'!C23</f>
        <v/>
      </c>
    </row>
    <row r="2012" ht="15" customHeight="1" s="107">
      <c r="A2012" s="216">
        <f>'ESCOLA MUNICIPAL LÚCIA DE ALMEI'!F24</f>
        <v/>
      </c>
      <c r="B2012" s="217">
        <f>'ESCOLA MUNICIPAL LÚCIA DE ALMEI'!C24</f>
        <v/>
      </c>
    </row>
    <row r="2013" ht="15" customHeight="1" s="107">
      <c r="A2013" s="216">
        <f>'ESCOLA MUNICIPAL LÚCIA DE ALMEI'!F25</f>
        <v/>
      </c>
      <c r="B2013" s="217">
        <f>'ESCOLA MUNICIPAL LÚCIA DE ALMEI'!C25</f>
        <v/>
      </c>
    </row>
    <row r="2014" ht="15" customHeight="1" s="107">
      <c r="A2014" s="216">
        <f>'ESCOLA MUNICIPAL LÚCIA DE ALMEI'!F26</f>
        <v/>
      </c>
      <c r="B2014" s="217">
        <f>'ESCOLA MUNICIPAL LÚCIA DE ALMEI'!C26</f>
        <v/>
      </c>
    </row>
    <row r="2015" ht="15" customHeight="1" s="107">
      <c r="A2015" s="216">
        <f>'ESCOLA MUNICIPAL LÚCIA DE ALMEI'!F27</f>
        <v/>
      </c>
      <c r="B2015" s="217">
        <f>'ESCOLA MUNICIPAL LÚCIA DE ALMEI'!C27</f>
        <v/>
      </c>
    </row>
    <row r="2016" ht="15" customHeight="1" s="107">
      <c r="A2016" s="216">
        <f>'E M DOM MANOEL PEDRO DA CUNHA C'!F9</f>
        <v/>
      </c>
      <c r="B2016" s="217">
        <f>'E M DOM MANOEL PEDRO DA CUNHA C'!C9</f>
        <v/>
      </c>
    </row>
    <row r="2017" ht="15" customHeight="1" s="107">
      <c r="A2017" s="216">
        <f>'E M DOM MANOEL PEDRO DA CUNHA C'!F10</f>
        <v/>
      </c>
      <c r="B2017" s="217">
        <f>'E M DOM MANOEL PEDRO DA CUNHA C'!C10</f>
        <v/>
      </c>
    </row>
    <row r="2018" ht="15" customHeight="1" s="107">
      <c r="A2018" s="216">
        <f>'E M DOM MANOEL PEDRO DA CUNHA C'!F11</f>
        <v/>
      </c>
      <c r="B2018" s="217">
        <f>'E M DOM MANOEL PEDRO DA CUNHA C'!C11</f>
        <v/>
      </c>
    </row>
    <row r="2019" ht="15" customHeight="1" s="107">
      <c r="A2019" s="216">
        <f>'E M DOM MANOEL PEDRO DA CUNHA C'!F12</f>
        <v/>
      </c>
      <c r="B2019" s="217">
        <f>'E M DOM MANOEL PEDRO DA CUNHA C'!C12</f>
        <v/>
      </c>
    </row>
    <row r="2020" ht="15" customHeight="1" s="107">
      <c r="A2020" s="216">
        <f>'E M DOM MANOEL PEDRO DA CUNHA C'!F13</f>
        <v/>
      </c>
      <c r="B2020" s="217">
        <f>'E M DOM MANOEL PEDRO DA CUNHA C'!C13</f>
        <v/>
      </c>
    </row>
    <row r="2021" ht="15" customHeight="1" s="107">
      <c r="A2021" s="216">
        <f>'E M DOM MANOEL PEDRO DA CUNHA C'!F14</f>
        <v/>
      </c>
      <c r="B2021" s="217">
        <f>'E M DOM MANOEL PEDRO DA CUNHA C'!C14</f>
        <v/>
      </c>
    </row>
    <row r="2022" ht="15" customHeight="1" s="107">
      <c r="A2022" s="216">
        <f>'E M DOM MANOEL PEDRO DA CUNHA C'!F15</f>
        <v/>
      </c>
      <c r="B2022" s="217">
        <f>'E M DOM MANOEL PEDRO DA CUNHA C'!C15</f>
        <v/>
      </c>
    </row>
    <row r="2023" ht="15" customHeight="1" s="107">
      <c r="A2023" s="216">
        <f>'E M DOM MANOEL PEDRO DA CUNHA C'!F16</f>
        <v/>
      </c>
      <c r="B2023" s="217">
        <f>'E M DOM MANOEL PEDRO DA CUNHA C'!C16</f>
        <v/>
      </c>
    </row>
    <row r="2024" ht="15" customHeight="1" s="107">
      <c r="A2024" s="216">
        <f>'E M DOM MANOEL PEDRO DA CUNHA C'!F17</f>
        <v/>
      </c>
      <c r="B2024" s="217">
        <f>'E M DOM MANOEL PEDRO DA CUNHA C'!C17</f>
        <v/>
      </c>
    </row>
    <row r="2025" ht="15" customHeight="1" s="107">
      <c r="A2025" s="216">
        <f>'E M DOM MANOEL PEDRO DA CUNHA C'!F18</f>
        <v/>
      </c>
      <c r="B2025" s="217">
        <f>'E M DOM MANOEL PEDRO DA CUNHA C'!C18</f>
        <v/>
      </c>
    </row>
    <row r="2026" ht="15" customHeight="1" s="107">
      <c r="A2026" s="216">
        <f>'E M DOM MANOEL PEDRO DA CUNHA C'!F19</f>
        <v/>
      </c>
      <c r="B2026" s="217">
        <f>'E M DOM MANOEL PEDRO DA CUNHA C'!C19</f>
        <v/>
      </c>
    </row>
    <row r="2027" ht="15" customHeight="1" s="107">
      <c r="A2027" s="216">
        <f>'E M DOM MANOEL PEDRO DA CUNHA C'!F20</f>
        <v/>
      </c>
      <c r="B2027" s="217">
        <f>'E M DOM MANOEL PEDRO DA CUNHA C'!C20</f>
        <v/>
      </c>
    </row>
    <row r="2028" ht="15" customHeight="1" s="107">
      <c r="A2028" s="216">
        <f>'E M DOM MANOEL PEDRO DA CUNHA C'!F21</f>
        <v/>
      </c>
      <c r="B2028" s="217">
        <f>'E M DOM MANOEL PEDRO DA CUNHA C'!C21</f>
        <v/>
      </c>
    </row>
    <row r="2029" ht="15" customHeight="1" s="107">
      <c r="A2029" s="216">
        <f>'E M DOM MANOEL PEDRO DA CUNHA C'!F22</f>
        <v/>
      </c>
      <c r="B2029" s="217">
        <f>'E M DOM MANOEL PEDRO DA CUNHA C'!C22</f>
        <v/>
      </c>
    </row>
    <row r="2030" ht="15" customHeight="1" s="107">
      <c r="A2030" s="216">
        <f>'E M DOM MANOEL PEDRO DA CUNHA C'!F23</f>
        <v/>
      </c>
      <c r="B2030" s="217">
        <f>'E M DOM MANOEL PEDRO DA CUNHA C'!C23</f>
        <v/>
      </c>
    </row>
    <row r="2031" ht="15" customHeight="1" s="107">
      <c r="A2031" s="216">
        <f>'E M DOM MANOEL PEDRO DA CUNHA C'!F24</f>
        <v/>
      </c>
      <c r="B2031" s="217">
        <f>'E M DOM MANOEL PEDRO DA CUNHA C'!C24</f>
        <v/>
      </c>
    </row>
    <row r="2032" ht="15" customHeight="1" s="107">
      <c r="A2032" s="216">
        <f>'E M DOM MANOEL PEDRO DA CUNHA C'!F25</f>
        <v/>
      </c>
      <c r="B2032" s="217">
        <f>'E M DOM MANOEL PEDRO DA CUNHA C'!C25</f>
        <v/>
      </c>
    </row>
    <row r="2033" ht="15" customHeight="1" s="107">
      <c r="A2033" s="216">
        <f>'E M DOM MANOEL PEDRO DA CUNHA C'!F26</f>
        <v/>
      </c>
      <c r="B2033" s="217">
        <f>'E M DOM MANOEL PEDRO DA CUNHA C'!C26</f>
        <v/>
      </c>
    </row>
    <row r="2034" ht="15" customHeight="1" s="107">
      <c r="A2034" s="216">
        <f>'E M DOM MANOEL PEDRO DA CUNHA C'!F27</f>
        <v/>
      </c>
      <c r="B2034" s="217">
        <f>'E M DOM MANOEL PEDRO DA CUNHA C'!C27</f>
        <v/>
      </c>
    </row>
    <row r="2035" ht="15" customHeight="1" s="107">
      <c r="A2035" s="216">
        <f>'ESCOLA SÃO GERALDO'!F9</f>
        <v/>
      </c>
      <c r="B2035" s="217">
        <f>'ESCOLA SÃO GERALDO'!C9</f>
        <v/>
      </c>
    </row>
    <row r="2036" ht="15" customHeight="1" s="107">
      <c r="A2036" s="216">
        <f>'ESCOLA SÃO GERALDO'!F10</f>
        <v/>
      </c>
      <c r="B2036" s="217">
        <f>'ESCOLA SÃO GERALDO'!C10</f>
        <v/>
      </c>
    </row>
    <row r="2037" ht="15" customHeight="1" s="107">
      <c r="A2037" s="216">
        <f>'ESCOLA SÃO GERALDO'!F11</f>
        <v/>
      </c>
      <c r="B2037" s="217">
        <f>'ESCOLA SÃO GERALDO'!C11</f>
        <v/>
      </c>
    </row>
    <row r="2038" ht="15" customHeight="1" s="107">
      <c r="A2038" s="216">
        <f>'ESCOLA SÃO GERALDO'!F12</f>
        <v/>
      </c>
      <c r="B2038" s="217">
        <f>'ESCOLA SÃO GERALDO'!C12</f>
        <v/>
      </c>
    </row>
    <row r="2039" ht="15" customHeight="1" s="107">
      <c r="A2039" s="216">
        <f>'ESCOLA SÃO GERALDO'!F13</f>
        <v/>
      </c>
      <c r="B2039" s="217">
        <f>'ESCOLA SÃO GERALDO'!C13</f>
        <v/>
      </c>
    </row>
    <row r="2040" ht="15" customHeight="1" s="107">
      <c r="A2040" s="216">
        <f>'ESCOLA SÃO GERALDO'!F14</f>
        <v/>
      </c>
      <c r="B2040" s="217">
        <f>'ESCOLA SÃO GERALDO'!C14</f>
        <v/>
      </c>
    </row>
    <row r="2041" ht="15" customHeight="1" s="107">
      <c r="A2041" s="216">
        <f>'ESCOLA SÃO GERALDO'!F15</f>
        <v/>
      </c>
      <c r="B2041" s="217">
        <f>'ESCOLA SÃO GERALDO'!C15</f>
        <v/>
      </c>
    </row>
    <row r="2042" ht="15" customHeight="1" s="107">
      <c r="A2042" s="216">
        <f>'ESCOLA SÃO GERALDO'!F16</f>
        <v/>
      </c>
      <c r="B2042" s="217">
        <f>'ESCOLA SÃO GERALDO'!C16</f>
        <v/>
      </c>
    </row>
    <row r="2043" ht="15" customHeight="1" s="107">
      <c r="A2043" s="216">
        <f>'ESCOLA SÃO GERALDO'!F17</f>
        <v/>
      </c>
      <c r="B2043" s="217">
        <f>'ESCOLA SÃO GERALDO'!C17</f>
        <v/>
      </c>
    </row>
    <row r="2044" ht="15" customHeight="1" s="107">
      <c r="A2044" s="216">
        <f>'ESCOLA SÃO GERALDO'!F18</f>
        <v/>
      </c>
      <c r="B2044" s="217">
        <f>'ESCOLA SÃO GERALDO'!C18</f>
        <v/>
      </c>
    </row>
    <row r="2045" ht="15" customHeight="1" s="107">
      <c r="A2045" s="216">
        <f>'ESCOLA SÃO GERALDO'!F19</f>
        <v/>
      </c>
      <c r="B2045" s="217">
        <f>'ESCOLA SÃO GERALDO'!C19</f>
        <v/>
      </c>
    </row>
    <row r="2046" ht="15" customHeight="1" s="107">
      <c r="A2046" s="216">
        <f>'ESCOLA SÃO GERALDO'!F20</f>
        <v/>
      </c>
      <c r="B2046" s="217">
        <f>'ESCOLA SÃO GERALDO'!C20</f>
        <v/>
      </c>
    </row>
    <row r="2047" ht="15" customHeight="1" s="107">
      <c r="A2047" s="216">
        <f>'ESCOLA SÃO GERALDO'!F21</f>
        <v/>
      </c>
      <c r="B2047" s="217">
        <f>'ESCOLA SÃO GERALDO'!C21</f>
        <v/>
      </c>
    </row>
    <row r="2048" ht="15" customHeight="1" s="107">
      <c r="A2048" s="216">
        <f>'ESCOLA SÃO GERALDO'!F22</f>
        <v/>
      </c>
      <c r="B2048" s="217">
        <f>'ESCOLA SÃO GERALDO'!C22</f>
        <v/>
      </c>
    </row>
    <row r="2049" ht="15" customHeight="1" s="107">
      <c r="A2049" s="216">
        <f>'ESCOLA SÃO GERALDO'!F23</f>
        <v/>
      </c>
      <c r="B2049" s="217">
        <f>'ESCOLA SÃO GERALDO'!C23</f>
        <v/>
      </c>
    </row>
    <row r="2050" ht="15" customHeight="1" s="107">
      <c r="A2050" s="216">
        <f>'ESCOLA SÃO GERALDO'!F24</f>
        <v/>
      </c>
      <c r="B2050" s="217">
        <f>'ESCOLA SÃO GERALDO'!C24</f>
        <v/>
      </c>
    </row>
    <row r="2051" ht="15" customHeight="1" s="107">
      <c r="A2051" s="216">
        <f>'ESCOLA SÃO GERALDO'!F25</f>
        <v/>
      </c>
      <c r="B2051" s="217">
        <f>'ESCOLA SÃO GERALDO'!C25</f>
        <v/>
      </c>
    </row>
    <row r="2052" ht="15" customHeight="1" s="107">
      <c r="A2052" s="216">
        <f>'ESCOLA SÃO GERALDO'!F26</f>
        <v/>
      </c>
      <c r="B2052" s="217">
        <f>'ESCOLA SÃO GERALDO'!C26</f>
        <v/>
      </c>
    </row>
    <row r="2053" ht="15" customHeight="1" s="107">
      <c r="A2053" s="216">
        <f>'ESCOLA SÃO GERALDO'!F27</f>
        <v/>
      </c>
      <c r="B2053" s="217">
        <f>'ESCOLA SÃO GERALDO'!C27</f>
        <v/>
      </c>
    </row>
    <row r="2054" ht="15" customHeight="1" s="107">
      <c r="A2054" s="216">
        <f>'CEI LULU MONTEIRO DE CASTRO'!F9</f>
        <v/>
      </c>
      <c r="B2054" s="217">
        <f>'CEI LULU MONTEIRO DE CASTRO'!C9</f>
        <v/>
      </c>
    </row>
    <row r="2055" ht="15" customHeight="1" s="107">
      <c r="A2055" s="216">
        <f>'CEI LULU MONTEIRO DE CASTRO'!F10</f>
        <v/>
      </c>
      <c r="B2055" s="217">
        <f>'CEI LULU MONTEIRO DE CASTRO'!C10</f>
        <v/>
      </c>
    </row>
    <row r="2056" ht="15" customHeight="1" s="107">
      <c r="A2056" s="216">
        <f>'CEI LULU MONTEIRO DE CASTRO'!F11</f>
        <v/>
      </c>
      <c r="B2056" s="217">
        <f>'CEI LULU MONTEIRO DE CASTRO'!C11</f>
        <v/>
      </c>
    </row>
    <row r="2057" ht="15" customHeight="1" s="107">
      <c r="A2057" s="216">
        <f>'CEI LULU MONTEIRO DE CASTRO'!F12</f>
        <v/>
      </c>
      <c r="B2057" s="217">
        <f>'CEI LULU MONTEIRO DE CASTRO'!C12</f>
        <v/>
      </c>
    </row>
    <row r="2058" ht="15" customHeight="1" s="107">
      <c r="A2058" s="216">
        <f>'CEI LULU MONTEIRO DE CASTRO'!F13</f>
        <v/>
      </c>
      <c r="B2058" s="217">
        <f>'CEI LULU MONTEIRO DE CASTRO'!C13</f>
        <v/>
      </c>
    </row>
    <row r="2059" ht="15" customHeight="1" s="107">
      <c r="A2059" s="216">
        <f>'CEI LULU MONTEIRO DE CASTRO'!F14</f>
        <v/>
      </c>
      <c r="B2059" s="217">
        <f>'CEI LULU MONTEIRO DE CASTRO'!C14</f>
        <v/>
      </c>
    </row>
    <row r="2060" ht="15" customHeight="1" s="107">
      <c r="A2060" s="216">
        <f>'CEI LULU MONTEIRO DE CASTRO'!F15</f>
        <v/>
      </c>
      <c r="B2060" s="217">
        <f>'CEI LULU MONTEIRO DE CASTRO'!C15</f>
        <v/>
      </c>
    </row>
    <row r="2061" ht="15" customHeight="1" s="107">
      <c r="A2061" s="216">
        <f>'CEI LULU MONTEIRO DE CASTRO'!F16</f>
        <v/>
      </c>
      <c r="B2061" s="217">
        <f>'CEI LULU MONTEIRO DE CASTRO'!C16</f>
        <v/>
      </c>
    </row>
    <row r="2062" ht="15" customHeight="1" s="107">
      <c r="A2062" s="216">
        <f>'CEI LULU MONTEIRO DE CASTRO'!F17</f>
        <v/>
      </c>
      <c r="B2062" s="217">
        <f>'CEI LULU MONTEIRO DE CASTRO'!C17</f>
        <v/>
      </c>
    </row>
    <row r="2063" ht="15" customHeight="1" s="107">
      <c r="A2063" s="216">
        <f>'CEI LULU MONTEIRO DE CASTRO'!F18</f>
        <v/>
      </c>
      <c r="B2063" s="217">
        <f>'CEI LULU MONTEIRO DE CASTRO'!C18</f>
        <v/>
      </c>
    </row>
    <row r="2064" ht="15" customHeight="1" s="107">
      <c r="A2064" s="216">
        <f>'CEI LULU MONTEIRO DE CASTRO'!F19</f>
        <v/>
      </c>
      <c r="B2064" s="217">
        <f>'CEI LULU MONTEIRO DE CASTRO'!C19</f>
        <v/>
      </c>
    </row>
    <row r="2065" ht="15" customHeight="1" s="107">
      <c r="A2065" s="216">
        <f>'CEI LULU MONTEIRO DE CASTRO'!F20</f>
        <v/>
      </c>
      <c r="B2065" s="217">
        <f>'CEI LULU MONTEIRO DE CASTRO'!C20</f>
        <v/>
      </c>
    </row>
    <row r="2066" ht="15" customHeight="1" s="107">
      <c r="A2066" s="216">
        <f>'CEI LULU MONTEIRO DE CASTRO'!F21</f>
        <v/>
      </c>
      <c r="B2066" s="217">
        <f>'CEI LULU MONTEIRO DE CASTRO'!C21</f>
        <v/>
      </c>
    </row>
    <row r="2067" ht="15" customHeight="1" s="107">
      <c r="A2067" s="216">
        <f>'CEI LULU MONTEIRO DE CASTRO'!F22</f>
        <v/>
      </c>
      <c r="B2067" s="217">
        <f>'CEI LULU MONTEIRO DE CASTRO'!C22</f>
        <v/>
      </c>
    </row>
    <row r="2068" ht="15" customHeight="1" s="107">
      <c r="A2068" s="216">
        <f>'CEI LULU MONTEIRO DE CASTRO'!F23</f>
        <v/>
      </c>
      <c r="B2068" s="217">
        <f>'CEI LULU MONTEIRO DE CASTRO'!C23</f>
        <v/>
      </c>
    </row>
    <row r="2069" ht="15" customHeight="1" s="107">
      <c r="A2069" s="216">
        <f>'CEI LULU MONTEIRO DE CASTRO'!F24</f>
        <v/>
      </c>
      <c r="B2069" s="217">
        <f>'CEI LULU MONTEIRO DE CASTRO'!C24</f>
        <v/>
      </c>
    </row>
    <row r="2070" ht="15" customHeight="1" s="107">
      <c r="A2070" s="216">
        <f>'CEI LULU MONTEIRO DE CASTRO'!F25</f>
        <v/>
      </c>
      <c r="B2070" s="217">
        <f>'CEI LULU MONTEIRO DE CASTRO'!C25</f>
        <v/>
      </c>
    </row>
    <row r="2071" ht="15" customHeight="1" s="107">
      <c r="A2071" s="216">
        <f>'CEI LULU MONTEIRO DE CASTRO'!F26</f>
        <v/>
      </c>
      <c r="B2071" s="217">
        <f>'CEI LULU MONTEIRO DE CASTRO'!C26</f>
        <v/>
      </c>
    </row>
    <row r="2072" ht="15" customHeight="1" s="107">
      <c r="A2072" s="216">
        <f>'CEI LULU MONTEIRO DE CASTRO'!F27</f>
        <v/>
      </c>
      <c r="B2072" s="217">
        <f>'CEI LULU MONTEIRO DE CASTRO'!C27</f>
        <v/>
      </c>
    </row>
    <row r="2073" ht="15" customHeight="1" s="107">
      <c r="A2073" s="216">
        <f>'CEI CARANGOLA'!F9</f>
        <v/>
      </c>
      <c r="B2073" s="217">
        <f>'CEI CARANGOLA'!C9</f>
        <v/>
      </c>
    </row>
    <row r="2074" ht="15" customHeight="1" s="107">
      <c r="A2074" s="216">
        <f>'CEI CARANGOLA'!F10</f>
        <v/>
      </c>
      <c r="B2074" s="217">
        <f>'CEI CARANGOLA'!C10</f>
        <v/>
      </c>
    </row>
    <row r="2075" ht="15" customHeight="1" s="107">
      <c r="A2075" s="216">
        <f>'CEI CARANGOLA'!F11</f>
        <v/>
      </c>
      <c r="B2075" s="217">
        <f>'CEI CARANGOLA'!C11</f>
        <v/>
      </c>
    </row>
    <row r="2076" ht="15" customHeight="1" s="107">
      <c r="A2076" s="216">
        <f>'CEI CARANGOLA'!F12</f>
        <v/>
      </c>
      <c r="B2076" s="217">
        <f>'CEI CARANGOLA'!C12</f>
        <v/>
      </c>
    </row>
    <row r="2077" ht="15" customHeight="1" s="107">
      <c r="A2077" s="216">
        <f>'CEI CARANGOLA'!F13</f>
        <v/>
      </c>
      <c r="B2077" s="217">
        <f>'CEI CARANGOLA'!C13</f>
        <v/>
      </c>
    </row>
    <row r="2078" ht="15" customHeight="1" s="107">
      <c r="A2078" s="216">
        <f>'CEI CARANGOLA'!F14</f>
        <v/>
      </c>
      <c r="B2078" s="217">
        <f>'CEI CARANGOLA'!C14</f>
        <v/>
      </c>
    </row>
    <row r="2079" ht="15" customHeight="1" s="107">
      <c r="A2079" s="216">
        <f>'CEI CARANGOLA'!F15</f>
        <v/>
      </c>
      <c r="B2079" s="217">
        <f>'CEI CARANGOLA'!C15</f>
        <v/>
      </c>
    </row>
    <row r="2080" ht="15" customHeight="1" s="107">
      <c r="A2080" s="216">
        <f>'CEI CARANGOLA'!F16</f>
        <v/>
      </c>
      <c r="B2080" s="217">
        <f>'CEI CARANGOLA'!C16</f>
        <v/>
      </c>
    </row>
    <row r="2081" ht="15" customHeight="1" s="107">
      <c r="A2081" s="216">
        <f>'CEI CARANGOLA'!F17</f>
        <v/>
      </c>
      <c r="B2081" s="217">
        <f>'CEI CARANGOLA'!C17</f>
        <v/>
      </c>
    </row>
    <row r="2082" ht="15" customHeight="1" s="107">
      <c r="A2082" s="216">
        <f>'CEI CARANGOLA'!F18</f>
        <v/>
      </c>
      <c r="B2082" s="217">
        <f>'CEI CARANGOLA'!C18</f>
        <v/>
      </c>
    </row>
    <row r="2083" ht="15" customHeight="1" s="107">
      <c r="A2083" s="216">
        <f>'CEI CARANGOLA'!F19</f>
        <v/>
      </c>
      <c r="B2083" s="217">
        <f>'CEI CARANGOLA'!C19</f>
        <v/>
      </c>
    </row>
    <row r="2084" ht="15" customHeight="1" s="107">
      <c r="A2084" s="216">
        <f>'CEI CARANGOLA'!F20</f>
        <v/>
      </c>
      <c r="B2084" s="217">
        <f>'CEI CARANGOLA'!C20</f>
        <v/>
      </c>
    </row>
    <row r="2085" ht="15" customHeight="1" s="107">
      <c r="A2085" s="216">
        <f>'CEI CARANGOLA'!F21</f>
        <v/>
      </c>
      <c r="B2085" s="217">
        <f>'CEI CARANGOLA'!C21</f>
        <v/>
      </c>
    </row>
    <row r="2086" ht="15" customHeight="1" s="107">
      <c r="A2086" s="216">
        <f>'CEI CARANGOLA'!F22</f>
        <v/>
      </c>
      <c r="B2086" s="217">
        <f>'CEI CARANGOLA'!C22</f>
        <v/>
      </c>
    </row>
    <row r="2087" ht="15" customHeight="1" s="107">
      <c r="A2087" s="216">
        <f>'CEI CARANGOLA'!F23</f>
        <v/>
      </c>
      <c r="B2087" s="217">
        <f>'CEI CARANGOLA'!C23</f>
        <v/>
      </c>
    </row>
    <row r="2088" ht="15" customHeight="1" s="107">
      <c r="A2088" s="216">
        <f>'CEI CARANGOLA'!F24</f>
        <v/>
      </c>
      <c r="B2088" s="217">
        <f>'CEI CARANGOLA'!C24</f>
        <v/>
      </c>
    </row>
    <row r="2089" ht="15" customHeight="1" s="107">
      <c r="A2089" s="216">
        <f>'CEI CARANGOLA'!F25</f>
        <v/>
      </c>
      <c r="B2089" s="217">
        <f>'CEI CARANGOLA'!C25</f>
        <v/>
      </c>
    </row>
    <row r="2090" ht="15" customHeight="1" s="107">
      <c r="A2090" s="216">
        <f>'CEI CARANGOLA'!F26</f>
        <v/>
      </c>
      <c r="B2090" s="217">
        <f>'CEI CARANGOLA'!C26</f>
        <v/>
      </c>
    </row>
    <row r="2091" ht="15" customHeight="1" s="107">
      <c r="A2091" s="216">
        <f>'CEI CARANGOLA'!F27</f>
        <v/>
      </c>
      <c r="B2091" s="217">
        <f>'CEI CARANGOLA'!C27</f>
        <v/>
      </c>
    </row>
    <row r="2092" ht="15" customHeight="1" s="107">
      <c r="A2092" s="216">
        <f>'ASSOCIAÇÃO RECREAR'!F9</f>
        <v/>
      </c>
      <c r="B2092" s="217">
        <f>'ASSOCIAÇÃO RECREAR'!C9</f>
        <v/>
      </c>
    </row>
    <row r="2093" ht="15" customHeight="1" s="107">
      <c r="A2093" s="216">
        <f>'ASSOCIAÇÃO RECREAR'!F10</f>
        <v/>
      </c>
      <c r="B2093" s="217">
        <f>'ASSOCIAÇÃO RECREAR'!C10</f>
        <v/>
      </c>
    </row>
    <row r="2094" ht="15" customHeight="1" s="107">
      <c r="A2094" s="216">
        <f>'ASSOCIAÇÃO RECREAR'!F11</f>
        <v/>
      </c>
      <c r="B2094" s="217">
        <f>'ASSOCIAÇÃO RECREAR'!C11</f>
        <v/>
      </c>
    </row>
    <row r="2095" ht="15" customHeight="1" s="107">
      <c r="A2095" s="216">
        <f>'ASSOCIAÇÃO RECREAR'!F12</f>
        <v/>
      </c>
      <c r="B2095" s="217">
        <f>'ASSOCIAÇÃO RECREAR'!C12</f>
        <v/>
      </c>
    </row>
    <row r="2096" ht="15" customHeight="1" s="107">
      <c r="A2096" s="216">
        <f>'ASSOCIAÇÃO RECREAR'!F13</f>
        <v/>
      </c>
      <c r="B2096" s="217">
        <f>'ASSOCIAÇÃO RECREAR'!C13</f>
        <v/>
      </c>
    </row>
    <row r="2097" ht="15" customHeight="1" s="107">
      <c r="A2097" s="216">
        <f>'ASSOCIAÇÃO RECREAR'!F14</f>
        <v/>
      </c>
      <c r="B2097" s="217">
        <f>'ASSOCIAÇÃO RECREAR'!C14</f>
        <v/>
      </c>
    </row>
    <row r="2098" ht="15" customHeight="1" s="107">
      <c r="A2098" s="216">
        <f>'ASSOCIAÇÃO RECREAR'!F15</f>
        <v/>
      </c>
      <c r="B2098" s="217">
        <f>'ASSOCIAÇÃO RECREAR'!C15</f>
        <v/>
      </c>
    </row>
    <row r="2099" ht="15" customHeight="1" s="107">
      <c r="A2099" s="216">
        <f>'ASSOCIAÇÃO RECREAR'!F16</f>
        <v/>
      </c>
      <c r="B2099" s="217">
        <f>'ASSOCIAÇÃO RECREAR'!C16</f>
        <v/>
      </c>
    </row>
    <row r="2100" ht="15" customHeight="1" s="107">
      <c r="A2100" s="216">
        <f>'ASSOCIAÇÃO RECREAR'!F17</f>
        <v/>
      </c>
      <c r="B2100" s="217">
        <f>'ASSOCIAÇÃO RECREAR'!C17</f>
        <v/>
      </c>
    </row>
    <row r="2101" ht="15" customHeight="1" s="107">
      <c r="A2101" s="216">
        <f>'ASSOCIAÇÃO RECREAR'!F18</f>
        <v/>
      </c>
      <c r="B2101" s="217">
        <f>'ASSOCIAÇÃO RECREAR'!C18</f>
        <v/>
      </c>
    </row>
    <row r="2102" ht="15" customHeight="1" s="107">
      <c r="A2102" s="216">
        <f>'ASSOCIAÇÃO RECREAR'!F19</f>
        <v/>
      </c>
      <c r="B2102" s="217">
        <f>'ASSOCIAÇÃO RECREAR'!C19</f>
        <v/>
      </c>
    </row>
    <row r="2103" ht="15" customHeight="1" s="107">
      <c r="A2103" s="216">
        <f>'ASSOCIAÇÃO RECREAR'!F20</f>
        <v/>
      </c>
      <c r="B2103" s="217">
        <f>'ASSOCIAÇÃO RECREAR'!C20</f>
        <v/>
      </c>
    </row>
    <row r="2104" ht="15" customHeight="1" s="107">
      <c r="A2104" s="216">
        <f>'ASSOCIAÇÃO RECREAR'!F21</f>
        <v/>
      </c>
      <c r="B2104" s="217">
        <f>'ASSOCIAÇÃO RECREAR'!C21</f>
        <v/>
      </c>
    </row>
    <row r="2105" ht="15" customHeight="1" s="107">
      <c r="A2105" s="216">
        <f>'ASSOCIAÇÃO RECREAR'!F22</f>
        <v/>
      </c>
      <c r="B2105" s="217">
        <f>'ASSOCIAÇÃO RECREAR'!C22</f>
        <v/>
      </c>
    </row>
    <row r="2106" ht="15" customHeight="1" s="107">
      <c r="A2106" s="216">
        <f>'ASSOCIAÇÃO RECREAR'!F23</f>
        <v/>
      </c>
      <c r="B2106" s="217">
        <f>'ASSOCIAÇÃO RECREAR'!C23</f>
        <v/>
      </c>
    </row>
    <row r="2107" ht="15" customHeight="1" s="107">
      <c r="A2107" s="216">
        <f>'ASSOCIAÇÃO RECREAR'!F24</f>
        <v/>
      </c>
      <c r="B2107" s="217">
        <f>'ASSOCIAÇÃO RECREAR'!C24</f>
        <v/>
      </c>
    </row>
    <row r="2108" ht="15" customHeight="1" s="107">
      <c r="A2108" s="216">
        <f>'ASSOCIAÇÃO RECREAR'!F25</f>
        <v/>
      </c>
      <c r="B2108" s="217">
        <f>'ASSOCIAÇÃO RECREAR'!C25</f>
        <v/>
      </c>
    </row>
    <row r="2109" ht="15" customHeight="1" s="107">
      <c r="A2109" s="216">
        <f>'ASSOCIAÇÃO RECREAR'!F26</f>
        <v/>
      </c>
      <c r="B2109" s="217">
        <f>'ASSOCIAÇÃO RECREAR'!C26</f>
        <v/>
      </c>
    </row>
    <row r="2110" ht="15" customHeight="1" s="107">
      <c r="A2110" s="216">
        <f>'ASSOCIAÇÃO RECREAR'!F27</f>
        <v/>
      </c>
      <c r="B2110" s="217">
        <f>'ASSOCIAÇÃO RECREAR'!C27</f>
        <v/>
      </c>
    </row>
    <row r="2111" ht="15" customHeight="1" s="107">
      <c r="A2111" s="216">
        <f>'CENTRO DE EDUCAÇÃO INFANTIL CAS'!F9</f>
        <v/>
      </c>
      <c r="B2111" s="217">
        <f>'CENTRO DE EDUCAÇÃO INFANTIL CAS'!C9</f>
        <v/>
      </c>
    </row>
    <row r="2112" ht="15" customHeight="1" s="107">
      <c r="A2112" s="216">
        <f>'CENTRO DE EDUCAÇÃO INFANTIL CAS'!F10</f>
        <v/>
      </c>
      <c r="B2112" s="217">
        <f>'CENTRO DE EDUCAÇÃO INFANTIL CAS'!C10</f>
        <v/>
      </c>
    </row>
    <row r="2113" ht="15" customHeight="1" s="107">
      <c r="A2113" s="216">
        <f>'CENTRO DE EDUCAÇÃO INFANTIL CAS'!F11</f>
        <v/>
      </c>
      <c r="B2113" s="217">
        <f>'CENTRO DE EDUCAÇÃO INFANTIL CAS'!C11</f>
        <v/>
      </c>
    </row>
    <row r="2114" ht="15" customHeight="1" s="107">
      <c r="A2114" s="216">
        <f>'CENTRO DE EDUCAÇÃO INFANTIL CAS'!F12</f>
        <v/>
      </c>
      <c r="B2114" s="217">
        <f>'CENTRO DE EDUCAÇÃO INFANTIL CAS'!C12</f>
        <v/>
      </c>
    </row>
    <row r="2115" ht="15" customHeight="1" s="107">
      <c r="A2115" s="216">
        <f>'CENTRO DE EDUCAÇÃO INFANTIL CAS'!F13</f>
        <v/>
      </c>
      <c r="B2115" s="217">
        <f>'CENTRO DE EDUCAÇÃO INFANTIL CAS'!C13</f>
        <v/>
      </c>
    </row>
    <row r="2116" ht="15" customHeight="1" s="107">
      <c r="A2116" s="216">
        <f>'CENTRO DE EDUCAÇÃO INFANTIL CAS'!F14</f>
        <v/>
      </c>
      <c r="B2116" s="217">
        <f>'CENTRO DE EDUCAÇÃO INFANTIL CAS'!C14</f>
        <v/>
      </c>
    </row>
    <row r="2117" ht="15" customHeight="1" s="107">
      <c r="A2117" s="216">
        <f>'CENTRO DE EDUCAÇÃO INFANTIL CAS'!F15</f>
        <v/>
      </c>
      <c r="B2117" s="217">
        <f>'CENTRO DE EDUCAÇÃO INFANTIL CAS'!C15</f>
        <v/>
      </c>
    </row>
    <row r="2118" ht="15" customHeight="1" s="107">
      <c r="A2118" s="216">
        <f>'CENTRO DE EDUCAÇÃO INFANTIL CAS'!F16</f>
        <v/>
      </c>
      <c r="B2118" s="217">
        <f>'CENTRO DE EDUCAÇÃO INFANTIL CAS'!C16</f>
        <v/>
      </c>
    </row>
    <row r="2119" ht="15" customHeight="1" s="107">
      <c r="A2119" s="216">
        <f>'CENTRO DE EDUCAÇÃO INFANTIL CAS'!F17</f>
        <v/>
      </c>
      <c r="B2119" s="217">
        <f>'CENTRO DE EDUCAÇÃO INFANTIL CAS'!C17</f>
        <v/>
      </c>
    </row>
    <row r="2120" ht="15" customHeight="1" s="107">
      <c r="A2120" s="216">
        <f>'CENTRO DE EDUCAÇÃO INFANTIL CAS'!F18</f>
        <v/>
      </c>
      <c r="B2120" s="217">
        <f>'CENTRO DE EDUCAÇÃO INFANTIL CAS'!C18</f>
        <v/>
      </c>
    </row>
    <row r="2121" ht="15" customHeight="1" s="107">
      <c r="A2121" s="216">
        <f>'CENTRO DE EDUCAÇÃO INFANTIL CAS'!F19</f>
        <v/>
      </c>
      <c r="B2121" s="217">
        <f>'CENTRO DE EDUCAÇÃO INFANTIL CAS'!C19</f>
        <v/>
      </c>
    </row>
    <row r="2122" ht="15" customHeight="1" s="107">
      <c r="A2122" s="216">
        <f>'CENTRO DE EDUCAÇÃO INFANTIL CAS'!F20</f>
        <v/>
      </c>
      <c r="B2122" s="217">
        <f>'CENTRO DE EDUCAÇÃO INFANTIL CAS'!C20</f>
        <v/>
      </c>
    </row>
    <row r="2123" ht="15" customHeight="1" s="107">
      <c r="A2123" s="216">
        <f>'CENTRO DE EDUCAÇÃO INFANTIL CAS'!F21</f>
        <v/>
      </c>
      <c r="B2123" s="217">
        <f>'CENTRO DE EDUCAÇÃO INFANTIL CAS'!C21</f>
        <v/>
      </c>
    </row>
    <row r="2124" ht="15" customHeight="1" s="107">
      <c r="A2124" s="216">
        <f>'CENTRO DE EDUCAÇÃO INFANTIL CAS'!F22</f>
        <v/>
      </c>
      <c r="B2124" s="217">
        <f>'CENTRO DE EDUCAÇÃO INFANTIL CAS'!C22</f>
        <v/>
      </c>
    </row>
    <row r="2125" ht="15" customHeight="1" s="107">
      <c r="A2125" s="216">
        <f>'CENTRO DE EDUCAÇÃO INFANTIL CAS'!F23</f>
        <v/>
      </c>
      <c r="B2125" s="217">
        <f>'CENTRO DE EDUCAÇÃO INFANTIL CAS'!C23</f>
        <v/>
      </c>
    </row>
    <row r="2126" ht="15" customHeight="1" s="107">
      <c r="A2126" s="216">
        <f>'CENTRO DE EDUCAÇÃO INFANTIL CAS'!F24</f>
        <v/>
      </c>
      <c r="B2126" s="217">
        <f>'CENTRO DE EDUCAÇÃO INFANTIL CAS'!C24</f>
        <v/>
      </c>
    </row>
    <row r="2127" ht="15" customHeight="1" s="107">
      <c r="A2127" s="216">
        <f>'CENTRO DE EDUCAÇÃO INFANTIL CAS'!F25</f>
        <v/>
      </c>
      <c r="B2127" s="217">
        <f>'CENTRO DE EDUCAÇÃO INFANTIL CAS'!C25</f>
        <v/>
      </c>
    </row>
    <row r="2128" ht="15" customHeight="1" s="107">
      <c r="A2128" s="216">
        <f>'CENTRO DE EDUCAÇÃO INFANTIL CAS'!F26</f>
        <v/>
      </c>
      <c r="B2128" s="217">
        <f>'CENTRO DE EDUCAÇÃO INFANTIL CAS'!C26</f>
        <v/>
      </c>
    </row>
    <row r="2129" ht="15" customHeight="1" s="107">
      <c r="A2129" s="216">
        <f>'CENTRO DE EDUCAÇÃO INFANTIL CAS'!F27</f>
        <v/>
      </c>
      <c r="B2129" s="217">
        <f>'CENTRO DE EDUCAÇÃO INFANTIL CAS'!C27</f>
        <v/>
      </c>
    </row>
    <row r="2130" ht="15" customHeight="1" s="107">
      <c r="A2130" s="216">
        <f>'E M ROSEMIRA DE OLIVEIRA CAVALC'!F9</f>
        <v/>
      </c>
      <c r="B2130" s="217">
        <f>'E M ROSEMIRA DE OLIVEIRA CAVALC'!C9</f>
        <v/>
      </c>
    </row>
    <row r="2131" ht="15" customHeight="1" s="107">
      <c r="A2131" s="216">
        <f>'E M ROSEMIRA DE OLIVEIRA CAVALC'!F10</f>
        <v/>
      </c>
      <c r="B2131" s="217">
        <f>'E M ROSEMIRA DE OLIVEIRA CAVALC'!C10</f>
        <v/>
      </c>
    </row>
    <row r="2132" ht="15" customHeight="1" s="107">
      <c r="A2132" s="216">
        <f>'E M ROSEMIRA DE OLIVEIRA CAVALC'!F11</f>
        <v/>
      </c>
      <c r="B2132" s="217">
        <f>'E M ROSEMIRA DE OLIVEIRA CAVALC'!C11</f>
        <v/>
      </c>
    </row>
    <row r="2133" ht="15" customHeight="1" s="107">
      <c r="A2133" s="216">
        <f>'E M ROSEMIRA DE OLIVEIRA CAVALC'!F12</f>
        <v/>
      </c>
      <c r="B2133" s="217">
        <f>'E M ROSEMIRA DE OLIVEIRA CAVALC'!C12</f>
        <v/>
      </c>
    </row>
    <row r="2134" ht="15" customHeight="1" s="107">
      <c r="A2134" s="216">
        <f>'E M ROSEMIRA DE OLIVEIRA CAVALC'!F13</f>
        <v/>
      </c>
      <c r="B2134" s="217">
        <f>'E M ROSEMIRA DE OLIVEIRA CAVALC'!C13</f>
        <v/>
      </c>
    </row>
    <row r="2135" ht="15" customHeight="1" s="107">
      <c r="A2135" s="216">
        <f>'E M ROSEMIRA DE OLIVEIRA CAVALC'!F14</f>
        <v/>
      </c>
      <c r="B2135" s="217">
        <f>'E M ROSEMIRA DE OLIVEIRA CAVALC'!C14</f>
        <v/>
      </c>
    </row>
    <row r="2136" ht="15" customHeight="1" s="107">
      <c r="A2136" s="216">
        <f>'E M ROSEMIRA DE OLIVEIRA CAVALC'!F15</f>
        <v/>
      </c>
      <c r="B2136" s="217">
        <f>'E M ROSEMIRA DE OLIVEIRA CAVALC'!C15</f>
        <v/>
      </c>
    </row>
    <row r="2137" ht="15" customHeight="1" s="107">
      <c r="A2137" s="216">
        <f>'E M ROSEMIRA DE OLIVEIRA CAVALC'!F16</f>
        <v/>
      </c>
      <c r="B2137" s="217">
        <f>'E M ROSEMIRA DE OLIVEIRA CAVALC'!C16</f>
        <v/>
      </c>
    </row>
    <row r="2138" ht="15" customHeight="1" s="107">
      <c r="A2138" s="216">
        <f>'E M ROSEMIRA DE OLIVEIRA CAVALC'!F17</f>
        <v/>
      </c>
      <c r="B2138" s="217">
        <f>'E M ROSEMIRA DE OLIVEIRA CAVALC'!C17</f>
        <v/>
      </c>
    </row>
    <row r="2139" ht="15" customHeight="1" s="107">
      <c r="A2139" s="216">
        <f>'E M ROSEMIRA DE OLIVEIRA CAVALC'!F18</f>
        <v/>
      </c>
      <c r="B2139" s="217">
        <f>'E M ROSEMIRA DE OLIVEIRA CAVALC'!C18</f>
        <v/>
      </c>
    </row>
    <row r="2140" ht="15" customHeight="1" s="107">
      <c r="A2140" s="216">
        <f>'E M ROSEMIRA DE OLIVEIRA CAVALC'!F19</f>
        <v/>
      </c>
      <c r="B2140" s="217">
        <f>'E M ROSEMIRA DE OLIVEIRA CAVALC'!C19</f>
        <v/>
      </c>
    </row>
    <row r="2141" ht="15" customHeight="1" s="107">
      <c r="A2141" s="216">
        <f>'E M ROSEMIRA DE OLIVEIRA CAVALC'!F20</f>
        <v/>
      </c>
      <c r="B2141" s="217">
        <f>'E M ROSEMIRA DE OLIVEIRA CAVALC'!C20</f>
        <v/>
      </c>
    </row>
    <row r="2142" ht="15" customHeight="1" s="107">
      <c r="A2142" s="216">
        <f>'E M ROSEMIRA DE OLIVEIRA CAVALC'!F21</f>
        <v/>
      </c>
      <c r="B2142" s="217">
        <f>'E M ROSEMIRA DE OLIVEIRA CAVALC'!C21</f>
        <v/>
      </c>
    </row>
    <row r="2143" ht="15" customHeight="1" s="107">
      <c r="A2143" s="216">
        <f>'E M ROSEMIRA DE OLIVEIRA CAVALC'!F22</f>
        <v/>
      </c>
      <c r="B2143" s="217">
        <f>'E M ROSEMIRA DE OLIVEIRA CAVALC'!C22</f>
        <v/>
      </c>
    </row>
    <row r="2144" ht="15" customHeight="1" s="107">
      <c r="A2144" s="216">
        <f>'E M ROSEMIRA DE OLIVEIRA CAVALC'!F23</f>
        <v/>
      </c>
      <c r="B2144" s="217">
        <f>'E M ROSEMIRA DE OLIVEIRA CAVALC'!C23</f>
        <v/>
      </c>
    </row>
    <row r="2145" ht="15" customHeight="1" s="107">
      <c r="A2145" s="216">
        <f>'E M ROSEMIRA DE OLIVEIRA CAVALC'!F24</f>
        <v/>
      </c>
      <c r="B2145" s="217">
        <f>'E M ROSEMIRA DE OLIVEIRA CAVALC'!C24</f>
        <v/>
      </c>
    </row>
    <row r="2146" ht="15" customHeight="1" s="107">
      <c r="A2146" s="216">
        <f>'E M ROSEMIRA DE OLIVEIRA CAVALC'!F25</f>
        <v/>
      </c>
      <c r="B2146" s="217">
        <f>'E M ROSEMIRA DE OLIVEIRA CAVALC'!C25</f>
        <v/>
      </c>
    </row>
    <row r="2147" ht="15" customHeight="1" s="107">
      <c r="A2147" s="216">
        <f>'E M ROSEMIRA DE OLIVEIRA CAVALC'!F26</f>
        <v/>
      </c>
      <c r="B2147" s="217">
        <f>'E M ROSEMIRA DE OLIVEIRA CAVALC'!C26</f>
        <v/>
      </c>
    </row>
    <row r="2148" ht="15" customHeight="1" s="107">
      <c r="A2148" s="216">
        <f>'E M ROSEMIRA DE OLIVEIRA CAVALC'!F27</f>
        <v/>
      </c>
      <c r="B2148" s="217">
        <f>'E M ROSEMIRA DE OLIVEIRA CAVALC'!C27</f>
        <v/>
      </c>
    </row>
    <row r="2149" ht="15" customHeight="1" s="107">
      <c r="A2149" s="216">
        <f>'E MZDA CARMEM NUNES MARTINS'!F9</f>
        <v/>
      </c>
      <c r="B2149" s="217">
        <f>'E MZDA CARMEM NUNES MARTINS'!C9</f>
        <v/>
      </c>
    </row>
    <row r="2150" ht="15" customHeight="1" s="107">
      <c r="A2150" s="216">
        <f>'E MZDA CARMEM NUNES MARTINS'!F10</f>
        <v/>
      </c>
      <c r="B2150" s="217">
        <f>'E MZDA CARMEM NUNES MARTINS'!C10</f>
        <v/>
      </c>
    </row>
    <row r="2151" ht="15" customHeight="1" s="107">
      <c r="A2151" s="216">
        <f>'E MZDA CARMEM NUNES MARTINS'!F11</f>
        <v/>
      </c>
      <c r="B2151" s="217">
        <f>'E MZDA CARMEM NUNES MARTINS'!C11</f>
        <v/>
      </c>
    </row>
    <row r="2152" ht="15" customHeight="1" s="107">
      <c r="A2152" s="216">
        <f>'E MZDA CARMEM NUNES MARTINS'!F12</f>
        <v/>
      </c>
      <c r="B2152" s="217">
        <f>'E MZDA CARMEM NUNES MARTINS'!C12</f>
        <v/>
      </c>
    </row>
    <row r="2153" ht="15" customHeight="1" s="107">
      <c r="A2153" s="216">
        <f>'E MZDA CARMEM NUNES MARTINS'!F13</f>
        <v/>
      </c>
      <c r="B2153" s="217">
        <f>'E MZDA CARMEM NUNES MARTINS'!C13</f>
        <v/>
      </c>
    </row>
    <row r="2154" ht="15" customHeight="1" s="107">
      <c r="A2154" s="216">
        <f>'E MZDA CARMEM NUNES MARTINS'!F14</f>
        <v/>
      </c>
      <c r="B2154" s="217">
        <f>'E MZDA CARMEM NUNES MARTINS'!C14</f>
        <v/>
      </c>
    </row>
    <row r="2155" ht="15" customHeight="1" s="107">
      <c r="A2155" s="216">
        <f>'E MZDA CARMEM NUNES MARTINS'!F15</f>
        <v/>
      </c>
      <c r="B2155" s="217">
        <f>'E MZDA CARMEM NUNES MARTINS'!C15</f>
        <v/>
      </c>
    </row>
    <row r="2156" ht="15" customHeight="1" s="107">
      <c r="A2156" s="216">
        <f>'E MZDA CARMEM NUNES MARTINS'!F16</f>
        <v/>
      </c>
      <c r="B2156" s="217">
        <f>'E MZDA CARMEM NUNES MARTINS'!C16</f>
        <v/>
      </c>
    </row>
    <row r="2157" ht="15" customHeight="1" s="107">
      <c r="A2157" s="216">
        <f>'E MZDA CARMEM NUNES MARTINS'!F17</f>
        <v/>
      </c>
      <c r="B2157" s="217">
        <f>'E MZDA CARMEM NUNES MARTINS'!C17</f>
        <v/>
      </c>
    </row>
    <row r="2158" ht="15" customHeight="1" s="107">
      <c r="A2158" s="216">
        <f>'E MZDA CARMEM NUNES MARTINS'!F18</f>
        <v/>
      </c>
      <c r="B2158" s="217">
        <f>'E MZDA CARMEM NUNES MARTINS'!C18</f>
        <v/>
      </c>
    </row>
    <row r="2159" ht="15" customHeight="1" s="107">
      <c r="A2159" s="216">
        <f>'E MZDA CARMEM NUNES MARTINS'!F19</f>
        <v/>
      </c>
      <c r="B2159" s="217">
        <f>'E MZDA CARMEM NUNES MARTINS'!C19</f>
        <v/>
      </c>
    </row>
    <row r="2160" ht="15" customHeight="1" s="107">
      <c r="A2160" s="216">
        <f>'E MZDA CARMEM NUNES MARTINS'!F20</f>
        <v/>
      </c>
      <c r="B2160" s="217">
        <f>'E MZDA CARMEM NUNES MARTINS'!C20</f>
        <v/>
      </c>
    </row>
    <row r="2161" ht="15" customHeight="1" s="107">
      <c r="A2161" s="216">
        <f>'E MZDA CARMEM NUNES MARTINS'!F21</f>
        <v/>
      </c>
      <c r="B2161" s="217">
        <f>'E MZDA CARMEM NUNES MARTINS'!C21</f>
        <v/>
      </c>
    </row>
    <row r="2162" ht="15" customHeight="1" s="107">
      <c r="A2162" s="216">
        <f>'E MZDA CARMEM NUNES MARTINS'!F22</f>
        <v/>
      </c>
      <c r="B2162" s="217">
        <f>'E MZDA CARMEM NUNES MARTINS'!C22</f>
        <v/>
      </c>
    </row>
    <row r="2163" ht="15" customHeight="1" s="107">
      <c r="A2163" s="216">
        <f>'E MZDA CARMEM NUNES MARTINS'!F23</f>
        <v/>
      </c>
      <c r="B2163" s="217">
        <f>'E MZDA CARMEM NUNES MARTINS'!C23</f>
        <v/>
      </c>
    </row>
    <row r="2164" ht="15" customHeight="1" s="107">
      <c r="A2164" s="216">
        <f>'E MZDA CARMEM NUNES MARTINS'!F24</f>
        <v/>
      </c>
      <c r="B2164" s="217">
        <f>'E MZDA CARMEM NUNES MARTINS'!C24</f>
        <v/>
      </c>
    </row>
    <row r="2165" ht="15" customHeight="1" s="107">
      <c r="A2165" s="216">
        <f>'E MZDA CARMEM NUNES MARTINS'!F25</f>
        <v/>
      </c>
      <c r="B2165" s="217">
        <f>'E MZDA CARMEM NUNES MARTINS'!C25</f>
        <v/>
      </c>
    </row>
    <row r="2166" ht="15" customHeight="1" s="107">
      <c r="A2166" s="216">
        <f>'E MZDA CARMEM NUNES MARTINS'!F26</f>
        <v/>
      </c>
      <c r="B2166" s="217">
        <f>'E MZDA CARMEM NUNES MARTINS'!C26</f>
        <v/>
      </c>
    </row>
    <row r="2167" ht="15" customHeight="1" s="107">
      <c r="A2167" s="216">
        <f>'E MZDA CARMEM NUNES MARTINS'!F27</f>
        <v/>
      </c>
      <c r="B2167" s="217">
        <f>'E MZDA CARMEM NUNES MARTINS'!C27</f>
        <v/>
      </c>
    </row>
    <row r="2168" ht="15" customHeight="1" s="107">
      <c r="A2168" s="216">
        <f>'CEI SÃO JOSÉ DO ITAMARATI'!F9</f>
        <v/>
      </c>
      <c r="B2168" s="217">
        <f>'CEI SÃO JOSÉ DO ITAMARATI'!C9</f>
        <v/>
      </c>
    </row>
    <row r="2169" ht="15" customHeight="1" s="107">
      <c r="A2169" s="216">
        <f>'CEI SÃO JOSÉ DO ITAMARATI'!F10</f>
        <v/>
      </c>
      <c r="B2169" s="217">
        <f>'CEI SÃO JOSÉ DO ITAMARATI'!C10</f>
        <v/>
      </c>
    </row>
    <row r="2170" ht="15" customHeight="1" s="107">
      <c r="A2170" s="216">
        <f>'CEI SÃO JOSÉ DO ITAMARATI'!F11</f>
        <v/>
      </c>
      <c r="B2170" s="217">
        <f>'CEI SÃO JOSÉ DO ITAMARATI'!C11</f>
        <v/>
      </c>
    </row>
    <row r="2171" ht="15" customHeight="1" s="107">
      <c r="A2171" s="216">
        <f>'CEI SÃO JOSÉ DO ITAMARATI'!F12</f>
        <v/>
      </c>
      <c r="B2171" s="217">
        <f>'CEI SÃO JOSÉ DO ITAMARATI'!C12</f>
        <v/>
      </c>
    </row>
    <row r="2172" ht="15" customHeight="1" s="107">
      <c r="A2172" s="216">
        <f>'CEI SÃO JOSÉ DO ITAMARATI'!F13</f>
        <v/>
      </c>
      <c r="B2172" s="217">
        <f>'CEI SÃO JOSÉ DO ITAMARATI'!C13</f>
        <v/>
      </c>
    </row>
    <row r="2173" ht="15" customHeight="1" s="107">
      <c r="A2173" s="216">
        <f>'CEI SÃO JOSÉ DO ITAMARATI'!F14</f>
        <v/>
      </c>
      <c r="B2173" s="217">
        <f>'CEI SÃO JOSÉ DO ITAMARATI'!C14</f>
        <v/>
      </c>
    </row>
    <row r="2174" ht="15" customHeight="1" s="107">
      <c r="A2174" s="216">
        <f>'CEI SÃO JOSÉ DO ITAMARATI'!F15</f>
        <v/>
      </c>
      <c r="B2174" s="217">
        <f>'CEI SÃO JOSÉ DO ITAMARATI'!C15</f>
        <v/>
      </c>
    </row>
    <row r="2175" ht="15" customHeight="1" s="107">
      <c r="A2175" s="216">
        <f>'CEI SÃO JOSÉ DO ITAMARATI'!F16</f>
        <v/>
      </c>
      <c r="B2175" s="217">
        <f>'CEI SÃO JOSÉ DO ITAMARATI'!C16</f>
        <v/>
      </c>
    </row>
    <row r="2176" ht="15" customHeight="1" s="107">
      <c r="A2176" s="216">
        <f>'CEI SÃO JOSÉ DO ITAMARATI'!F17</f>
        <v/>
      </c>
      <c r="B2176" s="217">
        <f>'CEI SÃO JOSÉ DO ITAMARATI'!C17</f>
        <v/>
      </c>
    </row>
    <row r="2177" ht="15" customHeight="1" s="107">
      <c r="A2177" s="216">
        <f>'CEI SÃO JOSÉ DO ITAMARATI'!F18</f>
        <v/>
      </c>
      <c r="B2177" s="217">
        <f>'CEI SÃO JOSÉ DO ITAMARATI'!C18</f>
        <v/>
      </c>
    </row>
    <row r="2178" ht="15" customHeight="1" s="107">
      <c r="A2178" s="216">
        <f>'CEI SÃO JOSÉ DO ITAMARATI'!F19</f>
        <v/>
      </c>
      <c r="B2178" s="217">
        <f>'CEI SÃO JOSÉ DO ITAMARATI'!C19</f>
        <v/>
      </c>
    </row>
    <row r="2179" ht="15" customHeight="1" s="107">
      <c r="A2179" s="216">
        <f>'CEI SÃO JOSÉ DO ITAMARATI'!F20</f>
        <v/>
      </c>
      <c r="B2179" s="217">
        <f>'CEI SÃO JOSÉ DO ITAMARATI'!C20</f>
        <v/>
      </c>
    </row>
    <row r="2180" ht="15" customHeight="1" s="107">
      <c r="A2180" s="216">
        <f>'CEI SÃO JOSÉ DO ITAMARATI'!F21</f>
        <v/>
      </c>
      <c r="B2180" s="217">
        <f>'CEI SÃO JOSÉ DO ITAMARATI'!C21</f>
        <v/>
      </c>
    </row>
    <row r="2181" ht="15" customHeight="1" s="107">
      <c r="A2181" s="216">
        <f>'CEI SÃO JOSÉ DO ITAMARATI'!F22</f>
        <v/>
      </c>
      <c r="B2181" s="217">
        <f>'CEI SÃO JOSÉ DO ITAMARATI'!C22</f>
        <v/>
      </c>
    </row>
    <row r="2182" ht="15" customHeight="1" s="107">
      <c r="A2182" s="216">
        <f>'CEI SÃO JOSÉ DO ITAMARATI'!F23</f>
        <v/>
      </c>
      <c r="B2182" s="217">
        <f>'CEI SÃO JOSÉ DO ITAMARATI'!C23</f>
        <v/>
      </c>
    </row>
    <row r="2183" ht="15" customHeight="1" s="107">
      <c r="A2183" s="216">
        <f>'CEI SÃO JOSÉ DO ITAMARATI'!F24</f>
        <v/>
      </c>
      <c r="B2183" s="217">
        <f>'CEI SÃO JOSÉ DO ITAMARATI'!C24</f>
        <v/>
      </c>
    </row>
    <row r="2184" ht="15" customHeight="1" s="107">
      <c r="A2184" s="216">
        <f>'CEI SÃO JOSÉ DO ITAMARATI'!F25</f>
        <v/>
      </c>
      <c r="B2184" s="217">
        <f>'CEI SÃO JOSÉ DO ITAMARATI'!C25</f>
        <v/>
      </c>
    </row>
    <row r="2185" ht="15" customHeight="1" s="107">
      <c r="A2185" s="216">
        <f>'CEI SÃO JOSÉ DO ITAMARATI'!F26</f>
        <v/>
      </c>
      <c r="B2185" s="217">
        <f>'CEI SÃO JOSÉ DO ITAMARATI'!C26</f>
        <v/>
      </c>
    </row>
    <row r="2186" ht="15" customHeight="1" s="107">
      <c r="A2186" s="216">
        <f>'CEI SÃO JOSÉ DO ITAMARATI'!F27</f>
        <v/>
      </c>
      <c r="B2186" s="217">
        <f>'CEI SÃO JOSÉ DO ITAMARATI'!C27</f>
        <v/>
      </c>
    </row>
    <row r="2187" ht="15" customHeight="1" s="107">
      <c r="A2187" s="216">
        <f>'E M DUQUE DE CAXIAS'!F9</f>
        <v/>
      </c>
      <c r="B2187" s="217">
        <f>'E M DUQUE DE CAXIAS'!C9</f>
        <v/>
      </c>
    </row>
    <row r="2188" ht="15" customHeight="1" s="107">
      <c r="A2188" s="216">
        <f>'E M DUQUE DE CAXIAS'!F10</f>
        <v/>
      </c>
      <c r="B2188" s="217">
        <f>'E M DUQUE DE CAXIAS'!C10</f>
        <v/>
      </c>
    </row>
    <row r="2189" ht="15" customHeight="1" s="107">
      <c r="A2189" s="216">
        <f>'E M DUQUE DE CAXIAS'!F11</f>
        <v/>
      </c>
      <c r="B2189" s="217">
        <f>'E M DUQUE DE CAXIAS'!C11</f>
        <v/>
      </c>
    </row>
    <row r="2190" ht="15" customHeight="1" s="107">
      <c r="A2190" s="216">
        <f>'E M DUQUE DE CAXIAS'!F12</f>
        <v/>
      </c>
      <c r="B2190" s="217">
        <f>'E M DUQUE DE CAXIAS'!C12</f>
        <v/>
      </c>
    </row>
    <row r="2191" ht="15" customHeight="1" s="107">
      <c r="A2191" s="216">
        <f>'E M DUQUE DE CAXIAS'!F13</f>
        <v/>
      </c>
      <c r="B2191" s="217">
        <f>'E M DUQUE DE CAXIAS'!C13</f>
        <v/>
      </c>
    </row>
    <row r="2192" ht="15" customHeight="1" s="107">
      <c r="A2192" s="216">
        <f>'E M DUQUE DE CAXIAS'!F14</f>
        <v/>
      </c>
      <c r="B2192" s="217">
        <f>'E M DUQUE DE CAXIAS'!C14</f>
        <v/>
      </c>
    </row>
    <row r="2193" ht="15" customHeight="1" s="107">
      <c r="A2193" s="216">
        <f>'E M DUQUE DE CAXIAS'!F15</f>
        <v/>
      </c>
      <c r="B2193" s="217">
        <f>'E M DUQUE DE CAXIAS'!C15</f>
        <v/>
      </c>
    </row>
    <row r="2194" ht="15" customHeight="1" s="107">
      <c r="A2194" s="216">
        <f>'E M DUQUE DE CAXIAS'!F16</f>
        <v/>
      </c>
      <c r="B2194" s="217">
        <f>'E M DUQUE DE CAXIAS'!C16</f>
        <v/>
      </c>
    </row>
    <row r="2195" ht="15" customHeight="1" s="107">
      <c r="A2195" s="216">
        <f>'E M DUQUE DE CAXIAS'!F17</f>
        <v/>
      </c>
      <c r="B2195" s="217">
        <f>'E M DUQUE DE CAXIAS'!C17</f>
        <v/>
      </c>
    </row>
    <row r="2196" ht="15" customHeight="1" s="107">
      <c r="A2196" s="216">
        <f>'E M DUQUE DE CAXIAS'!F18</f>
        <v/>
      </c>
      <c r="B2196" s="217">
        <f>'E M DUQUE DE CAXIAS'!C18</f>
        <v/>
      </c>
    </row>
    <row r="2197" ht="15" customHeight="1" s="107">
      <c r="A2197" s="216">
        <f>'E M DUQUE DE CAXIAS'!F19</f>
        <v/>
      </c>
      <c r="B2197" s="217">
        <f>'E M DUQUE DE CAXIAS'!C19</f>
        <v/>
      </c>
    </row>
    <row r="2198" ht="15" customHeight="1" s="107">
      <c r="A2198" s="216">
        <f>'E M DUQUE DE CAXIAS'!F20</f>
        <v/>
      </c>
      <c r="B2198" s="217">
        <f>'E M DUQUE DE CAXIAS'!C20</f>
        <v/>
      </c>
    </row>
    <row r="2199" ht="15" customHeight="1" s="107">
      <c r="A2199" s="216">
        <f>'E M DUQUE DE CAXIAS'!F21</f>
        <v/>
      </c>
      <c r="B2199" s="217">
        <f>'E M DUQUE DE CAXIAS'!C21</f>
        <v/>
      </c>
    </row>
    <row r="2200" ht="15" customHeight="1" s="107">
      <c r="A2200" s="216">
        <f>'E M DUQUE DE CAXIAS'!F22</f>
        <v/>
      </c>
      <c r="B2200" s="217">
        <f>'E M DUQUE DE CAXIAS'!C22</f>
        <v/>
      </c>
    </row>
    <row r="2201" ht="15" customHeight="1" s="107">
      <c r="A2201" s="216">
        <f>'E M DUQUE DE CAXIAS'!F23</f>
        <v/>
      </c>
      <c r="B2201" s="217">
        <f>'E M DUQUE DE CAXIAS'!C23</f>
        <v/>
      </c>
    </row>
    <row r="2202" ht="15" customHeight="1" s="107">
      <c r="A2202" s="216">
        <f>'E M DUQUE DE CAXIAS'!F24</f>
        <v/>
      </c>
      <c r="B2202" s="217">
        <f>'E M DUQUE DE CAXIAS'!C24</f>
        <v/>
      </c>
    </row>
    <row r="2203" ht="15" customHeight="1" s="107">
      <c r="A2203" s="216">
        <f>'E M DUQUE DE CAXIAS'!F25</f>
        <v/>
      </c>
      <c r="B2203" s="217">
        <f>'E M DUQUE DE CAXIAS'!C25</f>
        <v/>
      </c>
    </row>
    <row r="2204" ht="15" customHeight="1" s="107">
      <c r="A2204" s="216">
        <f>'E M DUQUE DE CAXIAS'!F26</f>
        <v/>
      </c>
      <c r="B2204" s="217">
        <f>'E M DUQUE DE CAXIAS'!C26</f>
        <v/>
      </c>
    </row>
    <row r="2205" ht="15" customHeight="1" s="107">
      <c r="A2205" s="216">
        <f>'E M DUQUE DE CAXIAS'!F27</f>
        <v/>
      </c>
      <c r="B2205" s="217">
        <f>'E M DUQUE DE CAXIAS'!C27</f>
        <v/>
      </c>
    </row>
    <row r="2206" ht="15" customHeight="1" s="107">
      <c r="A2206" s="216">
        <f>'CENTRO DE EDUCAÇÃO INFANTIL  2'!F9</f>
        <v/>
      </c>
      <c r="B2206" s="217">
        <f>'CENTRO DE EDUCAÇÃO INFANTIL  2'!C9</f>
        <v/>
      </c>
    </row>
    <row r="2207" ht="15" customHeight="1" s="107">
      <c r="A2207" s="216">
        <f>'CENTRO DE EDUCAÇÃO INFANTIL  2'!F10</f>
        <v/>
      </c>
      <c r="B2207" s="217">
        <f>'CENTRO DE EDUCAÇÃO INFANTIL  2'!C10</f>
        <v/>
      </c>
    </row>
    <row r="2208" ht="15" customHeight="1" s="107">
      <c r="A2208" s="216">
        <f>'CENTRO DE EDUCAÇÃO INFANTIL  2'!F11</f>
        <v/>
      </c>
      <c r="B2208" s="217">
        <f>'CENTRO DE EDUCAÇÃO INFANTIL  2'!C11</f>
        <v/>
      </c>
    </row>
    <row r="2209" ht="15" customHeight="1" s="107">
      <c r="A2209" s="216">
        <f>'CENTRO DE EDUCAÇÃO INFANTIL  2'!F12</f>
        <v/>
      </c>
      <c r="B2209" s="217">
        <f>'CENTRO DE EDUCAÇÃO INFANTIL  2'!C12</f>
        <v/>
      </c>
    </row>
    <row r="2210" ht="15" customHeight="1" s="107">
      <c r="A2210" s="216">
        <f>'CENTRO DE EDUCAÇÃO INFANTIL  2'!F13</f>
        <v/>
      </c>
      <c r="B2210" s="217">
        <f>'CENTRO DE EDUCAÇÃO INFANTIL  2'!C13</f>
        <v/>
      </c>
    </row>
    <row r="2211" ht="15" customHeight="1" s="107">
      <c r="A2211" s="216">
        <f>'CENTRO DE EDUCAÇÃO INFANTIL  2'!F14</f>
        <v/>
      </c>
      <c r="B2211" s="217">
        <f>'CENTRO DE EDUCAÇÃO INFANTIL  2'!C14</f>
        <v/>
      </c>
    </row>
    <row r="2212" ht="15" customHeight="1" s="107">
      <c r="A2212" s="216">
        <f>'CENTRO DE EDUCAÇÃO INFANTIL  2'!F15</f>
        <v/>
      </c>
      <c r="B2212" s="217">
        <f>'CENTRO DE EDUCAÇÃO INFANTIL  2'!C15</f>
        <v/>
      </c>
    </row>
    <row r="2213" ht="15" customHeight="1" s="107">
      <c r="A2213" s="216">
        <f>'CENTRO DE EDUCAÇÃO INFANTIL  2'!F16</f>
        <v/>
      </c>
      <c r="B2213" s="217">
        <f>'CENTRO DE EDUCAÇÃO INFANTIL  2'!C16</f>
        <v/>
      </c>
    </row>
    <row r="2214" ht="15" customHeight="1" s="107">
      <c r="A2214" s="216">
        <f>'CENTRO DE EDUCAÇÃO INFANTIL  2'!F17</f>
        <v/>
      </c>
      <c r="B2214" s="217">
        <f>'CENTRO DE EDUCAÇÃO INFANTIL  2'!C17</f>
        <v/>
      </c>
    </row>
    <row r="2215" ht="15" customHeight="1" s="107">
      <c r="A2215" s="216">
        <f>'CENTRO DE EDUCAÇÃO INFANTIL  2'!F18</f>
        <v/>
      </c>
      <c r="B2215" s="217">
        <f>'CENTRO DE EDUCAÇÃO INFANTIL  2'!C18</f>
        <v/>
      </c>
    </row>
    <row r="2216" ht="15" customHeight="1" s="107">
      <c r="A2216" s="216">
        <f>'CENTRO DE EDUCAÇÃO INFANTIL  2'!F19</f>
        <v/>
      </c>
      <c r="B2216" s="217">
        <f>'CENTRO DE EDUCAÇÃO INFANTIL  2'!C19</f>
        <v/>
      </c>
    </row>
    <row r="2217" ht="15" customHeight="1" s="107">
      <c r="A2217" s="216">
        <f>'CENTRO DE EDUCAÇÃO INFANTIL  2'!F20</f>
        <v/>
      </c>
      <c r="B2217" s="217">
        <f>'CENTRO DE EDUCAÇÃO INFANTIL  2'!C20</f>
        <v/>
      </c>
    </row>
    <row r="2218" ht="15" customHeight="1" s="107">
      <c r="A2218" s="216">
        <f>'CENTRO DE EDUCAÇÃO INFANTIL  2'!F21</f>
        <v/>
      </c>
      <c r="B2218" s="217">
        <f>'CENTRO DE EDUCAÇÃO INFANTIL  2'!C21</f>
        <v/>
      </c>
    </row>
    <row r="2219" ht="15" customHeight="1" s="107">
      <c r="A2219" s="216">
        <f>'CENTRO DE EDUCAÇÃO INFANTIL  2'!F22</f>
        <v/>
      </c>
      <c r="B2219" s="217">
        <f>'CENTRO DE EDUCAÇÃO INFANTIL  2'!C22</f>
        <v/>
      </c>
    </row>
    <row r="2220" ht="15" customHeight="1" s="107">
      <c r="A2220" s="216">
        <f>'CENTRO DE EDUCAÇÃO INFANTIL  2'!F23</f>
        <v/>
      </c>
      <c r="B2220" s="217">
        <f>'CENTRO DE EDUCAÇÃO INFANTIL  2'!C23</f>
        <v/>
      </c>
    </row>
    <row r="2221" ht="15" customHeight="1" s="107">
      <c r="A2221" s="216">
        <f>'CENTRO DE EDUCAÇÃO INFANTIL  2'!F24</f>
        <v/>
      </c>
      <c r="B2221" s="217">
        <f>'CENTRO DE EDUCAÇÃO INFANTIL  2'!C24</f>
        <v/>
      </c>
    </row>
    <row r="2222" ht="15" customHeight="1" s="107">
      <c r="A2222" s="216">
        <f>'CENTRO DE EDUCAÇÃO INFANTIL  2'!F25</f>
        <v/>
      </c>
      <c r="B2222" s="217">
        <f>'CENTRO DE EDUCAÇÃO INFANTIL  2'!C25</f>
        <v/>
      </c>
    </row>
    <row r="2223" ht="15" customHeight="1" s="107">
      <c r="A2223" s="216">
        <f>'CENTRO DE EDUCAÇÃO INFANTIL  2'!F26</f>
        <v/>
      </c>
      <c r="B2223" s="217">
        <f>'CENTRO DE EDUCAÇÃO INFANTIL  2'!C26</f>
        <v/>
      </c>
    </row>
    <row r="2224" ht="15" customHeight="1" s="107">
      <c r="A2224" s="216">
        <f>'CENTRO DE EDUCAÇÃO INFANTIL  2'!F27</f>
        <v/>
      </c>
      <c r="B2224" s="217">
        <f>'CENTRO DE EDUCAÇÃO INFANTIL  2'!C27</f>
        <v/>
      </c>
    </row>
    <row r="2225" ht="15" customHeight="1" s="107">
      <c r="A2225" s="216">
        <f>'E M ANTÔNIO LEITE GARCIA'!F9</f>
        <v/>
      </c>
      <c r="B2225" s="217">
        <f>'E M ANTÔNIO LEITE GARCIA'!C9</f>
        <v/>
      </c>
    </row>
    <row r="2226" ht="15" customHeight="1" s="107">
      <c r="A2226" s="216">
        <f>'E M ANTÔNIO LEITE GARCIA'!F10</f>
        <v/>
      </c>
      <c r="B2226" s="217">
        <f>'E M ANTÔNIO LEITE GARCIA'!C10</f>
        <v/>
      </c>
    </row>
    <row r="2227" ht="15" customHeight="1" s="107">
      <c r="A2227" s="216">
        <f>'E M ANTÔNIO LEITE GARCIA'!F11</f>
        <v/>
      </c>
      <c r="B2227" s="217">
        <f>'E M ANTÔNIO LEITE GARCIA'!C11</f>
        <v/>
      </c>
    </row>
    <row r="2228" ht="15" customHeight="1" s="107">
      <c r="A2228" s="216">
        <f>'E M ANTÔNIO LEITE GARCIA'!F12</f>
        <v/>
      </c>
      <c r="B2228" s="217">
        <f>'E M ANTÔNIO LEITE GARCIA'!C12</f>
        <v/>
      </c>
    </row>
    <row r="2229" ht="15" customHeight="1" s="107">
      <c r="A2229" s="216">
        <f>'E M ANTÔNIO LEITE GARCIA'!F13</f>
        <v/>
      </c>
      <c r="B2229" s="217">
        <f>'E M ANTÔNIO LEITE GARCIA'!C13</f>
        <v/>
      </c>
    </row>
    <row r="2230" ht="15" customHeight="1" s="107">
      <c r="A2230" s="216">
        <f>'E M ANTÔNIO LEITE GARCIA'!F14</f>
        <v/>
      </c>
      <c r="B2230" s="217">
        <f>'E M ANTÔNIO LEITE GARCIA'!C14</f>
        <v/>
      </c>
    </row>
    <row r="2231" ht="15" customHeight="1" s="107">
      <c r="A2231" s="216">
        <f>'E M ANTÔNIO LEITE GARCIA'!F15</f>
        <v/>
      </c>
      <c r="B2231" s="217">
        <f>'E M ANTÔNIO LEITE GARCIA'!C15</f>
        <v/>
      </c>
    </row>
    <row r="2232" ht="15" customHeight="1" s="107">
      <c r="A2232" s="216">
        <f>'E M ANTÔNIO LEITE GARCIA'!F16</f>
        <v/>
      </c>
      <c r="B2232" s="217">
        <f>'E M ANTÔNIO LEITE GARCIA'!C16</f>
        <v/>
      </c>
    </row>
    <row r="2233" ht="15" customHeight="1" s="107">
      <c r="A2233" s="216">
        <f>'E M ANTÔNIO LEITE GARCIA'!F17</f>
        <v/>
      </c>
      <c r="B2233" s="217">
        <f>'E M ANTÔNIO LEITE GARCIA'!C17</f>
        <v/>
      </c>
    </row>
    <row r="2234" ht="15" customHeight="1" s="107">
      <c r="A2234" s="216">
        <f>'E M ANTÔNIO LEITE GARCIA'!F18</f>
        <v/>
      </c>
      <c r="B2234" s="217">
        <f>'E M ANTÔNIO LEITE GARCIA'!C18</f>
        <v/>
      </c>
    </row>
    <row r="2235" ht="15" customHeight="1" s="107">
      <c r="A2235" s="216">
        <f>'E M ANTÔNIO LEITE GARCIA'!F19</f>
        <v/>
      </c>
      <c r="B2235" s="217">
        <f>'E M ANTÔNIO LEITE GARCIA'!C19</f>
        <v/>
      </c>
    </row>
    <row r="2236" ht="15" customHeight="1" s="107">
      <c r="A2236" s="216">
        <f>'E M ANTÔNIO LEITE GARCIA'!F20</f>
        <v/>
      </c>
      <c r="B2236" s="217">
        <f>'E M ANTÔNIO LEITE GARCIA'!C20</f>
        <v/>
      </c>
    </row>
    <row r="2237" ht="15" customHeight="1" s="107">
      <c r="A2237" s="216">
        <f>'E M ANTÔNIO LEITE GARCIA'!F21</f>
        <v/>
      </c>
      <c r="B2237" s="217">
        <f>'E M ANTÔNIO LEITE GARCIA'!C21</f>
        <v/>
      </c>
    </row>
    <row r="2238" ht="15" customHeight="1" s="107">
      <c r="A2238" s="216">
        <f>'E M ANTÔNIO LEITE GARCIA'!F22</f>
        <v/>
      </c>
      <c r="B2238" s="217">
        <f>'E M ANTÔNIO LEITE GARCIA'!C22</f>
        <v/>
      </c>
    </row>
    <row r="2239" ht="15" customHeight="1" s="107">
      <c r="A2239" s="216">
        <f>'E M ANTÔNIO LEITE GARCIA'!F23</f>
        <v/>
      </c>
      <c r="B2239" s="217">
        <f>'E M ANTÔNIO LEITE GARCIA'!C23</f>
        <v/>
      </c>
    </row>
    <row r="2240" ht="15" customHeight="1" s="107">
      <c r="A2240" s="216">
        <f>'E M ANTÔNIO LEITE GARCIA'!F24</f>
        <v/>
      </c>
      <c r="B2240" s="217">
        <f>'E M ANTÔNIO LEITE GARCIA'!C24</f>
        <v/>
      </c>
    </row>
    <row r="2241" ht="15" customHeight="1" s="107">
      <c r="A2241" s="216">
        <f>'E M ANTÔNIO LEITE GARCIA'!F25</f>
        <v/>
      </c>
      <c r="B2241" s="217">
        <f>'E M ANTÔNIO LEITE GARCIA'!C25</f>
        <v/>
      </c>
    </row>
    <row r="2242" ht="15" customHeight="1" s="107">
      <c r="A2242" s="216">
        <f>'E M ANTÔNIO LEITE GARCIA'!F26</f>
        <v/>
      </c>
      <c r="B2242" s="217">
        <f>'E M ANTÔNIO LEITE GARCIA'!C26</f>
        <v/>
      </c>
    </row>
    <row r="2243" ht="15" customHeight="1" s="107">
      <c r="A2243" s="216">
        <f>'E M ANTÔNIO LEITE GARCIA'!F27</f>
        <v/>
      </c>
      <c r="B2243" s="217">
        <f>'E M ANTÔNIO LEITE GARCIA'!C27</f>
        <v/>
      </c>
    </row>
    <row r="2244" ht="15" customHeight="1" s="107">
      <c r="A2244" s="216">
        <f>'ESCOLA PAROQUIAL DA ALCOBAÇA'!F9</f>
        <v/>
      </c>
      <c r="B2244" s="217">
        <f>'ESCOLA PAROQUIAL DA ALCOBAÇA'!C9</f>
        <v/>
      </c>
    </row>
    <row r="2245" ht="15" customHeight="1" s="107">
      <c r="A2245" s="216">
        <f>'ESCOLA PAROQUIAL DA ALCOBAÇA'!F10</f>
        <v/>
      </c>
      <c r="B2245" s="217">
        <f>'ESCOLA PAROQUIAL DA ALCOBAÇA'!C10</f>
        <v/>
      </c>
    </row>
    <row r="2246" ht="15" customHeight="1" s="107">
      <c r="A2246" s="216">
        <f>'ESCOLA PAROQUIAL DA ALCOBAÇA'!F11</f>
        <v/>
      </c>
      <c r="B2246" s="217">
        <f>'ESCOLA PAROQUIAL DA ALCOBAÇA'!C11</f>
        <v/>
      </c>
    </row>
    <row r="2247" ht="15" customHeight="1" s="107">
      <c r="A2247" s="216">
        <f>'ESCOLA PAROQUIAL DA ALCOBAÇA'!F12</f>
        <v/>
      </c>
      <c r="B2247" s="217">
        <f>'ESCOLA PAROQUIAL DA ALCOBAÇA'!C12</f>
        <v/>
      </c>
    </row>
    <row r="2248" ht="15" customHeight="1" s="107">
      <c r="A2248" s="216">
        <f>'ESCOLA PAROQUIAL DA ALCOBAÇA'!F13</f>
        <v/>
      </c>
      <c r="B2248" s="217">
        <f>'ESCOLA PAROQUIAL DA ALCOBAÇA'!C13</f>
        <v/>
      </c>
    </row>
    <row r="2249" ht="15" customHeight="1" s="107">
      <c r="A2249" s="216">
        <f>'ESCOLA PAROQUIAL DA ALCOBAÇA'!F14</f>
        <v/>
      </c>
      <c r="B2249" s="217">
        <f>'ESCOLA PAROQUIAL DA ALCOBAÇA'!C14</f>
        <v/>
      </c>
    </row>
    <row r="2250" ht="15" customHeight="1" s="107">
      <c r="A2250" s="216">
        <f>'ESCOLA PAROQUIAL DA ALCOBAÇA'!F15</f>
        <v/>
      </c>
      <c r="B2250" s="217">
        <f>'ESCOLA PAROQUIAL DA ALCOBAÇA'!C15</f>
        <v/>
      </c>
    </row>
    <row r="2251" ht="15" customHeight="1" s="107">
      <c r="A2251" s="216">
        <f>'ESCOLA PAROQUIAL DA ALCOBAÇA'!F16</f>
        <v/>
      </c>
      <c r="B2251" s="217">
        <f>'ESCOLA PAROQUIAL DA ALCOBAÇA'!C16</f>
        <v/>
      </c>
    </row>
    <row r="2252" ht="15" customHeight="1" s="107">
      <c r="A2252" s="216">
        <f>'ESCOLA PAROQUIAL DA ALCOBAÇA'!F17</f>
        <v/>
      </c>
      <c r="B2252" s="217">
        <f>'ESCOLA PAROQUIAL DA ALCOBAÇA'!C17</f>
        <v/>
      </c>
    </row>
    <row r="2253" ht="15" customHeight="1" s="107">
      <c r="A2253" s="216">
        <f>'ESCOLA PAROQUIAL DA ALCOBAÇA'!F18</f>
        <v/>
      </c>
      <c r="B2253" s="217">
        <f>'ESCOLA PAROQUIAL DA ALCOBAÇA'!C18</f>
        <v/>
      </c>
    </row>
    <row r="2254" ht="15" customHeight="1" s="107">
      <c r="A2254" s="216">
        <f>'ESCOLA PAROQUIAL DA ALCOBAÇA'!F19</f>
        <v/>
      </c>
      <c r="B2254" s="217">
        <f>'ESCOLA PAROQUIAL DA ALCOBAÇA'!C19</f>
        <v/>
      </c>
    </row>
    <row r="2255" ht="15" customHeight="1" s="107">
      <c r="A2255" s="216">
        <f>'ESCOLA PAROQUIAL DA ALCOBAÇA'!F20</f>
        <v/>
      </c>
      <c r="B2255" s="217">
        <f>'ESCOLA PAROQUIAL DA ALCOBAÇA'!C20</f>
        <v/>
      </c>
    </row>
    <row r="2256" ht="15" customHeight="1" s="107">
      <c r="A2256" s="216">
        <f>'ESCOLA PAROQUIAL DA ALCOBAÇA'!F21</f>
        <v/>
      </c>
      <c r="B2256" s="217">
        <f>'ESCOLA PAROQUIAL DA ALCOBAÇA'!C21</f>
        <v/>
      </c>
    </row>
    <row r="2257" ht="15" customHeight="1" s="107">
      <c r="A2257" s="216">
        <f>'ESCOLA PAROQUIAL DA ALCOBAÇA'!F22</f>
        <v/>
      </c>
      <c r="B2257" s="217">
        <f>'ESCOLA PAROQUIAL DA ALCOBAÇA'!C22</f>
        <v/>
      </c>
    </row>
    <row r="2258" ht="15" customHeight="1" s="107">
      <c r="A2258" s="216">
        <f>'ESCOLA PAROQUIAL DA ALCOBAÇA'!F23</f>
        <v/>
      </c>
      <c r="B2258" s="217">
        <f>'ESCOLA PAROQUIAL DA ALCOBAÇA'!C23</f>
        <v/>
      </c>
    </row>
    <row r="2259" ht="15" customHeight="1" s="107">
      <c r="A2259" s="216">
        <f>'ESCOLA PAROQUIAL DA ALCOBAÇA'!F24</f>
        <v/>
      </c>
      <c r="B2259" s="217">
        <f>'ESCOLA PAROQUIAL DA ALCOBAÇA'!C24</f>
        <v/>
      </c>
    </row>
    <row r="2260" ht="15" customHeight="1" s="107">
      <c r="A2260" s="216">
        <f>'ESCOLA PAROQUIAL DA ALCOBAÇA'!F25</f>
        <v/>
      </c>
      <c r="B2260" s="217">
        <f>'ESCOLA PAROQUIAL DA ALCOBAÇA'!C25</f>
        <v/>
      </c>
    </row>
    <row r="2261" ht="15" customHeight="1" s="107">
      <c r="A2261" s="216">
        <f>'ESCOLA PAROQUIAL DA ALCOBAÇA'!F26</f>
        <v/>
      </c>
      <c r="B2261" s="217">
        <f>'ESCOLA PAROQUIAL DA ALCOBAÇA'!C26</f>
        <v/>
      </c>
    </row>
    <row r="2262" ht="15" customHeight="1" s="107">
      <c r="A2262" s="216">
        <f>'ESCOLA PAROQUIAL DA ALCOBAÇA'!F27</f>
        <v/>
      </c>
      <c r="B2262" s="217">
        <f>'ESCOLA PAROQUIAL DA ALCOBAÇA'!C27</f>
        <v/>
      </c>
    </row>
    <row r="2263" ht="15" customHeight="1" s="107">
      <c r="A2263" s="216">
        <f>'CENTRO DE EDUCAÇÃO INFANTIL LOT'!F9</f>
        <v/>
      </c>
      <c r="B2263" s="217">
        <f>'CENTRO DE EDUCAÇÃO INFANTIL LOT'!C9</f>
        <v/>
      </c>
    </row>
    <row r="2264" ht="15" customHeight="1" s="107">
      <c r="A2264" s="216">
        <f>'CENTRO DE EDUCAÇÃO INFANTIL LOT'!F10</f>
        <v/>
      </c>
      <c r="B2264" s="217">
        <f>'CENTRO DE EDUCAÇÃO INFANTIL LOT'!C10</f>
        <v/>
      </c>
    </row>
    <row r="2265" ht="15" customHeight="1" s="107">
      <c r="A2265" s="216">
        <f>'CENTRO DE EDUCAÇÃO INFANTIL LOT'!F11</f>
        <v/>
      </c>
      <c r="B2265" s="217">
        <f>'CENTRO DE EDUCAÇÃO INFANTIL LOT'!C11</f>
        <v/>
      </c>
    </row>
    <row r="2266" ht="15" customHeight="1" s="107">
      <c r="A2266" s="216">
        <f>'CENTRO DE EDUCAÇÃO INFANTIL LOT'!F12</f>
        <v/>
      </c>
      <c r="B2266" s="217">
        <f>'CENTRO DE EDUCAÇÃO INFANTIL LOT'!C12</f>
        <v/>
      </c>
    </row>
    <row r="2267" ht="15" customHeight="1" s="107">
      <c r="A2267" s="216">
        <f>'CENTRO DE EDUCAÇÃO INFANTIL LOT'!F13</f>
        <v/>
      </c>
      <c r="B2267" s="217">
        <f>'CENTRO DE EDUCAÇÃO INFANTIL LOT'!C13</f>
        <v/>
      </c>
    </row>
    <row r="2268" ht="15" customHeight="1" s="107">
      <c r="A2268" s="216">
        <f>'CENTRO DE EDUCAÇÃO INFANTIL LOT'!F14</f>
        <v/>
      </c>
      <c r="B2268" s="217">
        <f>'CENTRO DE EDUCAÇÃO INFANTIL LOT'!C14</f>
        <v/>
      </c>
    </row>
    <row r="2269" ht="15" customHeight="1" s="107">
      <c r="A2269" s="216">
        <f>'CENTRO DE EDUCAÇÃO INFANTIL LOT'!F15</f>
        <v/>
      </c>
      <c r="B2269" s="217">
        <f>'CENTRO DE EDUCAÇÃO INFANTIL LOT'!C15</f>
        <v/>
      </c>
    </row>
    <row r="2270" ht="15" customHeight="1" s="107">
      <c r="A2270" s="216">
        <f>'CENTRO DE EDUCAÇÃO INFANTIL LOT'!F16</f>
        <v/>
      </c>
      <c r="B2270" s="217">
        <f>'CENTRO DE EDUCAÇÃO INFANTIL LOT'!C16</f>
        <v/>
      </c>
    </row>
    <row r="2271" ht="15" customHeight="1" s="107">
      <c r="A2271" s="216">
        <f>'CENTRO DE EDUCAÇÃO INFANTIL LOT'!F17</f>
        <v/>
      </c>
      <c r="B2271" s="217">
        <f>'CENTRO DE EDUCAÇÃO INFANTIL LOT'!C17</f>
        <v/>
      </c>
    </row>
    <row r="2272" ht="15" customHeight="1" s="107">
      <c r="A2272" s="216">
        <f>'CENTRO DE EDUCAÇÃO INFANTIL LOT'!F18</f>
        <v/>
      </c>
      <c r="B2272" s="217">
        <f>'CENTRO DE EDUCAÇÃO INFANTIL LOT'!C18</f>
        <v/>
      </c>
    </row>
    <row r="2273" ht="15" customHeight="1" s="107">
      <c r="A2273" s="216">
        <f>'CENTRO DE EDUCAÇÃO INFANTIL LOT'!F19</f>
        <v/>
      </c>
      <c r="B2273" s="217">
        <f>'CENTRO DE EDUCAÇÃO INFANTIL LOT'!C19</f>
        <v/>
      </c>
    </row>
    <row r="2274" ht="15" customHeight="1" s="107">
      <c r="A2274" s="216">
        <f>'CENTRO DE EDUCAÇÃO INFANTIL LOT'!F20</f>
        <v/>
      </c>
      <c r="B2274" s="217">
        <f>'CENTRO DE EDUCAÇÃO INFANTIL LOT'!C20</f>
        <v/>
      </c>
    </row>
    <row r="2275" ht="15" customHeight="1" s="107">
      <c r="A2275" s="216">
        <f>'CENTRO DE EDUCAÇÃO INFANTIL LOT'!F21</f>
        <v/>
      </c>
      <c r="B2275" s="217">
        <f>'CENTRO DE EDUCAÇÃO INFANTIL LOT'!C21</f>
        <v/>
      </c>
    </row>
    <row r="2276" ht="15" customHeight="1" s="107">
      <c r="A2276" s="216">
        <f>'CENTRO DE EDUCAÇÃO INFANTIL LOT'!F22</f>
        <v/>
      </c>
      <c r="B2276" s="217">
        <f>'CENTRO DE EDUCAÇÃO INFANTIL LOT'!C22</f>
        <v/>
      </c>
    </row>
    <row r="2277" ht="15" customHeight="1" s="107">
      <c r="A2277" s="216">
        <f>'CENTRO DE EDUCAÇÃO INFANTIL LOT'!F23</f>
        <v/>
      </c>
      <c r="B2277" s="217">
        <f>'CENTRO DE EDUCAÇÃO INFANTIL LOT'!C23</f>
        <v/>
      </c>
    </row>
    <row r="2278" ht="15" customHeight="1" s="107">
      <c r="A2278" s="216">
        <f>'CENTRO DE EDUCAÇÃO INFANTIL LOT'!F24</f>
        <v/>
      </c>
      <c r="B2278" s="217">
        <f>'CENTRO DE EDUCAÇÃO INFANTIL LOT'!C24</f>
        <v/>
      </c>
    </row>
    <row r="2279" ht="15" customHeight="1" s="107">
      <c r="A2279" s="216">
        <f>'CENTRO DE EDUCAÇÃO INFANTIL LOT'!F25</f>
        <v/>
      </c>
      <c r="B2279" s="217">
        <f>'CENTRO DE EDUCAÇÃO INFANTIL LOT'!C25</f>
        <v/>
      </c>
    </row>
    <row r="2280" ht="15" customHeight="1" s="107">
      <c r="A2280" s="216">
        <f>'CENTRO DE EDUCAÇÃO INFANTIL LOT'!F26</f>
        <v/>
      </c>
      <c r="B2280" s="217">
        <f>'CENTRO DE EDUCAÇÃO INFANTIL LOT'!C26</f>
        <v/>
      </c>
    </row>
    <row r="2281" ht="15" customHeight="1" s="107">
      <c r="A2281" s="216">
        <f>'CENTRO DE EDUCAÇÃO INFANTIL LOT'!F27</f>
        <v/>
      </c>
      <c r="B2281" s="217">
        <f>'CENTRO DE EDUCAÇÃO INFANTIL LOT'!C27</f>
        <v/>
      </c>
    </row>
    <row r="2282" ht="15" customHeight="1" s="107">
      <c r="A2282" s="216">
        <f>'ESCOLA PAROQUIAL DO LOTEAMENTO '!F9</f>
        <v/>
      </c>
      <c r="B2282" s="217">
        <f>'ESCOLA PAROQUIAL DO LOTEAMENTO '!C9</f>
        <v/>
      </c>
    </row>
    <row r="2283" ht="15" customHeight="1" s="107">
      <c r="A2283" s="216">
        <f>'ESCOLA PAROQUIAL DO LOTEAMENTO '!F10</f>
        <v/>
      </c>
      <c r="B2283" s="217">
        <f>'ESCOLA PAROQUIAL DO LOTEAMENTO '!C10</f>
        <v/>
      </c>
    </row>
    <row r="2284" ht="15" customHeight="1" s="107">
      <c r="A2284" s="216">
        <f>'ESCOLA PAROQUIAL DO LOTEAMENTO '!F11</f>
        <v/>
      </c>
      <c r="B2284" s="217">
        <f>'ESCOLA PAROQUIAL DO LOTEAMENTO '!C11</f>
        <v/>
      </c>
    </row>
    <row r="2285" ht="15" customHeight="1" s="107">
      <c r="A2285" s="216">
        <f>'ESCOLA PAROQUIAL DO LOTEAMENTO '!F12</f>
        <v/>
      </c>
      <c r="B2285" s="217">
        <f>'ESCOLA PAROQUIAL DO LOTEAMENTO '!C12</f>
        <v/>
      </c>
    </row>
    <row r="2286" ht="15" customHeight="1" s="107">
      <c r="A2286" s="216">
        <f>'ESCOLA PAROQUIAL DO LOTEAMENTO '!F13</f>
        <v/>
      </c>
      <c r="B2286" s="217">
        <f>'ESCOLA PAROQUIAL DO LOTEAMENTO '!C13</f>
        <v/>
      </c>
    </row>
    <row r="2287" ht="15" customHeight="1" s="107">
      <c r="A2287" s="216">
        <f>'ESCOLA PAROQUIAL DO LOTEAMENTO '!F14</f>
        <v/>
      </c>
      <c r="B2287" s="217">
        <f>'ESCOLA PAROQUIAL DO LOTEAMENTO '!C14</f>
        <v/>
      </c>
    </row>
    <row r="2288" ht="15" customHeight="1" s="107">
      <c r="A2288" s="216">
        <f>'ESCOLA PAROQUIAL DO LOTEAMENTO '!F15</f>
        <v/>
      </c>
      <c r="B2288" s="217">
        <f>'ESCOLA PAROQUIAL DO LOTEAMENTO '!C15</f>
        <v/>
      </c>
    </row>
    <row r="2289" ht="15" customHeight="1" s="107">
      <c r="A2289" s="216">
        <f>'ESCOLA PAROQUIAL DO LOTEAMENTO '!F16</f>
        <v/>
      </c>
      <c r="B2289" s="217">
        <f>'ESCOLA PAROQUIAL DO LOTEAMENTO '!C16</f>
        <v/>
      </c>
    </row>
    <row r="2290" ht="15" customHeight="1" s="107">
      <c r="A2290" s="216">
        <f>'ESCOLA PAROQUIAL DO LOTEAMENTO '!F17</f>
        <v/>
      </c>
      <c r="B2290" s="217">
        <f>'ESCOLA PAROQUIAL DO LOTEAMENTO '!C17</f>
        <v/>
      </c>
    </row>
    <row r="2291" ht="15" customHeight="1" s="107">
      <c r="A2291" s="216">
        <f>'ESCOLA PAROQUIAL DO LOTEAMENTO '!F18</f>
        <v/>
      </c>
      <c r="B2291" s="217">
        <f>'ESCOLA PAROQUIAL DO LOTEAMENTO '!C18</f>
        <v/>
      </c>
    </row>
    <row r="2292" ht="15" customHeight="1" s="107">
      <c r="A2292" s="216">
        <f>'ESCOLA PAROQUIAL DO LOTEAMENTO '!F19</f>
        <v/>
      </c>
      <c r="B2292" s="217">
        <f>'ESCOLA PAROQUIAL DO LOTEAMENTO '!C19</f>
        <v/>
      </c>
    </row>
    <row r="2293" ht="15" customHeight="1" s="107">
      <c r="A2293" s="216">
        <f>'ESCOLA PAROQUIAL DO LOTEAMENTO '!F20</f>
        <v/>
      </c>
      <c r="B2293" s="217">
        <f>'ESCOLA PAROQUIAL DO LOTEAMENTO '!C20</f>
        <v/>
      </c>
    </row>
    <row r="2294" ht="15" customHeight="1" s="107">
      <c r="A2294" s="216">
        <f>'ESCOLA PAROQUIAL DO LOTEAMENTO '!F21</f>
        <v/>
      </c>
      <c r="B2294" s="217">
        <f>'ESCOLA PAROQUIAL DO LOTEAMENTO '!C21</f>
        <v/>
      </c>
    </row>
    <row r="2295" ht="15" customHeight="1" s="107">
      <c r="A2295" s="216">
        <f>'ESCOLA PAROQUIAL DO LOTEAMENTO '!F22</f>
        <v/>
      </c>
      <c r="B2295" s="217">
        <f>'ESCOLA PAROQUIAL DO LOTEAMENTO '!C22</f>
        <v/>
      </c>
    </row>
    <row r="2296" ht="15" customHeight="1" s="107">
      <c r="A2296" s="216">
        <f>'ESCOLA PAROQUIAL DO LOTEAMENTO '!F23</f>
        <v/>
      </c>
      <c r="B2296" s="217">
        <f>'ESCOLA PAROQUIAL DO LOTEAMENTO '!C23</f>
        <v/>
      </c>
    </row>
    <row r="2297" ht="15" customHeight="1" s="107">
      <c r="A2297" s="216">
        <f>'ESCOLA PAROQUIAL DO LOTEAMENTO '!F24</f>
        <v/>
      </c>
      <c r="B2297" s="217">
        <f>'ESCOLA PAROQUIAL DO LOTEAMENTO '!C24</f>
        <v/>
      </c>
    </row>
    <row r="2298" ht="15" customHeight="1" s="107">
      <c r="A2298" s="216">
        <f>'ESCOLA PAROQUIAL DO LOTEAMENTO '!F25</f>
        <v/>
      </c>
      <c r="B2298" s="217">
        <f>'ESCOLA PAROQUIAL DO LOTEAMENTO '!C25</f>
        <v/>
      </c>
    </row>
    <row r="2299" ht="15" customHeight="1" s="107">
      <c r="A2299" s="216">
        <f>'ESCOLA PAROQUIAL DO LOTEAMENTO '!F26</f>
        <v/>
      </c>
      <c r="B2299" s="217">
        <f>'ESCOLA PAROQUIAL DO LOTEAMENTO '!C26</f>
        <v/>
      </c>
    </row>
    <row r="2300" ht="15" customHeight="1" s="107">
      <c r="A2300" s="216">
        <f>'ESCOLA PAROQUIAL DO LOTEAMENTO '!F27</f>
        <v/>
      </c>
      <c r="B2300" s="217">
        <f>'ESCOLA PAROQUIAL DO LOTEAMENTO '!C27</f>
        <v/>
      </c>
    </row>
    <row r="2301" ht="15" customHeight="1" s="107">
      <c r="A2301" s="216">
        <f>'E M PROF JOAQUIM DEISTER'!F9</f>
        <v/>
      </c>
      <c r="B2301" s="217">
        <f>'E M PROF JOAQUIM DEISTER'!C9</f>
        <v/>
      </c>
    </row>
    <row r="2302" ht="15" customHeight="1" s="107">
      <c r="A2302" s="216">
        <f>'E M PROF JOAQUIM DEISTER'!F10</f>
        <v/>
      </c>
      <c r="B2302" s="217">
        <f>'E M PROF JOAQUIM DEISTER'!C10</f>
        <v/>
      </c>
    </row>
    <row r="2303" ht="15" customHeight="1" s="107">
      <c r="A2303" s="216">
        <f>'E M PROF JOAQUIM DEISTER'!F11</f>
        <v/>
      </c>
      <c r="B2303" s="217">
        <f>'E M PROF JOAQUIM DEISTER'!C11</f>
        <v/>
      </c>
    </row>
    <row r="2304" ht="15" customHeight="1" s="107">
      <c r="A2304" s="216">
        <f>'E M PROF JOAQUIM DEISTER'!F12</f>
        <v/>
      </c>
      <c r="B2304" s="217">
        <f>'E M PROF JOAQUIM DEISTER'!C12</f>
        <v/>
      </c>
    </row>
    <row r="2305" ht="15" customHeight="1" s="107">
      <c r="A2305" s="216">
        <f>'E M PROF JOAQUIM DEISTER'!F13</f>
        <v/>
      </c>
      <c r="B2305" s="217">
        <f>'E M PROF JOAQUIM DEISTER'!C13</f>
        <v/>
      </c>
    </row>
    <row r="2306" ht="15" customHeight="1" s="107">
      <c r="A2306" s="216">
        <f>'E M PROF JOAQUIM DEISTER'!F14</f>
        <v/>
      </c>
      <c r="B2306" s="217">
        <f>'E M PROF JOAQUIM DEISTER'!C14</f>
        <v/>
      </c>
    </row>
    <row r="2307" ht="15" customHeight="1" s="107">
      <c r="A2307" s="216">
        <f>'E M PROF JOAQUIM DEISTER'!F15</f>
        <v/>
      </c>
      <c r="B2307" s="217">
        <f>'E M PROF JOAQUIM DEISTER'!C15</f>
        <v/>
      </c>
    </row>
    <row r="2308" ht="15" customHeight="1" s="107">
      <c r="A2308" s="216">
        <f>'E M PROF JOAQUIM DEISTER'!F16</f>
        <v/>
      </c>
      <c r="B2308" s="217">
        <f>'E M PROF JOAQUIM DEISTER'!C16</f>
        <v/>
      </c>
    </row>
    <row r="2309" ht="15" customHeight="1" s="107">
      <c r="A2309" s="216">
        <f>'E M PROF JOAQUIM DEISTER'!F17</f>
        <v/>
      </c>
      <c r="B2309" s="217">
        <f>'E M PROF JOAQUIM DEISTER'!C17</f>
        <v/>
      </c>
    </row>
    <row r="2310" ht="15" customHeight="1" s="107">
      <c r="A2310" s="216">
        <f>'E M PROF JOAQUIM DEISTER'!F18</f>
        <v/>
      </c>
      <c r="B2310" s="217">
        <f>'E M PROF JOAQUIM DEISTER'!C18</f>
        <v/>
      </c>
    </row>
    <row r="2311" ht="15" customHeight="1" s="107">
      <c r="A2311" s="216">
        <f>'E M PROF JOAQUIM DEISTER'!F19</f>
        <v/>
      </c>
      <c r="B2311" s="217">
        <f>'E M PROF JOAQUIM DEISTER'!C19</f>
        <v/>
      </c>
    </row>
    <row r="2312" ht="15" customHeight="1" s="107">
      <c r="A2312" s="216">
        <f>'E M PROF JOAQUIM DEISTER'!F20</f>
        <v/>
      </c>
      <c r="B2312" s="217">
        <f>'E M PROF JOAQUIM DEISTER'!C20</f>
        <v/>
      </c>
    </row>
    <row r="2313" ht="15" customHeight="1" s="107">
      <c r="A2313" s="216">
        <f>'E M PROF JOAQUIM DEISTER'!F21</f>
        <v/>
      </c>
      <c r="B2313" s="217">
        <f>'E M PROF JOAQUIM DEISTER'!C21</f>
        <v/>
      </c>
    </row>
    <row r="2314" ht="15" customHeight="1" s="107">
      <c r="A2314" s="216">
        <f>'E M PROF JOAQUIM DEISTER'!F22</f>
        <v/>
      </c>
      <c r="B2314" s="217">
        <f>'E M PROF JOAQUIM DEISTER'!C22</f>
        <v/>
      </c>
    </row>
    <row r="2315" ht="15" customHeight="1" s="107">
      <c r="A2315" s="216">
        <f>'E M PROF JOAQUIM DEISTER'!F23</f>
        <v/>
      </c>
      <c r="B2315" s="217">
        <f>'E M PROF JOAQUIM DEISTER'!C23</f>
        <v/>
      </c>
    </row>
    <row r="2316" ht="15" customHeight="1" s="107">
      <c r="A2316" s="216">
        <f>'E M PROF JOAQUIM DEISTER'!F24</f>
        <v/>
      </c>
      <c r="B2316" s="217">
        <f>'E M PROF JOAQUIM DEISTER'!C24</f>
        <v/>
      </c>
    </row>
    <row r="2317" ht="15" customHeight="1" s="107">
      <c r="A2317" s="216">
        <f>'E M PROF JOAQUIM DEISTER'!F25</f>
        <v/>
      </c>
      <c r="B2317" s="217">
        <f>'E M PROF JOAQUIM DEISTER'!C25</f>
        <v/>
      </c>
    </row>
    <row r="2318" ht="15" customHeight="1" s="107">
      <c r="A2318" s="216">
        <f>'E M PROF JOAQUIM DEISTER'!F26</f>
        <v/>
      </c>
      <c r="B2318" s="217">
        <f>'E M PROF JOAQUIM DEISTER'!C26</f>
        <v/>
      </c>
    </row>
    <row r="2319" ht="15" customHeight="1" s="107">
      <c r="A2319" s="216">
        <f>'E M PROF JOAQUIM DEISTER'!F27</f>
        <v/>
      </c>
      <c r="B2319" s="217">
        <f>'E M PROF JOAQUIM DEISTER'!C27</f>
        <v/>
      </c>
    </row>
    <row r="2320" ht="15" customHeight="1" s="107">
      <c r="A2320" s="216">
        <f>'E M MARIETA GONÇALVES'!F9</f>
        <v/>
      </c>
      <c r="B2320" s="217">
        <f>'E M MARIETA GONÇALVES'!C9</f>
        <v/>
      </c>
    </row>
    <row r="2321" ht="15" customHeight="1" s="107">
      <c r="A2321" s="216">
        <f>'E M MARIETA GONÇALVES'!F10</f>
        <v/>
      </c>
      <c r="B2321" s="217">
        <f>'E M MARIETA GONÇALVES'!C10</f>
        <v/>
      </c>
    </row>
    <row r="2322" ht="15" customHeight="1" s="107">
      <c r="A2322" s="216">
        <f>'E M MARIETA GONÇALVES'!F11</f>
        <v/>
      </c>
      <c r="B2322" s="217">
        <f>'E M MARIETA GONÇALVES'!C11</f>
        <v/>
      </c>
    </row>
    <row r="2323" ht="15" customHeight="1" s="107">
      <c r="A2323" s="216">
        <f>'E M MARIETA GONÇALVES'!F12</f>
        <v/>
      </c>
      <c r="B2323" s="217">
        <f>'E M MARIETA GONÇALVES'!C12</f>
        <v/>
      </c>
    </row>
    <row r="2324" ht="15" customHeight="1" s="107">
      <c r="A2324" s="216">
        <f>'E M MARIETA GONÇALVES'!F13</f>
        <v/>
      </c>
      <c r="B2324" s="217">
        <f>'E M MARIETA GONÇALVES'!C13</f>
        <v/>
      </c>
    </row>
    <row r="2325" ht="15" customHeight="1" s="107">
      <c r="A2325" s="216">
        <f>'E M MARIETA GONÇALVES'!F14</f>
        <v/>
      </c>
      <c r="B2325" s="217">
        <f>'E M MARIETA GONÇALVES'!C14</f>
        <v/>
      </c>
    </row>
    <row r="2326" ht="15" customHeight="1" s="107">
      <c r="A2326" s="216">
        <f>'E M MARIETA GONÇALVES'!F15</f>
        <v/>
      </c>
      <c r="B2326" s="217">
        <f>'E M MARIETA GONÇALVES'!C15</f>
        <v/>
      </c>
    </row>
    <row r="2327" ht="15" customHeight="1" s="107">
      <c r="A2327" s="216">
        <f>'E M MARIETA GONÇALVES'!F16</f>
        <v/>
      </c>
      <c r="B2327" s="217">
        <f>'E M MARIETA GONÇALVES'!C16</f>
        <v/>
      </c>
    </row>
    <row r="2328" ht="15" customHeight="1" s="107">
      <c r="A2328" s="216">
        <f>'E M MARIETA GONÇALVES'!F17</f>
        <v/>
      </c>
      <c r="B2328" s="217">
        <f>'E M MARIETA GONÇALVES'!C17</f>
        <v/>
      </c>
    </row>
    <row r="2329" ht="15" customHeight="1" s="107">
      <c r="A2329" s="216">
        <f>'E M MARIETA GONÇALVES'!F18</f>
        <v/>
      </c>
      <c r="B2329" s="217">
        <f>'E M MARIETA GONÇALVES'!C18</f>
        <v/>
      </c>
    </row>
    <row r="2330" ht="15" customHeight="1" s="107">
      <c r="A2330" s="216">
        <f>'E M MARIETA GONÇALVES'!F19</f>
        <v/>
      </c>
      <c r="B2330" s="217">
        <f>'E M MARIETA GONÇALVES'!C19</f>
        <v/>
      </c>
    </row>
    <row r="2331" ht="15" customHeight="1" s="107">
      <c r="A2331" s="216">
        <f>'E M MARIETA GONÇALVES'!F20</f>
        <v/>
      </c>
      <c r="B2331" s="217">
        <f>'E M MARIETA GONÇALVES'!C20</f>
        <v/>
      </c>
    </row>
    <row r="2332" ht="15" customHeight="1" s="107">
      <c r="A2332" s="216">
        <f>'E M MARIETA GONÇALVES'!F21</f>
        <v/>
      </c>
      <c r="B2332" s="217">
        <f>'E M MARIETA GONÇALVES'!C21</f>
        <v/>
      </c>
    </row>
    <row r="2333" ht="15" customHeight="1" s="107">
      <c r="A2333" s="216">
        <f>'E M MARIETA GONÇALVES'!F22</f>
        <v/>
      </c>
      <c r="B2333" s="217">
        <f>'E M MARIETA GONÇALVES'!C22</f>
        <v/>
      </c>
    </row>
    <row r="2334" ht="15" customHeight="1" s="107">
      <c r="A2334" s="216">
        <f>'E M MARIETA GONÇALVES'!F23</f>
        <v/>
      </c>
      <c r="B2334" s="217">
        <f>'E M MARIETA GONÇALVES'!C23</f>
        <v/>
      </c>
    </row>
    <row r="2335" ht="15" customHeight="1" s="107">
      <c r="A2335" s="216">
        <f>'E M MARIETA GONÇALVES'!F24</f>
        <v/>
      </c>
      <c r="B2335" s="217">
        <f>'E M MARIETA GONÇALVES'!C24</f>
        <v/>
      </c>
    </row>
    <row r="2336" ht="15" customHeight="1" s="107">
      <c r="A2336" s="216">
        <f>'E M MARIETA GONÇALVES'!F25</f>
        <v/>
      </c>
      <c r="B2336" s="217">
        <f>'E M MARIETA GONÇALVES'!C25</f>
        <v/>
      </c>
    </row>
    <row r="2337" ht="15" customHeight="1" s="107">
      <c r="A2337" s="216">
        <f>'E M MARIETA GONÇALVES'!F26</f>
        <v/>
      </c>
      <c r="B2337" s="217">
        <f>'E M MARIETA GONÇALVES'!C26</f>
        <v/>
      </c>
    </row>
    <row r="2338" ht="15" customHeight="1" s="107">
      <c r="A2338" s="216">
        <f>'E M MARIETA GONÇALVES'!F27</f>
        <v/>
      </c>
      <c r="B2338" s="217">
        <f>'E M MARIETA GONÇALVES'!C27</f>
        <v/>
      </c>
    </row>
    <row r="2339" ht="15" customHeight="1" s="107">
      <c r="A2339" s="216">
        <f>'ESCOLA MUNICIPAL ODETTE YOUNG M'!F9</f>
        <v/>
      </c>
      <c r="B2339" s="217">
        <f>'ESCOLA MUNICIPAL ODETTE YOUNG M'!C9</f>
        <v/>
      </c>
    </row>
    <row r="2340" ht="15" customHeight="1" s="107">
      <c r="A2340" s="216">
        <f>'ESCOLA MUNICIPAL ODETTE YOUNG M'!F10</f>
        <v/>
      </c>
      <c r="B2340" s="217">
        <f>'ESCOLA MUNICIPAL ODETTE YOUNG M'!C10</f>
        <v/>
      </c>
    </row>
    <row r="2341" ht="15" customHeight="1" s="107">
      <c r="A2341" s="216">
        <f>'ESCOLA MUNICIPAL ODETTE YOUNG M'!F11</f>
        <v/>
      </c>
      <c r="B2341" s="217">
        <f>'ESCOLA MUNICIPAL ODETTE YOUNG M'!C11</f>
        <v/>
      </c>
    </row>
    <row r="2342" ht="15" customHeight="1" s="107">
      <c r="A2342" s="216">
        <f>'ESCOLA MUNICIPAL ODETTE YOUNG M'!F12</f>
        <v/>
      </c>
      <c r="B2342" s="217">
        <f>'ESCOLA MUNICIPAL ODETTE YOUNG M'!C12</f>
        <v/>
      </c>
    </row>
    <row r="2343" ht="15" customHeight="1" s="107">
      <c r="A2343" s="216">
        <f>'ESCOLA MUNICIPAL ODETTE YOUNG M'!F13</f>
        <v/>
      </c>
      <c r="B2343" s="217">
        <f>'ESCOLA MUNICIPAL ODETTE YOUNG M'!C13</f>
        <v/>
      </c>
    </row>
    <row r="2344" ht="15" customHeight="1" s="107">
      <c r="A2344" s="216">
        <f>'ESCOLA MUNICIPAL ODETTE YOUNG M'!F14</f>
        <v/>
      </c>
      <c r="B2344" s="217">
        <f>'ESCOLA MUNICIPAL ODETTE YOUNG M'!C14</f>
        <v/>
      </c>
    </row>
    <row r="2345" ht="15" customHeight="1" s="107">
      <c r="A2345" s="216">
        <f>'ESCOLA MUNICIPAL ODETTE YOUNG M'!F15</f>
        <v/>
      </c>
      <c r="B2345" s="217">
        <f>'ESCOLA MUNICIPAL ODETTE YOUNG M'!C15</f>
        <v/>
      </c>
    </row>
    <row r="2346" ht="15" customHeight="1" s="107">
      <c r="A2346" s="216">
        <f>'ESCOLA MUNICIPAL ODETTE YOUNG M'!F16</f>
        <v/>
      </c>
      <c r="B2346" s="217">
        <f>'ESCOLA MUNICIPAL ODETTE YOUNG M'!C16</f>
        <v/>
      </c>
    </row>
    <row r="2347" ht="15" customHeight="1" s="107">
      <c r="A2347" s="216">
        <f>'ESCOLA MUNICIPAL ODETTE YOUNG M'!F17</f>
        <v/>
      </c>
      <c r="B2347" s="217">
        <f>'ESCOLA MUNICIPAL ODETTE YOUNG M'!C17</f>
        <v/>
      </c>
    </row>
    <row r="2348" ht="15" customHeight="1" s="107">
      <c r="A2348" s="216">
        <f>'ESCOLA MUNICIPAL ODETTE YOUNG M'!F18</f>
        <v/>
      </c>
      <c r="B2348" s="217">
        <f>'ESCOLA MUNICIPAL ODETTE YOUNG M'!C18</f>
        <v/>
      </c>
    </row>
    <row r="2349" ht="15" customHeight="1" s="107">
      <c r="A2349" s="216">
        <f>'ESCOLA MUNICIPAL ODETTE YOUNG M'!F19</f>
        <v/>
      </c>
      <c r="B2349" s="217">
        <f>'ESCOLA MUNICIPAL ODETTE YOUNG M'!C19</f>
        <v/>
      </c>
    </row>
    <row r="2350" ht="15" customHeight="1" s="107">
      <c r="A2350" s="216">
        <f>'ESCOLA MUNICIPAL ODETTE YOUNG M'!F20</f>
        <v/>
      </c>
      <c r="B2350" s="217">
        <f>'ESCOLA MUNICIPAL ODETTE YOUNG M'!C20</f>
        <v/>
      </c>
    </row>
    <row r="2351" ht="15" customHeight="1" s="107">
      <c r="A2351" s="216">
        <f>'ESCOLA MUNICIPAL ODETTE YOUNG M'!F21</f>
        <v/>
      </c>
      <c r="B2351" s="217">
        <f>'ESCOLA MUNICIPAL ODETTE YOUNG M'!C21</f>
        <v/>
      </c>
    </row>
    <row r="2352" ht="15" customHeight="1" s="107">
      <c r="A2352" s="216">
        <f>'ESCOLA MUNICIPAL ODETTE YOUNG M'!F22</f>
        <v/>
      </c>
      <c r="B2352" s="217">
        <f>'ESCOLA MUNICIPAL ODETTE YOUNG M'!C22</f>
        <v/>
      </c>
    </row>
    <row r="2353" ht="15" customHeight="1" s="107">
      <c r="A2353" s="216">
        <f>'ESCOLA MUNICIPAL ODETTE YOUNG M'!F23</f>
        <v/>
      </c>
      <c r="B2353" s="217">
        <f>'ESCOLA MUNICIPAL ODETTE YOUNG M'!C23</f>
        <v/>
      </c>
    </row>
    <row r="2354" ht="15" customHeight="1" s="107">
      <c r="A2354" s="216">
        <f>'ESCOLA MUNICIPAL ODETTE YOUNG M'!F24</f>
        <v/>
      </c>
      <c r="B2354" s="217">
        <f>'ESCOLA MUNICIPAL ODETTE YOUNG M'!C24</f>
        <v/>
      </c>
    </row>
    <row r="2355" ht="15" customHeight="1" s="107">
      <c r="A2355" s="216">
        <f>'ESCOLA MUNICIPAL ODETTE YOUNG M'!F25</f>
        <v/>
      </c>
      <c r="B2355" s="217">
        <f>'ESCOLA MUNICIPAL ODETTE YOUNG M'!C25</f>
        <v/>
      </c>
    </row>
    <row r="2356" ht="15" customHeight="1" s="107">
      <c r="A2356" s="216">
        <f>'ESCOLA MUNICIPAL ODETTE YOUNG M'!F26</f>
        <v/>
      </c>
      <c r="B2356" s="217">
        <f>'ESCOLA MUNICIPAL ODETTE YOUNG M'!C26</f>
        <v/>
      </c>
    </row>
    <row r="2357" ht="15" customHeight="1" s="107">
      <c r="A2357" s="216">
        <f>'ESCOLA MUNICIPAL ODETTE YOUNG M'!F27</f>
        <v/>
      </c>
      <c r="B2357" s="217">
        <f>'ESCOLA MUNICIPAL ODETTE YOUNG M'!C27</f>
        <v/>
      </c>
    </row>
    <row r="2358" ht="15" customHeight="1" s="107">
      <c r="A2358" s="216">
        <f>'ESCOLA MUNICIPAL PROFESSOR JOSE'!F9</f>
        <v/>
      </c>
      <c r="B2358" s="217">
        <f>'ESCOLA MUNICIPAL PROFESSOR JOSE'!C9</f>
        <v/>
      </c>
    </row>
    <row r="2359" ht="15" customHeight="1" s="107">
      <c r="A2359" s="216">
        <f>'ESCOLA MUNICIPAL PROFESSOR JOSE'!F10</f>
        <v/>
      </c>
      <c r="B2359" s="217">
        <f>'ESCOLA MUNICIPAL PROFESSOR JOSE'!C10</f>
        <v/>
      </c>
    </row>
    <row r="2360" ht="15" customHeight="1" s="107">
      <c r="A2360" s="216">
        <f>'ESCOLA MUNICIPAL PROFESSOR JOSE'!F11</f>
        <v/>
      </c>
      <c r="B2360" s="217">
        <f>'ESCOLA MUNICIPAL PROFESSOR JOSE'!C11</f>
        <v/>
      </c>
    </row>
    <row r="2361" ht="15" customHeight="1" s="107">
      <c r="A2361" s="216">
        <f>'ESCOLA MUNICIPAL PROFESSOR JOSE'!F12</f>
        <v/>
      </c>
      <c r="B2361" s="217">
        <f>'ESCOLA MUNICIPAL PROFESSOR JOSE'!C12</f>
        <v/>
      </c>
    </row>
    <row r="2362" ht="15" customHeight="1" s="107">
      <c r="A2362" s="216">
        <f>'ESCOLA MUNICIPAL PROFESSOR JOSE'!F13</f>
        <v/>
      </c>
      <c r="B2362" s="217">
        <f>'ESCOLA MUNICIPAL PROFESSOR JOSE'!C13</f>
        <v/>
      </c>
    </row>
    <row r="2363" ht="15" customHeight="1" s="107">
      <c r="A2363" s="216">
        <f>'ESCOLA MUNICIPAL PROFESSOR JOSE'!F14</f>
        <v/>
      </c>
      <c r="B2363" s="217">
        <f>'ESCOLA MUNICIPAL PROFESSOR JOSE'!C14</f>
        <v/>
      </c>
    </row>
    <row r="2364" ht="15" customHeight="1" s="107">
      <c r="A2364" s="216">
        <f>'ESCOLA MUNICIPAL PROFESSOR JOSE'!F15</f>
        <v/>
      </c>
      <c r="B2364" s="217">
        <f>'ESCOLA MUNICIPAL PROFESSOR JOSE'!C15</f>
        <v/>
      </c>
    </row>
    <row r="2365" ht="15" customHeight="1" s="107">
      <c r="A2365" s="216">
        <f>'ESCOLA MUNICIPAL PROFESSOR JOSE'!F16</f>
        <v/>
      </c>
      <c r="B2365" s="217">
        <f>'ESCOLA MUNICIPAL PROFESSOR JOSE'!C16</f>
        <v/>
      </c>
    </row>
    <row r="2366" ht="15" customHeight="1" s="107">
      <c r="A2366" s="216">
        <f>'ESCOLA MUNICIPAL PROFESSOR JOSE'!F17</f>
        <v/>
      </c>
      <c r="B2366" s="217">
        <f>'ESCOLA MUNICIPAL PROFESSOR JOSE'!C17</f>
        <v/>
      </c>
    </row>
    <row r="2367" ht="15" customHeight="1" s="107">
      <c r="A2367" s="216">
        <f>'ESCOLA MUNICIPAL PROFESSOR JOSE'!F18</f>
        <v/>
      </c>
      <c r="B2367" s="217">
        <f>'ESCOLA MUNICIPAL PROFESSOR JOSE'!C18</f>
        <v/>
      </c>
    </row>
    <row r="2368" ht="15" customHeight="1" s="107">
      <c r="A2368" s="216">
        <f>'ESCOLA MUNICIPAL PROFESSOR JOSE'!F19</f>
        <v/>
      </c>
      <c r="B2368" s="217">
        <f>'ESCOLA MUNICIPAL PROFESSOR JOSE'!C19</f>
        <v/>
      </c>
    </row>
    <row r="2369" ht="15" customHeight="1" s="107">
      <c r="A2369" s="216">
        <f>'ESCOLA MUNICIPAL PROFESSOR JOSE'!F20</f>
        <v/>
      </c>
      <c r="B2369" s="217">
        <f>'ESCOLA MUNICIPAL PROFESSOR JOSE'!C20</f>
        <v/>
      </c>
    </row>
    <row r="2370" ht="15" customHeight="1" s="107">
      <c r="A2370" s="216">
        <f>'ESCOLA MUNICIPAL PROFESSOR JOSE'!F21</f>
        <v/>
      </c>
      <c r="B2370" s="217">
        <f>'ESCOLA MUNICIPAL PROFESSOR JOSE'!C21</f>
        <v/>
      </c>
    </row>
    <row r="2371" ht="15" customHeight="1" s="107">
      <c r="A2371" s="216">
        <f>'ESCOLA MUNICIPAL PROFESSOR JOSE'!F22</f>
        <v/>
      </c>
      <c r="B2371" s="217">
        <f>'ESCOLA MUNICIPAL PROFESSOR JOSE'!C22</f>
        <v/>
      </c>
    </row>
    <row r="2372" ht="15" customHeight="1" s="107">
      <c r="A2372" s="216">
        <f>'ESCOLA MUNICIPAL PROFESSOR JOSE'!F23</f>
        <v/>
      </c>
      <c r="B2372" s="217">
        <f>'ESCOLA MUNICIPAL PROFESSOR JOSE'!C23</f>
        <v/>
      </c>
    </row>
    <row r="2373" ht="15" customHeight="1" s="107">
      <c r="A2373" s="216">
        <f>'ESCOLA MUNICIPAL PROFESSOR JOSE'!F24</f>
        <v/>
      </c>
      <c r="B2373" s="217">
        <f>'ESCOLA MUNICIPAL PROFESSOR JOSE'!C24</f>
        <v/>
      </c>
    </row>
    <row r="2374" ht="15" customHeight="1" s="107">
      <c r="A2374" s="216">
        <f>'ESCOLA MUNICIPAL PROFESSOR JOSE'!F25</f>
        <v/>
      </c>
      <c r="B2374" s="217">
        <f>'ESCOLA MUNICIPAL PROFESSOR JOSE'!C25</f>
        <v/>
      </c>
    </row>
    <row r="2375" ht="15" customHeight="1" s="107">
      <c r="A2375" s="216">
        <f>'ESCOLA MUNICIPAL PROFESSOR JOSE'!F26</f>
        <v/>
      </c>
      <c r="B2375" s="217">
        <f>'ESCOLA MUNICIPAL PROFESSOR JOSE'!C26</f>
        <v/>
      </c>
    </row>
    <row r="2376" ht="15" customHeight="1" s="107">
      <c r="A2376" s="216">
        <f>'ESCOLA MUNICIPAL PROFESSOR JOSE'!F27</f>
        <v/>
      </c>
      <c r="B2376" s="217">
        <f>'ESCOLA MUNICIPAL PROFESSOR JOSE'!C27</f>
        <v/>
      </c>
    </row>
    <row r="2377" ht="15" customHeight="1" s="107">
      <c r="A2377" s="216">
        <f>'E M HERCÍLIA HENRIQUES MORET'!F9</f>
        <v/>
      </c>
      <c r="B2377" s="217">
        <f>'E M HERCÍLIA HENRIQUES MORET'!C9</f>
        <v/>
      </c>
    </row>
    <row r="2378" ht="15" customHeight="1" s="107">
      <c r="A2378" s="216">
        <f>'E M HERCÍLIA HENRIQUES MORET'!F10</f>
        <v/>
      </c>
      <c r="B2378" s="217">
        <f>'E M HERCÍLIA HENRIQUES MORET'!C10</f>
        <v/>
      </c>
    </row>
    <row r="2379" ht="15" customHeight="1" s="107">
      <c r="A2379" s="216">
        <f>'E M HERCÍLIA HENRIQUES MORET'!F11</f>
        <v/>
      </c>
      <c r="B2379" s="217">
        <f>'E M HERCÍLIA HENRIQUES MORET'!C11</f>
        <v/>
      </c>
    </row>
    <row r="2380" ht="15" customHeight="1" s="107">
      <c r="A2380" s="216">
        <f>'E M HERCÍLIA HENRIQUES MORET'!F12</f>
        <v/>
      </c>
      <c r="B2380" s="217">
        <f>'E M HERCÍLIA HENRIQUES MORET'!C12</f>
        <v/>
      </c>
    </row>
    <row r="2381" ht="15" customHeight="1" s="107">
      <c r="A2381" s="216">
        <f>'E M HERCÍLIA HENRIQUES MORET'!F13</f>
        <v/>
      </c>
      <c r="B2381" s="217">
        <f>'E M HERCÍLIA HENRIQUES MORET'!C13</f>
        <v/>
      </c>
    </row>
    <row r="2382" ht="15" customHeight="1" s="107">
      <c r="A2382" s="216">
        <f>'E M HERCÍLIA HENRIQUES MORET'!F14</f>
        <v/>
      </c>
      <c r="B2382" s="217">
        <f>'E M HERCÍLIA HENRIQUES MORET'!C14</f>
        <v/>
      </c>
    </row>
    <row r="2383" ht="15" customHeight="1" s="107">
      <c r="A2383" s="216">
        <f>'E M HERCÍLIA HENRIQUES MORET'!F15</f>
        <v/>
      </c>
      <c r="B2383" s="217">
        <f>'E M HERCÍLIA HENRIQUES MORET'!C15</f>
        <v/>
      </c>
    </row>
    <row r="2384" ht="15" customHeight="1" s="107">
      <c r="A2384" s="216">
        <f>'E M HERCÍLIA HENRIQUES MORET'!F16</f>
        <v/>
      </c>
      <c r="B2384" s="217">
        <f>'E M HERCÍLIA HENRIQUES MORET'!C16</f>
        <v/>
      </c>
    </row>
    <row r="2385" ht="15" customHeight="1" s="107">
      <c r="A2385" s="216">
        <f>'E M HERCÍLIA HENRIQUES MORET'!F17</f>
        <v/>
      </c>
      <c r="B2385" s="217">
        <f>'E M HERCÍLIA HENRIQUES MORET'!C17</f>
        <v/>
      </c>
    </row>
    <row r="2386" ht="15" customHeight="1" s="107">
      <c r="A2386" s="216">
        <f>'E M HERCÍLIA HENRIQUES MORET'!F18</f>
        <v/>
      </c>
      <c r="B2386" s="217">
        <f>'E M HERCÍLIA HENRIQUES MORET'!C18</f>
        <v/>
      </c>
    </row>
    <row r="2387" ht="15" customHeight="1" s="107">
      <c r="A2387" s="216">
        <f>'E M HERCÍLIA HENRIQUES MORET'!F19</f>
        <v/>
      </c>
      <c r="B2387" s="217">
        <f>'E M HERCÍLIA HENRIQUES MORET'!C19</f>
        <v/>
      </c>
    </row>
    <row r="2388" ht="15" customHeight="1" s="107">
      <c r="A2388" s="216">
        <f>'E M HERCÍLIA HENRIQUES MORET'!F20</f>
        <v/>
      </c>
      <c r="B2388" s="217">
        <f>'E M HERCÍLIA HENRIQUES MORET'!C20</f>
        <v/>
      </c>
    </row>
    <row r="2389" ht="15" customHeight="1" s="107">
      <c r="A2389" s="216">
        <f>'E M HERCÍLIA HENRIQUES MORET'!F21</f>
        <v/>
      </c>
      <c r="B2389" s="217">
        <f>'E M HERCÍLIA HENRIQUES MORET'!C21</f>
        <v/>
      </c>
    </row>
    <row r="2390" ht="15" customHeight="1" s="107">
      <c r="A2390" s="216">
        <f>'E M HERCÍLIA HENRIQUES MORET'!F22</f>
        <v/>
      </c>
      <c r="B2390" s="217">
        <f>'E M HERCÍLIA HENRIQUES MORET'!C22</f>
        <v/>
      </c>
    </row>
    <row r="2391" ht="15" customHeight="1" s="107">
      <c r="A2391" s="216">
        <f>'E M HERCÍLIA HENRIQUES MORET'!F23</f>
        <v/>
      </c>
      <c r="B2391" s="217">
        <f>'E M HERCÍLIA HENRIQUES MORET'!C23</f>
        <v/>
      </c>
    </row>
    <row r="2392" ht="15" customHeight="1" s="107">
      <c r="A2392" s="216">
        <f>'E M HERCÍLIA HENRIQUES MORET'!F24</f>
        <v/>
      </c>
      <c r="B2392" s="217">
        <f>'E M HERCÍLIA HENRIQUES MORET'!C24</f>
        <v/>
      </c>
    </row>
    <row r="2393" ht="15" customHeight="1" s="107">
      <c r="A2393" s="216">
        <f>'E M HERCÍLIA HENRIQUES MORET'!F25</f>
        <v/>
      </c>
      <c r="B2393" s="217">
        <f>'E M HERCÍLIA HENRIQUES MORET'!C25</f>
        <v/>
      </c>
    </row>
    <row r="2394" ht="15" customHeight="1" s="107">
      <c r="A2394" s="216">
        <f>'E M HERCÍLIA HENRIQUES MORET'!F26</f>
        <v/>
      </c>
      <c r="B2394" s="217">
        <f>'E M HERCÍLIA HENRIQUES MORET'!C26</f>
        <v/>
      </c>
    </row>
    <row r="2395" ht="15" customHeight="1" s="107">
      <c r="A2395" s="216">
        <f>'E M HERCÍLIA HENRIQUES MORET'!F27</f>
        <v/>
      </c>
      <c r="B2395" s="217">
        <f>'E M HERCÍLIA HENRIQUES MORET'!C27</f>
        <v/>
      </c>
    </row>
    <row r="2396" ht="15" customHeight="1" s="107">
      <c r="A2396" s="216">
        <f>'COLEGIO VICENTINO PADRE CORRÊA'!F9</f>
        <v/>
      </c>
      <c r="B2396" s="217">
        <f>'COLEGIO VICENTINO PADRE CORRÊA'!C9</f>
        <v/>
      </c>
    </row>
    <row r="2397" ht="15" customHeight="1" s="107">
      <c r="A2397" s="216">
        <f>'COLEGIO VICENTINO PADRE CORRÊA'!F10</f>
        <v/>
      </c>
      <c r="B2397" s="217">
        <f>'COLEGIO VICENTINO PADRE CORRÊA'!C10</f>
        <v/>
      </c>
    </row>
    <row r="2398" ht="15" customHeight="1" s="107">
      <c r="A2398" s="216">
        <f>'COLEGIO VICENTINO PADRE CORRÊA'!F11</f>
        <v/>
      </c>
      <c r="B2398" s="217">
        <f>'COLEGIO VICENTINO PADRE CORRÊA'!C11</f>
        <v/>
      </c>
    </row>
    <row r="2399" ht="15" customHeight="1" s="107">
      <c r="A2399" s="216">
        <f>'COLEGIO VICENTINO PADRE CORRÊA'!F12</f>
        <v/>
      </c>
      <c r="B2399" s="217">
        <f>'COLEGIO VICENTINO PADRE CORRÊA'!C12</f>
        <v/>
      </c>
    </row>
    <row r="2400" ht="15" customHeight="1" s="107">
      <c r="A2400" s="216">
        <f>'COLEGIO VICENTINO PADRE CORRÊA'!F13</f>
        <v/>
      </c>
      <c r="B2400" s="217">
        <f>'COLEGIO VICENTINO PADRE CORRÊA'!C13</f>
        <v/>
      </c>
    </row>
    <row r="2401" ht="15" customHeight="1" s="107">
      <c r="A2401" s="216">
        <f>'COLEGIO VICENTINO PADRE CORRÊA'!F14</f>
        <v/>
      </c>
      <c r="B2401" s="217">
        <f>'COLEGIO VICENTINO PADRE CORRÊA'!C14</f>
        <v/>
      </c>
    </row>
    <row r="2402" ht="15" customHeight="1" s="107">
      <c r="A2402" s="216">
        <f>'COLEGIO VICENTINO PADRE CORRÊA'!F15</f>
        <v/>
      </c>
      <c r="B2402" s="217">
        <f>'COLEGIO VICENTINO PADRE CORRÊA'!C15</f>
        <v/>
      </c>
    </row>
    <row r="2403" ht="15" customHeight="1" s="107">
      <c r="A2403" s="216">
        <f>'COLEGIO VICENTINO PADRE CORRÊA'!F16</f>
        <v/>
      </c>
      <c r="B2403" s="217">
        <f>'COLEGIO VICENTINO PADRE CORRÊA'!C16</f>
        <v/>
      </c>
    </row>
    <row r="2404" ht="15" customHeight="1" s="107">
      <c r="A2404" s="216">
        <f>'COLEGIO VICENTINO PADRE CORRÊA'!F17</f>
        <v/>
      </c>
      <c r="B2404" s="217">
        <f>'COLEGIO VICENTINO PADRE CORRÊA'!C17</f>
        <v/>
      </c>
    </row>
    <row r="2405" ht="15" customHeight="1" s="107">
      <c r="A2405" s="216">
        <f>'COLEGIO VICENTINO PADRE CORRÊA'!F18</f>
        <v/>
      </c>
      <c r="B2405" s="217">
        <f>'COLEGIO VICENTINO PADRE CORRÊA'!C18</f>
        <v/>
      </c>
    </row>
    <row r="2406" ht="15" customHeight="1" s="107">
      <c r="A2406" s="216">
        <f>'COLEGIO VICENTINO PADRE CORRÊA'!F19</f>
        <v/>
      </c>
      <c r="B2406" s="217">
        <f>'COLEGIO VICENTINO PADRE CORRÊA'!C19</f>
        <v/>
      </c>
    </row>
    <row r="2407" ht="15" customHeight="1" s="107">
      <c r="A2407" s="216">
        <f>'COLEGIO VICENTINO PADRE CORRÊA'!F20</f>
        <v/>
      </c>
      <c r="B2407" s="217">
        <f>'COLEGIO VICENTINO PADRE CORRÊA'!C20</f>
        <v/>
      </c>
    </row>
    <row r="2408" ht="15" customHeight="1" s="107">
      <c r="A2408" s="216">
        <f>'COLEGIO VICENTINO PADRE CORRÊA'!F21</f>
        <v/>
      </c>
      <c r="B2408" s="217">
        <f>'COLEGIO VICENTINO PADRE CORRÊA'!C21</f>
        <v/>
      </c>
    </row>
    <row r="2409" ht="15" customHeight="1" s="107">
      <c r="A2409" s="216">
        <f>'COLEGIO VICENTINO PADRE CORRÊA'!F22</f>
        <v/>
      </c>
      <c r="B2409" s="217">
        <f>'COLEGIO VICENTINO PADRE CORRÊA'!C22</f>
        <v/>
      </c>
    </row>
    <row r="2410" ht="15" customHeight="1" s="107">
      <c r="A2410" s="216">
        <f>'COLEGIO VICENTINO PADRE CORRÊA'!F23</f>
        <v/>
      </c>
      <c r="B2410" s="217">
        <f>'COLEGIO VICENTINO PADRE CORRÊA'!C23</f>
        <v/>
      </c>
    </row>
    <row r="2411" ht="15" customHeight="1" s="107">
      <c r="A2411" s="216">
        <f>'COLEGIO VICENTINO PADRE CORRÊA'!F24</f>
        <v/>
      </c>
      <c r="B2411" s="217">
        <f>'COLEGIO VICENTINO PADRE CORRÊA'!C24</f>
        <v/>
      </c>
    </row>
    <row r="2412" ht="15" customHeight="1" s="107">
      <c r="A2412" s="216">
        <f>'COLEGIO VICENTINO PADRE CORRÊA'!F25</f>
        <v/>
      </c>
      <c r="B2412" s="217">
        <f>'COLEGIO VICENTINO PADRE CORRÊA'!C25</f>
        <v/>
      </c>
    </row>
    <row r="2413" ht="15" customHeight="1" s="107">
      <c r="A2413" s="216">
        <f>'COLEGIO VICENTINO PADRE CORRÊA'!F26</f>
        <v/>
      </c>
      <c r="B2413" s="217">
        <f>'COLEGIO VICENTINO PADRE CORRÊA'!C26</f>
        <v/>
      </c>
    </row>
    <row r="2414" ht="15" customHeight="1" s="107">
      <c r="A2414" s="216">
        <f>'COLEGIO VICENTINO PADRE CORRÊA'!F27</f>
        <v/>
      </c>
      <c r="B2414" s="217">
        <f>'COLEGIO VICENTINO PADRE CORRÊA'!C27</f>
        <v/>
      </c>
    </row>
    <row r="2415" ht="15" customHeight="1" s="107">
      <c r="A2415" s="216">
        <f>'CEI PROFª MARLUCE DE SOUZA PEST'!F9</f>
        <v/>
      </c>
      <c r="B2415" s="217">
        <f>'CEI PROFª MARLUCE DE SOUZA PEST'!C9</f>
        <v/>
      </c>
    </row>
    <row r="2416" ht="15" customHeight="1" s="107">
      <c r="A2416" s="216">
        <f>'CEI PROFª MARLUCE DE SOUZA PEST'!F10</f>
        <v/>
      </c>
      <c r="B2416" s="217">
        <f>'CEI PROFª MARLUCE DE SOUZA PEST'!C10</f>
        <v/>
      </c>
    </row>
    <row r="2417" ht="15" customHeight="1" s="107">
      <c r="A2417" s="216">
        <f>'CEI PROFª MARLUCE DE SOUZA PEST'!F11</f>
        <v/>
      </c>
      <c r="B2417" s="217">
        <f>'CEI PROFª MARLUCE DE SOUZA PEST'!C11</f>
        <v/>
      </c>
    </row>
    <row r="2418" ht="15" customHeight="1" s="107">
      <c r="A2418" s="216">
        <f>'CEI PROFª MARLUCE DE SOUZA PEST'!F12</f>
        <v/>
      </c>
      <c r="B2418" s="217">
        <f>'CEI PROFª MARLUCE DE SOUZA PEST'!C12</f>
        <v/>
      </c>
    </row>
    <row r="2419" ht="15" customHeight="1" s="107">
      <c r="A2419" s="216">
        <f>'CEI PROFª MARLUCE DE SOUZA PEST'!F13</f>
        <v/>
      </c>
      <c r="B2419" s="217">
        <f>'CEI PROFª MARLUCE DE SOUZA PEST'!C13</f>
        <v/>
      </c>
    </row>
    <row r="2420" ht="15" customHeight="1" s="107">
      <c r="A2420" s="216">
        <f>'CEI PROFª MARLUCE DE SOUZA PEST'!F14</f>
        <v/>
      </c>
      <c r="B2420" s="217">
        <f>'CEI PROFª MARLUCE DE SOUZA PEST'!C14</f>
        <v/>
      </c>
    </row>
    <row r="2421" ht="15" customHeight="1" s="107">
      <c r="A2421" s="216">
        <f>'CEI PROFª MARLUCE DE SOUZA PEST'!F15</f>
        <v/>
      </c>
      <c r="B2421" s="217">
        <f>'CEI PROFª MARLUCE DE SOUZA PEST'!C15</f>
        <v/>
      </c>
    </row>
    <row r="2422" ht="15" customHeight="1" s="107">
      <c r="A2422" s="216">
        <f>'CEI PROFª MARLUCE DE SOUZA PEST'!F16</f>
        <v/>
      </c>
      <c r="B2422" s="217">
        <f>'CEI PROFª MARLUCE DE SOUZA PEST'!C16</f>
        <v/>
      </c>
    </row>
    <row r="2423" ht="15" customHeight="1" s="107">
      <c r="A2423" s="216">
        <f>'CEI PROFª MARLUCE DE SOUZA PEST'!F17</f>
        <v/>
      </c>
      <c r="B2423" s="217">
        <f>'CEI PROFª MARLUCE DE SOUZA PEST'!C17</f>
        <v/>
      </c>
    </row>
    <row r="2424" ht="15" customHeight="1" s="107">
      <c r="A2424" s="216">
        <f>'CEI PROFª MARLUCE DE SOUZA PEST'!F18</f>
        <v/>
      </c>
      <c r="B2424" s="217">
        <f>'CEI PROFª MARLUCE DE SOUZA PEST'!C18</f>
        <v/>
      </c>
    </row>
    <row r="2425" ht="15" customHeight="1" s="107">
      <c r="A2425" s="216">
        <f>'CEI PROFª MARLUCE DE SOUZA PEST'!F19</f>
        <v/>
      </c>
      <c r="B2425" s="217">
        <f>'CEI PROFª MARLUCE DE SOUZA PEST'!C19</f>
        <v/>
      </c>
    </row>
    <row r="2426" ht="15" customHeight="1" s="107">
      <c r="A2426" s="216">
        <f>'CEI PROFª MARLUCE DE SOUZA PEST'!F20</f>
        <v/>
      </c>
      <c r="B2426" s="217">
        <f>'CEI PROFª MARLUCE DE SOUZA PEST'!C20</f>
        <v/>
      </c>
    </row>
    <row r="2427" ht="15" customHeight="1" s="107">
      <c r="A2427" s="216">
        <f>'CEI PROFª MARLUCE DE SOUZA PEST'!F21</f>
        <v/>
      </c>
      <c r="B2427" s="217">
        <f>'CEI PROFª MARLUCE DE SOUZA PEST'!C21</f>
        <v/>
      </c>
    </row>
    <row r="2428" ht="15" customHeight="1" s="107">
      <c r="A2428" s="216">
        <f>'CEI PROFª MARLUCE DE SOUZA PEST'!F22</f>
        <v/>
      </c>
      <c r="B2428" s="217">
        <f>'CEI PROFª MARLUCE DE SOUZA PEST'!C22</f>
        <v/>
      </c>
    </row>
    <row r="2429" ht="15" customHeight="1" s="107">
      <c r="A2429" s="216">
        <f>'CEI PROFª MARLUCE DE SOUZA PEST'!F23</f>
        <v/>
      </c>
      <c r="B2429" s="217">
        <f>'CEI PROFª MARLUCE DE SOUZA PEST'!C23</f>
        <v/>
      </c>
    </row>
    <row r="2430" ht="15" customHeight="1" s="107">
      <c r="A2430" s="216">
        <f>'CEI PROFª MARLUCE DE SOUZA PEST'!F24</f>
        <v/>
      </c>
      <c r="B2430" s="217">
        <f>'CEI PROFª MARLUCE DE SOUZA PEST'!C24</f>
        <v/>
      </c>
    </row>
    <row r="2431" ht="15" customHeight="1" s="107">
      <c r="A2431" s="216">
        <f>'CEI PROFª MARLUCE DE SOUZA PEST'!F25</f>
        <v/>
      </c>
      <c r="B2431" s="217">
        <f>'CEI PROFª MARLUCE DE SOUZA PEST'!C25</f>
        <v/>
      </c>
    </row>
    <row r="2432" ht="15" customHeight="1" s="107">
      <c r="A2432" s="216">
        <f>'CEI PROFª MARLUCE DE SOUZA PEST'!F26</f>
        <v/>
      </c>
      <c r="B2432" s="217">
        <f>'CEI PROFª MARLUCE DE SOUZA PEST'!C26</f>
        <v/>
      </c>
    </row>
    <row r="2433" ht="15" customHeight="1" s="107">
      <c r="A2433" s="216">
        <f>'CEI PROFª MARLUCE DE SOUZA PEST'!F27</f>
        <v/>
      </c>
      <c r="B2433" s="217">
        <f>'CEI PROFª MARLUCE DE SOUZA PEST'!C27</f>
        <v/>
      </c>
    </row>
    <row r="2434" ht="15" customHeight="1" s="107">
      <c r="A2434" s="216">
        <f>'CEI IRINEU MARINHO'!F9</f>
        <v/>
      </c>
      <c r="B2434" s="217">
        <f>'CEI IRINEU MARINHO'!C9</f>
        <v/>
      </c>
    </row>
    <row r="2435" ht="15" customHeight="1" s="107">
      <c r="A2435" s="216">
        <f>'CEI IRINEU MARINHO'!F10</f>
        <v/>
      </c>
      <c r="B2435" s="217">
        <f>'CEI IRINEU MARINHO'!C10</f>
        <v/>
      </c>
    </row>
    <row r="2436" ht="15" customHeight="1" s="107">
      <c r="A2436" s="216">
        <f>'CEI IRINEU MARINHO'!F11</f>
        <v/>
      </c>
      <c r="B2436" s="217">
        <f>'CEI IRINEU MARINHO'!C11</f>
        <v/>
      </c>
    </row>
    <row r="2437" ht="15" customHeight="1" s="107">
      <c r="A2437" s="216">
        <f>'CEI IRINEU MARINHO'!F12</f>
        <v/>
      </c>
      <c r="B2437" s="217">
        <f>'CEI IRINEU MARINHO'!C12</f>
        <v/>
      </c>
    </row>
    <row r="2438" ht="15" customHeight="1" s="107">
      <c r="A2438" s="216">
        <f>'CEI IRINEU MARINHO'!F13</f>
        <v/>
      </c>
      <c r="B2438" s="217">
        <f>'CEI IRINEU MARINHO'!C13</f>
        <v/>
      </c>
    </row>
    <row r="2439" ht="15" customHeight="1" s="107">
      <c r="A2439" s="216">
        <f>'CEI IRINEU MARINHO'!F14</f>
        <v/>
      </c>
      <c r="B2439" s="217">
        <f>'CEI IRINEU MARINHO'!C14</f>
        <v/>
      </c>
    </row>
    <row r="2440" ht="15" customHeight="1" s="107">
      <c r="A2440" s="216">
        <f>'CEI IRINEU MARINHO'!F15</f>
        <v/>
      </c>
      <c r="B2440" s="217">
        <f>'CEI IRINEU MARINHO'!C15</f>
        <v/>
      </c>
    </row>
    <row r="2441" ht="15" customHeight="1" s="107">
      <c r="A2441" s="216">
        <f>'CEI IRINEU MARINHO'!F16</f>
        <v/>
      </c>
      <c r="B2441" s="217">
        <f>'CEI IRINEU MARINHO'!C16</f>
        <v/>
      </c>
    </row>
    <row r="2442" ht="15" customHeight="1" s="107">
      <c r="A2442" s="216">
        <f>'CEI IRINEU MARINHO'!F17</f>
        <v/>
      </c>
      <c r="B2442" s="217">
        <f>'CEI IRINEU MARINHO'!C17</f>
        <v/>
      </c>
    </row>
    <row r="2443" ht="15" customHeight="1" s="107">
      <c r="A2443" s="216">
        <f>'CEI IRINEU MARINHO'!F18</f>
        <v/>
      </c>
      <c r="B2443" s="217">
        <f>'CEI IRINEU MARINHO'!C18</f>
        <v/>
      </c>
    </row>
    <row r="2444" ht="15" customHeight="1" s="107">
      <c r="A2444" s="216">
        <f>'CEI IRINEU MARINHO'!F19</f>
        <v/>
      </c>
      <c r="B2444" s="217">
        <f>'CEI IRINEU MARINHO'!C19</f>
        <v/>
      </c>
    </row>
    <row r="2445" ht="15" customHeight="1" s="107">
      <c r="A2445" s="216">
        <f>'CEI IRINEU MARINHO'!F20</f>
        <v/>
      </c>
      <c r="B2445" s="217">
        <f>'CEI IRINEU MARINHO'!C20</f>
        <v/>
      </c>
    </row>
    <row r="2446" ht="15" customHeight="1" s="107">
      <c r="A2446" s="216">
        <f>'CEI IRINEU MARINHO'!F21</f>
        <v/>
      </c>
      <c r="B2446" s="217">
        <f>'CEI IRINEU MARINHO'!C21</f>
        <v/>
      </c>
    </row>
    <row r="2447" ht="15" customHeight="1" s="107">
      <c r="A2447" s="216">
        <f>'CEI IRINEU MARINHO'!F22</f>
        <v/>
      </c>
      <c r="B2447" s="217">
        <f>'CEI IRINEU MARINHO'!C22</f>
        <v/>
      </c>
    </row>
    <row r="2448" ht="15" customHeight="1" s="107">
      <c r="A2448" s="216">
        <f>'CEI IRINEU MARINHO'!F23</f>
        <v/>
      </c>
      <c r="B2448" s="217">
        <f>'CEI IRINEU MARINHO'!C23</f>
        <v/>
      </c>
    </row>
    <row r="2449" ht="15" customHeight="1" s="107">
      <c r="A2449" s="216">
        <f>'CEI IRINEU MARINHO'!F24</f>
        <v/>
      </c>
      <c r="B2449" s="217">
        <f>'CEI IRINEU MARINHO'!C24</f>
        <v/>
      </c>
    </row>
    <row r="2450" ht="15" customHeight="1" s="107">
      <c r="A2450" s="216">
        <f>'CEI IRINEU MARINHO'!F25</f>
        <v/>
      </c>
      <c r="B2450" s="217">
        <f>'CEI IRINEU MARINHO'!C25</f>
        <v/>
      </c>
    </row>
    <row r="2451" ht="15" customHeight="1" s="107">
      <c r="A2451" s="216">
        <f>'CEI IRINEU MARINHO'!F26</f>
        <v/>
      </c>
      <c r="B2451" s="217">
        <f>'CEI IRINEU MARINHO'!C26</f>
        <v/>
      </c>
    </row>
    <row r="2452" ht="15" customHeight="1" s="107">
      <c r="A2452" s="216">
        <f>'CEI IRINEU MARINHO'!F27</f>
        <v/>
      </c>
      <c r="B2452" s="217">
        <f>'CEI IRINEU MARINHO'!C27</f>
        <v/>
      </c>
    </row>
    <row r="2453" ht="15" customHeight="1" s="107">
      <c r="A2453" s="216">
        <f>'CEI DAGMAR ROLANDO DE OLIVEIRA'!F9</f>
        <v/>
      </c>
      <c r="B2453" s="217">
        <f>'CEI DAGMAR ROLANDO DE OLIVEIRA'!C9</f>
        <v/>
      </c>
    </row>
    <row r="2454" ht="15" customHeight="1" s="107">
      <c r="A2454" s="216">
        <f>'CEI DAGMAR ROLANDO DE OLIVEIRA'!F10</f>
        <v/>
      </c>
      <c r="B2454" s="217">
        <f>'CEI DAGMAR ROLANDO DE OLIVEIRA'!C10</f>
        <v/>
      </c>
    </row>
    <row r="2455" ht="15" customHeight="1" s="107">
      <c r="A2455" s="216">
        <f>'CEI DAGMAR ROLANDO DE OLIVEIRA'!F11</f>
        <v/>
      </c>
      <c r="B2455" s="217">
        <f>'CEI DAGMAR ROLANDO DE OLIVEIRA'!C11</f>
        <v/>
      </c>
    </row>
    <row r="2456" ht="15" customHeight="1" s="107">
      <c r="A2456" s="216">
        <f>'CEI DAGMAR ROLANDO DE OLIVEIRA'!F12</f>
        <v/>
      </c>
      <c r="B2456" s="217">
        <f>'CEI DAGMAR ROLANDO DE OLIVEIRA'!C12</f>
        <v/>
      </c>
    </row>
    <row r="2457" ht="15" customHeight="1" s="107">
      <c r="A2457" s="216">
        <f>'CEI DAGMAR ROLANDO DE OLIVEIRA'!F13</f>
        <v/>
      </c>
      <c r="B2457" s="217">
        <f>'CEI DAGMAR ROLANDO DE OLIVEIRA'!C13</f>
        <v/>
      </c>
    </row>
    <row r="2458" ht="15" customHeight="1" s="107">
      <c r="A2458" s="216">
        <f>'CEI DAGMAR ROLANDO DE OLIVEIRA'!F14</f>
        <v/>
      </c>
      <c r="B2458" s="217">
        <f>'CEI DAGMAR ROLANDO DE OLIVEIRA'!C14</f>
        <v/>
      </c>
    </row>
    <row r="2459" ht="15" customHeight="1" s="107">
      <c r="A2459" s="216">
        <f>'CEI DAGMAR ROLANDO DE OLIVEIRA'!F15</f>
        <v/>
      </c>
      <c r="B2459" s="217">
        <f>'CEI DAGMAR ROLANDO DE OLIVEIRA'!C15</f>
        <v/>
      </c>
    </row>
    <row r="2460" ht="15" customHeight="1" s="107">
      <c r="A2460" s="216">
        <f>'CEI DAGMAR ROLANDO DE OLIVEIRA'!F16</f>
        <v/>
      </c>
      <c r="B2460" s="217">
        <f>'CEI DAGMAR ROLANDO DE OLIVEIRA'!C16</f>
        <v/>
      </c>
    </row>
    <row r="2461" ht="15" customHeight="1" s="107">
      <c r="A2461" s="216">
        <f>'CEI DAGMAR ROLANDO DE OLIVEIRA'!F17</f>
        <v/>
      </c>
      <c r="B2461" s="217">
        <f>'CEI DAGMAR ROLANDO DE OLIVEIRA'!C17</f>
        <v/>
      </c>
    </row>
    <row r="2462" ht="15" customHeight="1" s="107">
      <c r="A2462" s="216">
        <f>'CEI DAGMAR ROLANDO DE OLIVEIRA'!F18</f>
        <v/>
      </c>
      <c r="B2462" s="217">
        <f>'CEI DAGMAR ROLANDO DE OLIVEIRA'!C18</f>
        <v/>
      </c>
    </row>
    <row r="2463" ht="15" customHeight="1" s="107">
      <c r="A2463" s="216">
        <f>'CEI DAGMAR ROLANDO DE OLIVEIRA'!F19</f>
        <v/>
      </c>
      <c r="B2463" s="217">
        <f>'CEI DAGMAR ROLANDO DE OLIVEIRA'!C19</f>
        <v/>
      </c>
    </row>
    <row r="2464" ht="15" customHeight="1" s="107">
      <c r="A2464" s="216">
        <f>'CEI DAGMAR ROLANDO DE OLIVEIRA'!F20</f>
        <v/>
      </c>
      <c r="B2464" s="217">
        <f>'CEI DAGMAR ROLANDO DE OLIVEIRA'!C20</f>
        <v/>
      </c>
    </row>
    <row r="2465" ht="15" customHeight="1" s="107">
      <c r="A2465" s="216">
        <f>'CEI DAGMAR ROLANDO DE OLIVEIRA'!F21</f>
        <v/>
      </c>
      <c r="B2465" s="217">
        <f>'CEI DAGMAR ROLANDO DE OLIVEIRA'!C21</f>
        <v/>
      </c>
    </row>
    <row r="2466" ht="15" customHeight="1" s="107">
      <c r="A2466" s="216">
        <f>'CEI DAGMAR ROLANDO DE OLIVEIRA'!F22</f>
        <v/>
      </c>
      <c r="B2466" s="217">
        <f>'CEI DAGMAR ROLANDO DE OLIVEIRA'!C22</f>
        <v/>
      </c>
    </row>
    <row r="2467" ht="15" customHeight="1" s="107">
      <c r="A2467" s="216">
        <f>'CEI DAGMAR ROLANDO DE OLIVEIRA'!F23</f>
        <v/>
      </c>
      <c r="B2467" s="217">
        <f>'CEI DAGMAR ROLANDO DE OLIVEIRA'!C23</f>
        <v/>
      </c>
    </row>
    <row r="2468" ht="15" customHeight="1" s="107">
      <c r="A2468" s="216">
        <f>'CEI DAGMAR ROLANDO DE OLIVEIRA'!F24</f>
        <v/>
      </c>
      <c r="B2468" s="217">
        <f>'CEI DAGMAR ROLANDO DE OLIVEIRA'!C24</f>
        <v/>
      </c>
    </row>
    <row r="2469" ht="15" customHeight="1" s="107">
      <c r="A2469" s="216">
        <f>'CEI DAGMAR ROLANDO DE OLIVEIRA'!F25</f>
        <v/>
      </c>
      <c r="B2469" s="217">
        <f>'CEI DAGMAR ROLANDO DE OLIVEIRA'!C25</f>
        <v/>
      </c>
    </row>
    <row r="2470" ht="15" customHeight="1" s="107">
      <c r="A2470" s="216">
        <f>'CEI DAGMAR ROLANDO DE OLIVEIRA'!F26</f>
        <v/>
      </c>
      <c r="B2470" s="217">
        <f>'CEI DAGMAR ROLANDO DE OLIVEIRA'!C26</f>
        <v/>
      </c>
    </row>
    <row r="2471" ht="15" customHeight="1" s="107">
      <c r="A2471" s="216">
        <f>'CEI DAGMAR ROLANDO DE OLIVEIRA'!F27</f>
        <v/>
      </c>
      <c r="B2471" s="217">
        <f>'CEI DAGMAR ROLANDO DE OLIVEIRA'!C27</f>
        <v/>
      </c>
    </row>
    <row r="2472" ht="15" customHeight="1" s="107">
      <c r="A2472" s="216">
        <f>'CEI NOSSA SENHORA DA GLÓRIA'!F9</f>
        <v/>
      </c>
      <c r="B2472" s="217">
        <f>'CEI NOSSA SENHORA DA GLÓRIA'!C9</f>
        <v/>
      </c>
    </row>
    <row r="2473" ht="15" customHeight="1" s="107">
      <c r="A2473" s="216">
        <f>'CEI NOSSA SENHORA DA GLÓRIA'!F10</f>
        <v/>
      </c>
      <c r="B2473" s="217">
        <f>'CEI NOSSA SENHORA DA GLÓRIA'!C10</f>
        <v/>
      </c>
    </row>
    <row r="2474" ht="15" customHeight="1" s="107">
      <c r="A2474" s="216">
        <f>'CEI NOSSA SENHORA DA GLÓRIA'!F11</f>
        <v/>
      </c>
      <c r="B2474" s="217">
        <f>'CEI NOSSA SENHORA DA GLÓRIA'!C11</f>
        <v/>
      </c>
    </row>
    <row r="2475" ht="15" customHeight="1" s="107">
      <c r="A2475" s="216">
        <f>'CEI NOSSA SENHORA DA GLÓRIA'!F12</f>
        <v/>
      </c>
      <c r="B2475" s="217">
        <f>'CEI NOSSA SENHORA DA GLÓRIA'!C12</f>
        <v/>
      </c>
    </row>
    <row r="2476" ht="15" customHeight="1" s="107">
      <c r="A2476" s="216">
        <f>'CEI NOSSA SENHORA DA GLÓRIA'!F13</f>
        <v/>
      </c>
      <c r="B2476" s="217">
        <f>'CEI NOSSA SENHORA DA GLÓRIA'!C13</f>
        <v/>
      </c>
    </row>
    <row r="2477" ht="15" customHeight="1" s="107">
      <c r="A2477" s="216">
        <f>'CEI NOSSA SENHORA DA GLÓRIA'!F14</f>
        <v/>
      </c>
      <c r="B2477" s="217">
        <f>'CEI NOSSA SENHORA DA GLÓRIA'!C14</f>
        <v/>
      </c>
    </row>
    <row r="2478" ht="15" customHeight="1" s="107">
      <c r="A2478" s="216">
        <f>'CEI NOSSA SENHORA DA GLÓRIA'!F15</f>
        <v/>
      </c>
      <c r="B2478" s="217">
        <f>'CEI NOSSA SENHORA DA GLÓRIA'!C15</f>
        <v/>
      </c>
    </row>
    <row r="2479" ht="15" customHeight="1" s="107">
      <c r="A2479" s="216">
        <f>'CEI NOSSA SENHORA DA GLÓRIA'!F16</f>
        <v/>
      </c>
      <c r="B2479" s="217">
        <f>'CEI NOSSA SENHORA DA GLÓRIA'!C16</f>
        <v/>
      </c>
    </row>
    <row r="2480" ht="15" customHeight="1" s="107">
      <c r="A2480" s="216">
        <f>'CEI NOSSA SENHORA DA GLÓRIA'!F17</f>
        <v/>
      </c>
      <c r="B2480" s="217">
        <f>'CEI NOSSA SENHORA DA GLÓRIA'!C17</f>
        <v/>
      </c>
    </row>
    <row r="2481" ht="15" customHeight="1" s="107">
      <c r="A2481" s="216">
        <f>'CEI NOSSA SENHORA DA GLÓRIA'!F18</f>
        <v/>
      </c>
      <c r="B2481" s="217">
        <f>'CEI NOSSA SENHORA DA GLÓRIA'!C18</f>
        <v/>
      </c>
    </row>
    <row r="2482" ht="15" customHeight="1" s="107">
      <c r="A2482" s="216">
        <f>'CEI NOSSA SENHORA DA GLÓRIA'!F19</f>
        <v/>
      </c>
      <c r="B2482" s="217">
        <f>'CEI NOSSA SENHORA DA GLÓRIA'!C19</f>
        <v/>
      </c>
    </row>
    <row r="2483" ht="15" customHeight="1" s="107">
      <c r="A2483" s="216">
        <f>'CEI NOSSA SENHORA DA GLÓRIA'!F20</f>
        <v/>
      </c>
      <c r="B2483" s="217">
        <f>'CEI NOSSA SENHORA DA GLÓRIA'!C20</f>
        <v/>
      </c>
    </row>
    <row r="2484" ht="15" customHeight="1" s="107">
      <c r="A2484" s="216">
        <f>'CEI NOSSA SENHORA DA GLÓRIA'!F21</f>
        <v/>
      </c>
      <c r="B2484" s="217">
        <f>'CEI NOSSA SENHORA DA GLÓRIA'!C21</f>
        <v/>
      </c>
    </row>
    <row r="2485" ht="15" customHeight="1" s="107">
      <c r="A2485" s="216">
        <f>'CEI NOSSA SENHORA DA GLÓRIA'!F22</f>
        <v/>
      </c>
      <c r="B2485" s="217">
        <f>'CEI NOSSA SENHORA DA GLÓRIA'!C22</f>
        <v/>
      </c>
    </row>
    <row r="2486" ht="15" customHeight="1" s="107">
      <c r="A2486" s="216">
        <f>'CEI NOSSA SENHORA DA GLÓRIA'!F23</f>
        <v/>
      </c>
      <c r="B2486" s="217">
        <f>'CEI NOSSA SENHORA DA GLÓRIA'!C23</f>
        <v/>
      </c>
    </row>
    <row r="2487" ht="15" customHeight="1" s="107">
      <c r="A2487" s="216">
        <f>'CEI NOSSA SENHORA DA GLÓRIA'!F24</f>
        <v/>
      </c>
      <c r="B2487" s="217">
        <f>'CEI NOSSA SENHORA DA GLÓRIA'!C24</f>
        <v/>
      </c>
    </row>
    <row r="2488" ht="15" customHeight="1" s="107">
      <c r="A2488" s="216">
        <f>'CEI NOSSA SENHORA DA GLÓRIA'!F25</f>
        <v/>
      </c>
      <c r="B2488" s="217">
        <f>'CEI NOSSA SENHORA DA GLÓRIA'!C25</f>
        <v/>
      </c>
    </row>
    <row r="2489" ht="15" customHeight="1" s="107">
      <c r="A2489" s="216">
        <f>'CEI NOSSA SENHORA DA GLÓRIA'!F26</f>
        <v/>
      </c>
      <c r="B2489" s="217">
        <f>'CEI NOSSA SENHORA DA GLÓRIA'!C26</f>
        <v/>
      </c>
    </row>
    <row r="2490" ht="15" customHeight="1" s="107">
      <c r="A2490" s="216">
        <f>'CEI NOSSA SENHORA DA GLÓRIA'!F27</f>
        <v/>
      </c>
      <c r="B2490" s="217">
        <f>'CEI NOSSA SENHORA DA GLÓRIA'!C27</f>
        <v/>
      </c>
    </row>
    <row r="2491" ht="15" customHeight="1" s="107">
      <c r="A2491" s="216">
        <f>'E M PROF NILTON COSTA PEREIRA D'!F9</f>
        <v/>
      </c>
      <c r="B2491" s="217">
        <f>'E M PROF NILTON COSTA PEREIRA D'!C9</f>
        <v/>
      </c>
    </row>
    <row r="2492" ht="15" customHeight="1" s="107">
      <c r="A2492" s="216">
        <f>'E M PROF NILTON COSTA PEREIRA D'!F10</f>
        <v/>
      </c>
      <c r="B2492" s="217">
        <f>'E M PROF NILTON COSTA PEREIRA D'!C10</f>
        <v/>
      </c>
    </row>
    <row r="2493" ht="15" customHeight="1" s="107">
      <c r="A2493" s="216">
        <f>'E M PROF NILTON COSTA PEREIRA D'!F11</f>
        <v/>
      </c>
      <c r="B2493" s="217">
        <f>'E M PROF NILTON COSTA PEREIRA D'!C11</f>
        <v/>
      </c>
    </row>
    <row r="2494" ht="15" customHeight="1" s="107">
      <c r="A2494" s="216">
        <f>'E M PROF NILTON COSTA PEREIRA D'!F12</f>
        <v/>
      </c>
      <c r="B2494" s="217">
        <f>'E M PROF NILTON COSTA PEREIRA D'!C12</f>
        <v/>
      </c>
    </row>
    <row r="2495" ht="15" customHeight="1" s="107">
      <c r="A2495" s="216">
        <f>'E M PROF NILTON COSTA PEREIRA D'!F13</f>
        <v/>
      </c>
      <c r="B2495" s="217">
        <f>'E M PROF NILTON COSTA PEREIRA D'!C13</f>
        <v/>
      </c>
    </row>
    <row r="2496" ht="15" customHeight="1" s="107">
      <c r="A2496" s="216">
        <f>'E M PROF NILTON COSTA PEREIRA D'!F14</f>
        <v/>
      </c>
      <c r="B2496" s="217">
        <f>'E M PROF NILTON COSTA PEREIRA D'!C14</f>
        <v/>
      </c>
    </row>
    <row r="2497" ht="15" customHeight="1" s="107">
      <c r="A2497" s="216">
        <f>'E M PROF NILTON COSTA PEREIRA D'!F15</f>
        <v/>
      </c>
      <c r="B2497" s="217">
        <f>'E M PROF NILTON COSTA PEREIRA D'!C15</f>
        <v/>
      </c>
    </row>
    <row r="2498" ht="15" customHeight="1" s="107">
      <c r="A2498" s="216">
        <f>'E M PROF NILTON COSTA PEREIRA D'!F16</f>
        <v/>
      </c>
      <c r="B2498" s="217">
        <f>'E M PROF NILTON COSTA PEREIRA D'!C16</f>
        <v/>
      </c>
    </row>
    <row r="2499" ht="15" customHeight="1" s="107">
      <c r="A2499" s="216">
        <f>'E M PROF NILTON COSTA PEREIRA D'!F17</f>
        <v/>
      </c>
      <c r="B2499" s="217">
        <f>'E M PROF NILTON COSTA PEREIRA D'!C17</f>
        <v/>
      </c>
    </row>
    <row r="2500" ht="15" customHeight="1" s="107">
      <c r="A2500" s="216">
        <f>'E M PROF NILTON COSTA PEREIRA D'!F18</f>
        <v/>
      </c>
      <c r="B2500" s="217">
        <f>'E M PROF NILTON COSTA PEREIRA D'!C18</f>
        <v/>
      </c>
    </row>
    <row r="2501" ht="15" customHeight="1" s="107">
      <c r="A2501" s="216">
        <f>'E M PROF NILTON COSTA PEREIRA D'!F19</f>
        <v/>
      </c>
      <c r="B2501" s="217">
        <f>'E M PROF NILTON COSTA PEREIRA D'!C19</f>
        <v/>
      </c>
    </row>
    <row r="2502" ht="15" customHeight="1" s="107">
      <c r="A2502" s="216">
        <f>'E M PROF NILTON COSTA PEREIRA D'!F20</f>
        <v/>
      </c>
      <c r="B2502" s="217">
        <f>'E M PROF NILTON COSTA PEREIRA D'!C20</f>
        <v/>
      </c>
    </row>
    <row r="2503" ht="15" customHeight="1" s="107">
      <c r="A2503" s="216">
        <f>'E M PROF NILTON COSTA PEREIRA D'!F21</f>
        <v/>
      </c>
      <c r="B2503" s="217">
        <f>'E M PROF NILTON COSTA PEREIRA D'!C21</f>
        <v/>
      </c>
    </row>
    <row r="2504" ht="15" customHeight="1" s="107">
      <c r="A2504" s="216">
        <f>'E M PROF NILTON COSTA PEREIRA D'!F22</f>
        <v/>
      </c>
      <c r="B2504" s="217">
        <f>'E M PROF NILTON COSTA PEREIRA D'!C22</f>
        <v/>
      </c>
    </row>
    <row r="2505" ht="15" customHeight="1" s="107">
      <c r="A2505" s="216">
        <f>'E M PROF NILTON COSTA PEREIRA D'!F23</f>
        <v/>
      </c>
      <c r="B2505" s="217">
        <f>'E M PROF NILTON COSTA PEREIRA D'!C23</f>
        <v/>
      </c>
    </row>
    <row r="2506" ht="15" customHeight="1" s="107">
      <c r="A2506" s="216">
        <f>'E M PROF NILTON COSTA PEREIRA D'!F24</f>
        <v/>
      </c>
      <c r="B2506" s="217">
        <f>'E M PROF NILTON COSTA PEREIRA D'!C24</f>
        <v/>
      </c>
    </row>
    <row r="2507" ht="15" customHeight="1" s="107">
      <c r="A2507" s="216">
        <f>'E M PROF NILTON COSTA PEREIRA D'!F25</f>
        <v/>
      </c>
      <c r="B2507" s="217">
        <f>'E M PROF NILTON COSTA PEREIRA D'!C25</f>
        <v/>
      </c>
    </row>
    <row r="2508" ht="15" customHeight="1" s="107">
      <c r="A2508" s="216">
        <f>'E M PROF NILTON COSTA PEREIRA D'!F26</f>
        <v/>
      </c>
      <c r="B2508" s="217">
        <f>'E M PROF NILTON COSTA PEREIRA D'!C26</f>
        <v/>
      </c>
    </row>
    <row r="2509" ht="15" customHeight="1" s="107">
      <c r="A2509" s="216">
        <f>'E M PROF NILTON COSTA PEREIRA D'!F27</f>
        <v/>
      </c>
      <c r="B2509" s="217">
        <f>'E M PROF NILTON COSTA PEREIRA D'!C27</f>
        <v/>
      </c>
    </row>
    <row r="2510" ht="15" customHeight="1" s="107">
      <c r="A2510" s="216">
        <f>'CENTRO DE EDUCAÇÃO INFANTIL SÉR'!F9</f>
        <v/>
      </c>
      <c r="B2510" s="217">
        <f>'CENTRO DE EDUCAÇÃO INFANTIL SÉR'!C9</f>
        <v/>
      </c>
    </row>
    <row r="2511" ht="15" customHeight="1" s="107">
      <c r="A2511" s="216">
        <f>'CENTRO DE EDUCAÇÃO INFANTIL SÉR'!F10</f>
        <v/>
      </c>
      <c r="B2511" s="217">
        <f>'CENTRO DE EDUCAÇÃO INFANTIL SÉR'!C10</f>
        <v/>
      </c>
    </row>
    <row r="2512" ht="15" customHeight="1" s="107">
      <c r="A2512" s="216">
        <f>'CENTRO DE EDUCAÇÃO INFANTIL SÉR'!F11</f>
        <v/>
      </c>
      <c r="B2512" s="217">
        <f>'CENTRO DE EDUCAÇÃO INFANTIL SÉR'!C11</f>
        <v/>
      </c>
    </row>
    <row r="2513" ht="15" customHeight="1" s="107">
      <c r="A2513" s="216">
        <f>'CENTRO DE EDUCAÇÃO INFANTIL SÉR'!F12</f>
        <v/>
      </c>
      <c r="B2513" s="217">
        <f>'CENTRO DE EDUCAÇÃO INFANTIL SÉR'!C12</f>
        <v/>
      </c>
    </row>
    <row r="2514" ht="15" customHeight="1" s="107">
      <c r="A2514" s="216">
        <f>'CENTRO DE EDUCAÇÃO INFANTIL SÉR'!F13</f>
        <v/>
      </c>
      <c r="B2514" s="217">
        <f>'CENTRO DE EDUCAÇÃO INFANTIL SÉR'!C13</f>
        <v/>
      </c>
    </row>
    <row r="2515" ht="15" customHeight="1" s="107">
      <c r="A2515" s="216">
        <f>'CENTRO DE EDUCAÇÃO INFANTIL SÉR'!F14</f>
        <v/>
      </c>
      <c r="B2515" s="217">
        <f>'CENTRO DE EDUCAÇÃO INFANTIL SÉR'!C14</f>
        <v/>
      </c>
    </row>
    <row r="2516" ht="15" customHeight="1" s="107">
      <c r="A2516" s="216">
        <f>'CENTRO DE EDUCAÇÃO INFANTIL SÉR'!F15</f>
        <v/>
      </c>
      <c r="B2516" s="217">
        <f>'CENTRO DE EDUCAÇÃO INFANTIL SÉR'!C15</f>
        <v/>
      </c>
    </row>
    <row r="2517" ht="15" customHeight="1" s="107">
      <c r="A2517" s="216">
        <f>'CENTRO DE EDUCAÇÃO INFANTIL SÉR'!F16</f>
        <v/>
      </c>
      <c r="B2517" s="217">
        <f>'CENTRO DE EDUCAÇÃO INFANTIL SÉR'!C16</f>
        <v/>
      </c>
    </row>
    <row r="2518" ht="15" customHeight="1" s="107">
      <c r="A2518" s="216">
        <f>'CENTRO DE EDUCAÇÃO INFANTIL SÉR'!F17</f>
        <v/>
      </c>
      <c r="B2518" s="217">
        <f>'CENTRO DE EDUCAÇÃO INFANTIL SÉR'!C17</f>
        <v/>
      </c>
    </row>
    <row r="2519" ht="15" customHeight="1" s="107">
      <c r="A2519" s="216">
        <f>'CENTRO DE EDUCAÇÃO INFANTIL SÉR'!F18</f>
        <v/>
      </c>
      <c r="B2519" s="217">
        <f>'CENTRO DE EDUCAÇÃO INFANTIL SÉR'!C18</f>
        <v/>
      </c>
    </row>
    <row r="2520" ht="15" customHeight="1" s="107">
      <c r="A2520" s="216">
        <f>'CENTRO DE EDUCAÇÃO INFANTIL SÉR'!F19</f>
        <v/>
      </c>
      <c r="B2520" s="217">
        <f>'CENTRO DE EDUCAÇÃO INFANTIL SÉR'!C19</f>
        <v/>
      </c>
    </row>
    <row r="2521" ht="15" customHeight="1" s="107">
      <c r="A2521" s="216">
        <f>'CENTRO DE EDUCAÇÃO INFANTIL SÉR'!F20</f>
        <v/>
      </c>
      <c r="B2521" s="217">
        <f>'CENTRO DE EDUCAÇÃO INFANTIL SÉR'!C20</f>
        <v/>
      </c>
    </row>
    <row r="2522" ht="15" customHeight="1" s="107">
      <c r="A2522" s="216">
        <f>'CENTRO DE EDUCAÇÃO INFANTIL SÉR'!F21</f>
        <v/>
      </c>
      <c r="B2522" s="217">
        <f>'CENTRO DE EDUCAÇÃO INFANTIL SÉR'!C21</f>
        <v/>
      </c>
    </row>
    <row r="2523" ht="15" customHeight="1" s="107">
      <c r="A2523" s="216">
        <f>'CENTRO DE EDUCAÇÃO INFANTIL SÉR'!F22</f>
        <v/>
      </c>
      <c r="B2523" s="217">
        <f>'CENTRO DE EDUCAÇÃO INFANTIL SÉR'!C22</f>
        <v/>
      </c>
    </row>
    <row r="2524" ht="15" customHeight="1" s="107">
      <c r="A2524" s="216">
        <f>'CENTRO DE EDUCAÇÃO INFANTIL SÉR'!F23</f>
        <v/>
      </c>
      <c r="B2524" s="217">
        <f>'CENTRO DE EDUCAÇÃO INFANTIL SÉR'!C23</f>
        <v/>
      </c>
    </row>
    <row r="2525" ht="15" customHeight="1" s="107">
      <c r="A2525" s="216">
        <f>'CENTRO DE EDUCAÇÃO INFANTIL SÉR'!F24</f>
        <v/>
      </c>
      <c r="B2525" s="217">
        <f>'CENTRO DE EDUCAÇÃO INFANTIL SÉR'!C24</f>
        <v/>
      </c>
    </row>
    <row r="2526" ht="15" customHeight="1" s="107">
      <c r="A2526" s="216">
        <f>'CENTRO DE EDUCAÇÃO INFANTIL SÉR'!F25</f>
        <v/>
      </c>
      <c r="B2526" s="217">
        <f>'CENTRO DE EDUCAÇÃO INFANTIL SÉR'!C25</f>
        <v/>
      </c>
    </row>
    <row r="2527" ht="15" customHeight="1" s="107">
      <c r="A2527" s="216">
        <f>'CENTRO DE EDUCAÇÃO INFANTIL SÉR'!F26</f>
        <v/>
      </c>
      <c r="B2527" s="217">
        <f>'CENTRO DE EDUCAÇÃO INFANTIL SÉR'!C26</f>
        <v/>
      </c>
    </row>
    <row r="2528" ht="15" customHeight="1" s="107">
      <c r="A2528" s="216">
        <f>'CENTRO DE EDUCAÇÃO INFANTIL SÉR'!F27</f>
        <v/>
      </c>
      <c r="B2528" s="217">
        <f>'CENTRO DE EDUCAÇÃO INFANTIL SÉR'!C27</f>
        <v/>
      </c>
    </row>
    <row r="2529" ht="15" customHeight="1" s="107">
      <c r="A2529" s="216">
        <f>'CEI SANTO ANTÔNIO AGOSTINHO'!F9</f>
        <v/>
      </c>
      <c r="B2529" s="217">
        <f>'CEI SANTO ANTÔNIO AGOSTINHO'!C9</f>
        <v/>
      </c>
    </row>
    <row r="2530" ht="15" customHeight="1" s="107">
      <c r="A2530" s="216">
        <f>'CEI SANTO ANTÔNIO AGOSTINHO'!F10</f>
        <v/>
      </c>
      <c r="B2530" s="217">
        <f>'CEI SANTO ANTÔNIO AGOSTINHO'!C10</f>
        <v/>
      </c>
    </row>
    <row r="2531" ht="15" customHeight="1" s="107">
      <c r="A2531" s="216">
        <f>'CEI SANTO ANTÔNIO AGOSTINHO'!F11</f>
        <v/>
      </c>
      <c r="B2531" s="217">
        <f>'CEI SANTO ANTÔNIO AGOSTINHO'!C11</f>
        <v/>
      </c>
    </row>
    <row r="2532" ht="15" customHeight="1" s="107">
      <c r="A2532" s="216">
        <f>'CEI SANTO ANTÔNIO AGOSTINHO'!F12</f>
        <v/>
      </c>
      <c r="B2532" s="217">
        <f>'CEI SANTO ANTÔNIO AGOSTINHO'!C12</f>
        <v/>
      </c>
    </row>
    <row r="2533" ht="15" customHeight="1" s="107">
      <c r="A2533" s="216">
        <f>'CEI SANTO ANTÔNIO AGOSTINHO'!F13</f>
        <v/>
      </c>
      <c r="B2533" s="217">
        <f>'CEI SANTO ANTÔNIO AGOSTINHO'!C13</f>
        <v/>
      </c>
    </row>
    <row r="2534" ht="15" customHeight="1" s="107">
      <c r="A2534" s="216">
        <f>'CEI SANTO ANTÔNIO AGOSTINHO'!F14</f>
        <v/>
      </c>
      <c r="B2534" s="217">
        <f>'CEI SANTO ANTÔNIO AGOSTINHO'!C14</f>
        <v/>
      </c>
    </row>
    <row r="2535" ht="15" customHeight="1" s="107">
      <c r="A2535" s="216">
        <f>'CEI SANTO ANTÔNIO AGOSTINHO'!F15</f>
        <v/>
      </c>
      <c r="B2535" s="217">
        <f>'CEI SANTO ANTÔNIO AGOSTINHO'!C15</f>
        <v/>
      </c>
    </row>
    <row r="2536" ht="15" customHeight="1" s="107">
      <c r="A2536" s="216">
        <f>'CEI SANTO ANTÔNIO AGOSTINHO'!F16</f>
        <v/>
      </c>
      <c r="B2536" s="217">
        <f>'CEI SANTO ANTÔNIO AGOSTINHO'!C16</f>
        <v/>
      </c>
    </row>
    <row r="2537" ht="15" customHeight="1" s="107">
      <c r="A2537" s="216">
        <f>'CEI SANTO ANTÔNIO AGOSTINHO'!F17</f>
        <v/>
      </c>
      <c r="B2537" s="217">
        <f>'CEI SANTO ANTÔNIO AGOSTINHO'!C17</f>
        <v/>
      </c>
    </row>
    <row r="2538" ht="15" customHeight="1" s="107">
      <c r="A2538" s="216">
        <f>'CEI SANTO ANTÔNIO AGOSTINHO'!F18</f>
        <v/>
      </c>
      <c r="B2538" s="217">
        <f>'CEI SANTO ANTÔNIO AGOSTINHO'!C18</f>
        <v/>
      </c>
    </row>
    <row r="2539" ht="15" customHeight="1" s="107">
      <c r="A2539" s="216">
        <f>'CEI SANTO ANTÔNIO AGOSTINHO'!F19</f>
        <v/>
      </c>
      <c r="B2539" s="217">
        <f>'CEI SANTO ANTÔNIO AGOSTINHO'!C19</f>
        <v/>
      </c>
    </row>
    <row r="2540" ht="15" customHeight="1" s="107">
      <c r="A2540" s="216">
        <f>'CEI SANTO ANTÔNIO AGOSTINHO'!F20</f>
        <v/>
      </c>
      <c r="B2540" s="217">
        <f>'CEI SANTO ANTÔNIO AGOSTINHO'!C20</f>
        <v/>
      </c>
    </row>
    <row r="2541" ht="15" customHeight="1" s="107">
      <c r="A2541" s="216">
        <f>'CEI SANTO ANTÔNIO AGOSTINHO'!F21</f>
        <v/>
      </c>
      <c r="B2541" s="217">
        <f>'CEI SANTO ANTÔNIO AGOSTINHO'!C21</f>
        <v/>
      </c>
    </row>
    <row r="2542" ht="15" customHeight="1" s="107">
      <c r="A2542" s="216">
        <f>'CEI SANTO ANTÔNIO AGOSTINHO'!F22</f>
        <v/>
      </c>
      <c r="B2542" s="217">
        <f>'CEI SANTO ANTÔNIO AGOSTINHO'!C22</f>
        <v/>
      </c>
    </row>
    <row r="2543" ht="15" customHeight="1" s="107">
      <c r="A2543" s="216">
        <f>'CEI SANTO ANTÔNIO AGOSTINHO'!F23</f>
        <v/>
      </c>
      <c r="B2543" s="217">
        <f>'CEI SANTO ANTÔNIO AGOSTINHO'!C23</f>
        <v/>
      </c>
    </row>
    <row r="2544" ht="15" customHeight="1" s="107">
      <c r="A2544" s="216">
        <f>'CEI SANTO ANTÔNIO AGOSTINHO'!F24</f>
        <v/>
      </c>
      <c r="B2544" s="217">
        <f>'CEI SANTO ANTÔNIO AGOSTINHO'!C24</f>
        <v/>
      </c>
    </row>
    <row r="2545" ht="15" customHeight="1" s="107">
      <c r="A2545" s="216">
        <f>'CEI SANTO ANTÔNIO AGOSTINHO'!F25</f>
        <v/>
      </c>
      <c r="B2545" s="217">
        <f>'CEI SANTO ANTÔNIO AGOSTINHO'!C25</f>
        <v/>
      </c>
    </row>
    <row r="2546" ht="15" customHeight="1" s="107">
      <c r="A2546" s="216">
        <f>'CEI SANTO ANTÔNIO AGOSTINHO'!F26</f>
        <v/>
      </c>
      <c r="B2546" s="217">
        <f>'CEI SANTO ANTÔNIO AGOSTINHO'!C26</f>
        <v/>
      </c>
    </row>
    <row r="2547" ht="15" customHeight="1" s="107">
      <c r="A2547" s="216">
        <f>'CEI SANTO ANTÔNIO AGOSTINHO'!F27</f>
        <v/>
      </c>
      <c r="B2547" s="217">
        <f>'CEI SANTO ANTÔNIO AGOSTINHO'!C27</f>
        <v/>
      </c>
    </row>
    <row r="2548" ht="15" customHeight="1" s="107">
      <c r="A2548" s="216">
        <f>'CEI OSWALDO CRUZ'!F9</f>
        <v/>
      </c>
      <c r="B2548" s="217">
        <f>'CEI OSWALDO CRUZ'!C9</f>
        <v/>
      </c>
    </row>
    <row r="2549" ht="15" customHeight="1" s="107">
      <c r="A2549" s="216">
        <f>'CEI OSWALDO CRUZ'!F10</f>
        <v/>
      </c>
      <c r="B2549" s="217">
        <f>'CEI OSWALDO CRUZ'!C10</f>
        <v/>
      </c>
    </row>
    <row r="2550" ht="15" customHeight="1" s="107">
      <c r="A2550" s="216">
        <f>'CEI OSWALDO CRUZ'!F11</f>
        <v/>
      </c>
      <c r="B2550" s="217">
        <f>'CEI OSWALDO CRUZ'!C11</f>
        <v/>
      </c>
    </row>
    <row r="2551" ht="15" customHeight="1" s="107">
      <c r="A2551" s="216">
        <f>'CEI OSWALDO CRUZ'!F12</f>
        <v/>
      </c>
      <c r="B2551" s="217">
        <f>'CEI OSWALDO CRUZ'!C12</f>
        <v/>
      </c>
    </row>
    <row r="2552" ht="15" customHeight="1" s="107">
      <c r="A2552" s="216">
        <f>'CEI OSWALDO CRUZ'!F13</f>
        <v/>
      </c>
      <c r="B2552" s="217">
        <f>'CEI OSWALDO CRUZ'!C13</f>
        <v/>
      </c>
    </row>
    <row r="2553" ht="15" customHeight="1" s="107">
      <c r="A2553" s="216">
        <f>'CEI OSWALDO CRUZ'!F14</f>
        <v/>
      </c>
      <c r="B2553" s="217">
        <f>'CEI OSWALDO CRUZ'!C14</f>
        <v/>
      </c>
    </row>
    <row r="2554" ht="15" customHeight="1" s="107">
      <c r="A2554" s="216">
        <f>'CEI OSWALDO CRUZ'!F15</f>
        <v/>
      </c>
      <c r="B2554" s="217">
        <f>'CEI OSWALDO CRUZ'!C15</f>
        <v/>
      </c>
    </row>
    <row r="2555" ht="15" customHeight="1" s="107">
      <c r="A2555" s="216">
        <f>'CEI OSWALDO CRUZ'!F16</f>
        <v/>
      </c>
      <c r="B2555" s="217">
        <f>'CEI OSWALDO CRUZ'!C16</f>
        <v/>
      </c>
    </row>
    <row r="2556" ht="15" customHeight="1" s="107">
      <c r="A2556" s="216">
        <f>'CEI OSWALDO CRUZ'!F17</f>
        <v/>
      </c>
      <c r="B2556" s="217">
        <f>'CEI OSWALDO CRUZ'!C17</f>
        <v/>
      </c>
    </row>
    <row r="2557" ht="15" customHeight="1" s="107">
      <c r="A2557" s="216">
        <f>'CEI OSWALDO CRUZ'!F18</f>
        <v/>
      </c>
      <c r="B2557" s="217">
        <f>'CEI OSWALDO CRUZ'!C18</f>
        <v/>
      </c>
    </row>
    <row r="2558" ht="15" customHeight="1" s="107">
      <c r="A2558" s="216">
        <f>'CEI OSWALDO CRUZ'!F19</f>
        <v/>
      </c>
      <c r="B2558" s="217">
        <f>'CEI OSWALDO CRUZ'!C19</f>
        <v/>
      </c>
    </row>
    <row r="2559" ht="15" customHeight="1" s="107">
      <c r="A2559" s="216">
        <f>'CEI OSWALDO CRUZ'!F20</f>
        <v/>
      </c>
      <c r="B2559" s="217">
        <f>'CEI OSWALDO CRUZ'!C20</f>
        <v/>
      </c>
    </row>
    <row r="2560" ht="15" customHeight="1" s="107">
      <c r="A2560" s="216">
        <f>'CEI OSWALDO CRUZ'!F21</f>
        <v/>
      </c>
      <c r="B2560" s="217">
        <f>'CEI OSWALDO CRUZ'!C21</f>
        <v/>
      </c>
    </row>
    <row r="2561" ht="15" customHeight="1" s="107">
      <c r="A2561" s="216">
        <f>'CEI OSWALDO CRUZ'!F22</f>
        <v/>
      </c>
      <c r="B2561" s="217">
        <f>'CEI OSWALDO CRUZ'!C22</f>
        <v/>
      </c>
    </row>
    <row r="2562" ht="15" customHeight="1" s="107">
      <c r="A2562" s="216">
        <f>'CEI OSWALDO CRUZ'!F23</f>
        <v/>
      </c>
      <c r="B2562" s="217">
        <f>'CEI OSWALDO CRUZ'!C23</f>
        <v/>
      </c>
    </row>
    <row r="2563" ht="15" customHeight="1" s="107">
      <c r="A2563" s="216">
        <f>'CEI OSWALDO CRUZ'!F24</f>
        <v/>
      </c>
      <c r="B2563" s="217">
        <f>'CEI OSWALDO CRUZ'!C24</f>
        <v/>
      </c>
    </row>
    <row r="2564" ht="15" customHeight="1" s="107">
      <c r="A2564" s="216">
        <f>'CEI OSWALDO CRUZ'!F25</f>
        <v/>
      </c>
      <c r="B2564" s="217">
        <f>'CEI OSWALDO CRUZ'!C25</f>
        <v/>
      </c>
    </row>
    <row r="2565" ht="15" customHeight="1" s="107">
      <c r="A2565" s="216">
        <f>'CEI OSWALDO CRUZ'!F26</f>
        <v/>
      </c>
      <c r="B2565" s="217">
        <f>'CEI OSWALDO CRUZ'!C26</f>
        <v/>
      </c>
    </row>
    <row r="2566" ht="15" customHeight="1" s="107">
      <c r="A2566" s="216">
        <f>'CEI OSWALDO CRUZ'!F27</f>
        <v/>
      </c>
      <c r="B2566" s="217">
        <f>'CEI OSWALDO CRUZ'!C27</f>
        <v/>
      </c>
    </row>
    <row r="2567" ht="15" customHeight="1" s="107">
      <c r="A2567" s="216">
        <f>'E M MAGDALENA TAGLIAFERRO'!F9</f>
        <v/>
      </c>
      <c r="B2567" s="217">
        <f>'E M MAGDALENA TAGLIAFERRO'!C9</f>
        <v/>
      </c>
    </row>
    <row r="2568" ht="15" customHeight="1" s="107">
      <c r="A2568" s="216">
        <f>'E M MAGDALENA TAGLIAFERRO'!F10</f>
        <v/>
      </c>
      <c r="B2568" s="217">
        <f>'E M MAGDALENA TAGLIAFERRO'!C10</f>
        <v/>
      </c>
    </row>
    <row r="2569" ht="15" customHeight="1" s="107">
      <c r="A2569" s="216">
        <f>'E M MAGDALENA TAGLIAFERRO'!F11</f>
        <v/>
      </c>
      <c r="B2569" s="217">
        <f>'E M MAGDALENA TAGLIAFERRO'!C11</f>
        <v/>
      </c>
    </row>
    <row r="2570" ht="15" customHeight="1" s="107">
      <c r="A2570" s="216">
        <f>'E M MAGDALENA TAGLIAFERRO'!F12</f>
        <v/>
      </c>
      <c r="B2570" s="217">
        <f>'E M MAGDALENA TAGLIAFERRO'!C12</f>
        <v/>
      </c>
    </row>
    <row r="2571" ht="15" customHeight="1" s="107">
      <c r="A2571" s="216">
        <f>'E M MAGDALENA TAGLIAFERRO'!F13</f>
        <v/>
      </c>
      <c r="B2571" s="217">
        <f>'E M MAGDALENA TAGLIAFERRO'!C13</f>
        <v/>
      </c>
    </row>
    <row r="2572" ht="15" customHeight="1" s="107">
      <c r="A2572" s="216">
        <f>'E M MAGDALENA TAGLIAFERRO'!F14</f>
        <v/>
      </c>
      <c r="B2572" s="217">
        <f>'E M MAGDALENA TAGLIAFERRO'!C14</f>
        <v/>
      </c>
    </row>
    <row r="2573" ht="15" customHeight="1" s="107">
      <c r="A2573" s="216">
        <f>'E M MAGDALENA TAGLIAFERRO'!F15</f>
        <v/>
      </c>
      <c r="B2573" s="217">
        <f>'E M MAGDALENA TAGLIAFERRO'!C15</f>
        <v/>
      </c>
    </row>
    <row r="2574" ht="15" customHeight="1" s="107">
      <c r="A2574" s="216">
        <f>'E M MAGDALENA TAGLIAFERRO'!F16</f>
        <v/>
      </c>
      <c r="B2574" s="217">
        <f>'E M MAGDALENA TAGLIAFERRO'!C16</f>
        <v/>
      </c>
    </row>
    <row r="2575" ht="15" customHeight="1" s="107">
      <c r="A2575" s="216">
        <f>'E M MAGDALENA TAGLIAFERRO'!F17</f>
        <v/>
      </c>
      <c r="B2575" s="217">
        <f>'E M MAGDALENA TAGLIAFERRO'!C17</f>
        <v/>
      </c>
    </row>
    <row r="2576" ht="15" customHeight="1" s="107">
      <c r="A2576" s="216">
        <f>'E M MAGDALENA TAGLIAFERRO'!F18</f>
        <v/>
      </c>
      <c r="B2576" s="217">
        <f>'E M MAGDALENA TAGLIAFERRO'!C18</f>
        <v/>
      </c>
    </row>
    <row r="2577" ht="15" customHeight="1" s="107">
      <c r="A2577" s="216">
        <f>'E M MAGDALENA TAGLIAFERRO'!F19</f>
        <v/>
      </c>
      <c r="B2577" s="217">
        <f>'E M MAGDALENA TAGLIAFERRO'!C19</f>
        <v/>
      </c>
    </row>
    <row r="2578" ht="15" customHeight="1" s="107">
      <c r="A2578" s="216">
        <f>'E M MAGDALENA TAGLIAFERRO'!F20</f>
        <v/>
      </c>
      <c r="B2578" s="217">
        <f>'E M MAGDALENA TAGLIAFERRO'!C20</f>
        <v/>
      </c>
    </row>
    <row r="2579" ht="15" customHeight="1" s="107">
      <c r="A2579" s="216">
        <f>'E M MAGDALENA TAGLIAFERRO'!F21</f>
        <v/>
      </c>
      <c r="B2579" s="217">
        <f>'E M MAGDALENA TAGLIAFERRO'!C21</f>
        <v/>
      </c>
    </row>
    <row r="2580" ht="15" customHeight="1" s="107">
      <c r="A2580" s="216">
        <f>'E M MAGDALENA TAGLIAFERRO'!F22</f>
        <v/>
      </c>
      <c r="B2580" s="217">
        <f>'E M MAGDALENA TAGLIAFERRO'!C22</f>
        <v/>
      </c>
    </row>
    <row r="2581" ht="15" customHeight="1" s="107">
      <c r="A2581" s="216">
        <f>'E M MAGDALENA TAGLIAFERRO'!F23</f>
        <v/>
      </c>
      <c r="B2581" s="217">
        <f>'E M MAGDALENA TAGLIAFERRO'!C23</f>
        <v/>
      </c>
    </row>
    <row r="2582" ht="15" customHeight="1" s="107">
      <c r="A2582" s="216">
        <f>'E M MAGDALENA TAGLIAFERRO'!F24</f>
        <v/>
      </c>
      <c r="B2582" s="217">
        <f>'E M MAGDALENA TAGLIAFERRO'!C24</f>
        <v/>
      </c>
    </row>
    <row r="2583" ht="15" customHeight="1" s="107">
      <c r="A2583" s="216">
        <f>'E M MAGDALENA TAGLIAFERRO'!F25</f>
        <v/>
      </c>
      <c r="B2583" s="217">
        <f>'E M MAGDALENA TAGLIAFERRO'!C25</f>
        <v/>
      </c>
    </row>
    <row r="2584" ht="15" customHeight="1" s="107">
      <c r="A2584" s="216">
        <f>'E M MAGDALENA TAGLIAFERRO'!F26</f>
        <v/>
      </c>
      <c r="B2584" s="217">
        <f>'E M MAGDALENA TAGLIAFERRO'!C26</f>
        <v/>
      </c>
    </row>
    <row r="2585" ht="15" customHeight="1" s="107">
      <c r="A2585" s="216">
        <f>'E M MAGDALENA TAGLIAFERRO'!F27</f>
        <v/>
      </c>
      <c r="B2585" s="217">
        <f>'E M MAGDALENA TAGLIAFERRO'!C27</f>
        <v/>
      </c>
    </row>
    <row r="2586" ht="15" customHeight="1" s="107">
      <c r="A2586" s="216">
        <f>'ESCOLA SÃO JOSÉ DO CAETITU'!F9</f>
        <v/>
      </c>
      <c r="B2586" s="217">
        <f>'ESCOLA SÃO JOSÉ DO CAETITU'!C9</f>
        <v/>
      </c>
    </row>
    <row r="2587" ht="15" customHeight="1" s="107">
      <c r="A2587" s="216">
        <f>'ESCOLA SÃO JOSÉ DO CAETITU'!F10</f>
        <v/>
      </c>
      <c r="B2587" s="217">
        <f>'ESCOLA SÃO JOSÉ DO CAETITU'!C10</f>
        <v/>
      </c>
    </row>
    <row r="2588" ht="15" customHeight="1" s="107">
      <c r="A2588" s="216">
        <f>'ESCOLA SÃO JOSÉ DO CAETITU'!F11</f>
        <v/>
      </c>
      <c r="B2588" s="217">
        <f>'ESCOLA SÃO JOSÉ DO CAETITU'!C11</f>
        <v/>
      </c>
    </row>
    <row r="2589" ht="15" customHeight="1" s="107">
      <c r="A2589" s="216">
        <f>'ESCOLA SÃO JOSÉ DO CAETITU'!F12</f>
        <v/>
      </c>
      <c r="B2589" s="217">
        <f>'ESCOLA SÃO JOSÉ DO CAETITU'!C12</f>
        <v/>
      </c>
    </row>
    <row r="2590" ht="15" customHeight="1" s="107">
      <c r="A2590" s="216">
        <f>'ESCOLA SÃO JOSÉ DO CAETITU'!F13</f>
        <v/>
      </c>
      <c r="B2590" s="217">
        <f>'ESCOLA SÃO JOSÉ DO CAETITU'!C13</f>
        <v/>
      </c>
    </row>
    <row r="2591" ht="15" customHeight="1" s="107">
      <c r="A2591" s="216">
        <f>'ESCOLA SÃO JOSÉ DO CAETITU'!F14</f>
        <v/>
      </c>
      <c r="B2591" s="217">
        <f>'ESCOLA SÃO JOSÉ DO CAETITU'!C14</f>
        <v/>
      </c>
    </row>
    <row r="2592" ht="15" customHeight="1" s="107">
      <c r="A2592" s="216">
        <f>'ESCOLA SÃO JOSÉ DO CAETITU'!F15</f>
        <v/>
      </c>
      <c r="B2592" s="217">
        <f>'ESCOLA SÃO JOSÉ DO CAETITU'!C15</f>
        <v/>
      </c>
    </row>
    <row r="2593" ht="15" customHeight="1" s="107">
      <c r="A2593" s="216">
        <f>'ESCOLA SÃO JOSÉ DO CAETITU'!F16</f>
        <v/>
      </c>
      <c r="B2593" s="217">
        <f>'ESCOLA SÃO JOSÉ DO CAETITU'!C16</f>
        <v/>
      </c>
    </row>
    <row r="2594" ht="15" customHeight="1" s="107">
      <c r="A2594" s="216">
        <f>'ESCOLA SÃO JOSÉ DO CAETITU'!F17</f>
        <v/>
      </c>
      <c r="B2594" s="217">
        <f>'ESCOLA SÃO JOSÉ DO CAETITU'!C17</f>
        <v/>
      </c>
    </row>
    <row r="2595" ht="15" customHeight="1" s="107">
      <c r="A2595" s="216">
        <f>'ESCOLA SÃO JOSÉ DO CAETITU'!F18</f>
        <v/>
      </c>
      <c r="B2595" s="217">
        <f>'ESCOLA SÃO JOSÉ DO CAETITU'!C18</f>
        <v/>
      </c>
    </row>
    <row r="2596" ht="15" customHeight="1" s="107">
      <c r="A2596" s="216">
        <f>'ESCOLA SÃO JOSÉ DO CAETITU'!F19</f>
        <v/>
      </c>
      <c r="B2596" s="217">
        <f>'ESCOLA SÃO JOSÉ DO CAETITU'!C19</f>
        <v/>
      </c>
    </row>
    <row r="2597" ht="15" customHeight="1" s="107">
      <c r="A2597" s="216">
        <f>'ESCOLA SÃO JOSÉ DO CAETITU'!F20</f>
        <v/>
      </c>
      <c r="B2597" s="217">
        <f>'ESCOLA SÃO JOSÉ DO CAETITU'!C20</f>
        <v/>
      </c>
    </row>
    <row r="2598" ht="15" customHeight="1" s="107">
      <c r="A2598" s="216">
        <f>'ESCOLA SÃO JOSÉ DO CAETITU'!F21</f>
        <v/>
      </c>
      <c r="B2598" s="217">
        <f>'ESCOLA SÃO JOSÉ DO CAETITU'!C21</f>
        <v/>
      </c>
    </row>
    <row r="2599" ht="15" customHeight="1" s="107">
      <c r="A2599" s="216">
        <f>'ESCOLA SÃO JOSÉ DO CAETITU'!F22</f>
        <v/>
      </c>
      <c r="B2599" s="217">
        <f>'ESCOLA SÃO JOSÉ DO CAETITU'!C22</f>
        <v/>
      </c>
    </row>
    <row r="2600" ht="15" customHeight="1" s="107">
      <c r="A2600" s="216">
        <f>'ESCOLA SÃO JOSÉ DO CAETITU'!F23</f>
        <v/>
      </c>
      <c r="B2600" s="217">
        <f>'ESCOLA SÃO JOSÉ DO CAETITU'!C23</f>
        <v/>
      </c>
    </row>
    <row r="2601" ht="15" customHeight="1" s="107">
      <c r="A2601" s="216">
        <f>'ESCOLA SÃO JOSÉ DO CAETITU'!F24</f>
        <v/>
      </c>
      <c r="B2601" s="217">
        <f>'ESCOLA SÃO JOSÉ DO CAETITU'!C24</f>
        <v/>
      </c>
    </row>
    <row r="2602" ht="15" customHeight="1" s="107">
      <c r="A2602" s="216">
        <f>'ESCOLA SÃO JOSÉ DO CAETITU'!F25</f>
        <v/>
      </c>
      <c r="B2602" s="217">
        <f>'ESCOLA SÃO JOSÉ DO CAETITU'!C25</f>
        <v/>
      </c>
    </row>
    <row r="2603" ht="15" customHeight="1" s="107">
      <c r="A2603" s="216">
        <f>'ESCOLA SÃO JOSÉ DO CAETITU'!F26</f>
        <v/>
      </c>
      <c r="B2603" s="217">
        <f>'ESCOLA SÃO JOSÉ DO CAETITU'!C26</f>
        <v/>
      </c>
    </row>
    <row r="2604" ht="15" customHeight="1" s="107">
      <c r="A2604" s="216">
        <f>'ESCOLA SÃO JOSÉ DO CAETITU'!F27</f>
        <v/>
      </c>
      <c r="B2604" s="217">
        <f>'ESCOLA SÃO JOSÉ DO CAETITU'!C27</f>
        <v/>
      </c>
    </row>
    <row r="2605" ht="15" customHeight="1" s="107">
      <c r="A2605" s="216">
        <f>'CRECHE-ESCOLA CASTELO SÃO MANOE'!F9</f>
        <v/>
      </c>
      <c r="B2605" s="217">
        <f>'CRECHE-ESCOLA CASTELO SÃO MANOE'!C9</f>
        <v/>
      </c>
    </row>
    <row r="2606" ht="15" customHeight="1" s="107">
      <c r="A2606" s="216">
        <f>'CRECHE-ESCOLA CASTELO SÃO MANOE'!F10</f>
        <v/>
      </c>
      <c r="B2606" s="217">
        <f>'CRECHE-ESCOLA CASTELO SÃO MANOE'!C10</f>
        <v/>
      </c>
    </row>
    <row r="2607" ht="15" customHeight="1" s="107">
      <c r="A2607" s="216">
        <f>'CRECHE-ESCOLA CASTELO SÃO MANOE'!F11</f>
        <v/>
      </c>
      <c r="B2607" s="217">
        <f>'CRECHE-ESCOLA CASTELO SÃO MANOE'!C11</f>
        <v/>
      </c>
    </row>
    <row r="2608" ht="15" customHeight="1" s="107">
      <c r="A2608" s="216">
        <f>'CRECHE-ESCOLA CASTELO SÃO MANOE'!F12</f>
        <v/>
      </c>
      <c r="B2608" s="217">
        <f>'CRECHE-ESCOLA CASTELO SÃO MANOE'!C12</f>
        <v/>
      </c>
    </row>
    <row r="2609" ht="15" customHeight="1" s="107">
      <c r="A2609" s="216">
        <f>'CRECHE-ESCOLA CASTELO SÃO MANOE'!F13</f>
        <v/>
      </c>
      <c r="B2609" s="217">
        <f>'CRECHE-ESCOLA CASTELO SÃO MANOE'!C13</f>
        <v/>
      </c>
    </row>
    <row r="2610" ht="15" customHeight="1" s="107">
      <c r="A2610" s="216">
        <f>'CRECHE-ESCOLA CASTELO SÃO MANOE'!F14</f>
        <v/>
      </c>
      <c r="B2610" s="217">
        <f>'CRECHE-ESCOLA CASTELO SÃO MANOE'!C14</f>
        <v/>
      </c>
    </row>
    <row r="2611" ht="15" customHeight="1" s="107">
      <c r="A2611" s="216">
        <f>'CRECHE-ESCOLA CASTELO SÃO MANOE'!F15</f>
        <v/>
      </c>
      <c r="B2611" s="217">
        <f>'CRECHE-ESCOLA CASTELO SÃO MANOE'!C15</f>
        <v/>
      </c>
    </row>
    <row r="2612" ht="15" customHeight="1" s="107">
      <c r="A2612" s="216">
        <f>'CRECHE-ESCOLA CASTELO SÃO MANOE'!F16</f>
        <v/>
      </c>
      <c r="B2612" s="217">
        <f>'CRECHE-ESCOLA CASTELO SÃO MANOE'!C16</f>
        <v/>
      </c>
    </row>
    <row r="2613" ht="15" customHeight="1" s="107">
      <c r="A2613" s="216">
        <f>'CRECHE-ESCOLA CASTELO SÃO MANOE'!F17</f>
        <v/>
      </c>
      <c r="B2613" s="217">
        <f>'CRECHE-ESCOLA CASTELO SÃO MANOE'!C17</f>
        <v/>
      </c>
    </row>
    <row r="2614" ht="15" customHeight="1" s="107">
      <c r="A2614" s="216">
        <f>'CRECHE-ESCOLA CASTELO SÃO MANOE'!F18</f>
        <v/>
      </c>
      <c r="B2614" s="217">
        <f>'CRECHE-ESCOLA CASTELO SÃO MANOE'!C18</f>
        <v/>
      </c>
    </row>
    <row r="2615" ht="15" customHeight="1" s="107">
      <c r="A2615" s="216">
        <f>'CRECHE-ESCOLA CASTELO SÃO MANOE'!F19</f>
        <v/>
      </c>
      <c r="B2615" s="217">
        <f>'CRECHE-ESCOLA CASTELO SÃO MANOE'!C19</f>
        <v/>
      </c>
    </row>
    <row r="2616" ht="15" customHeight="1" s="107">
      <c r="A2616" s="216">
        <f>'CRECHE-ESCOLA CASTELO SÃO MANOE'!F20</f>
        <v/>
      </c>
      <c r="B2616" s="217">
        <f>'CRECHE-ESCOLA CASTELO SÃO MANOE'!C20</f>
        <v/>
      </c>
    </row>
    <row r="2617" ht="15" customHeight="1" s="107">
      <c r="A2617" s="216">
        <f>'CRECHE-ESCOLA CASTELO SÃO MANOE'!F21</f>
        <v/>
      </c>
      <c r="B2617" s="217">
        <f>'CRECHE-ESCOLA CASTELO SÃO MANOE'!C21</f>
        <v/>
      </c>
    </row>
    <row r="2618" ht="15" customHeight="1" s="107">
      <c r="A2618" s="216">
        <f>'CRECHE-ESCOLA CASTELO SÃO MANOE'!F22</f>
        <v/>
      </c>
      <c r="B2618" s="217">
        <f>'CRECHE-ESCOLA CASTELO SÃO MANOE'!C22</f>
        <v/>
      </c>
    </row>
    <row r="2619" ht="15" customHeight="1" s="107">
      <c r="A2619" s="216">
        <f>'CRECHE-ESCOLA CASTELO SÃO MANOE'!F23</f>
        <v/>
      </c>
      <c r="B2619" s="217">
        <f>'CRECHE-ESCOLA CASTELO SÃO MANOE'!C23</f>
        <v/>
      </c>
    </row>
    <row r="2620" ht="15" customHeight="1" s="107">
      <c r="A2620" s="216">
        <f>'CRECHE-ESCOLA CASTELO SÃO MANOE'!F24</f>
        <v/>
      </c>
      <c r="B2620" s="217">
        <f>'CRECHE-ESCOLA CASTELO SÃO MANOE'!C24</f>
        <v/>
      </c>
    </row>
    <row r="2621" ht="15" customHeight="1" s="107">
      <c r="A2621" s="216">
        <f>'CRECHE-ESCOLA CASTELO SÃO MANOE'!F25</f>
        <v/>
      </c>
      <c r="B2621" s="217">
        <f>'CRECHE-ESCOLA CASTELO SÃO MANOE'!C25</f>
        <v/>
      </c>
    </row>
    <row r="2622" ht="15" customHeight="1" s="107">
      <c r="A2622" s="216">
        <f>'CRECHE-ESCOLA CASTELO SÃO MANOE'!F26</f>
        <v/>
      </c>
      <c r="B2622" s="217">
        <f>'CRECHE-ESCOLA CASTELO SÃO MANOE'!C26</f>
        <v/>
      </c>
    </row>
    <row r="2623" ht="15" customHeight="1" s="107">
      <c r="A2623" s="216">
        <f>'CRECHE-ESCOLA CASTELO SÃO MANOE'!F27</f>
        <v/>
      </c>
      <c r="B2623" s="217">
        <f>'CRECHE-ESCOLA CASTELO SÃO MANOE'!C27</f>
        <v/>
      </c>
    </row>
    <row r="2624" ht="15" customHeight="1" s="107">
      <c r="A2624" s="216">
        <f>'CEI THEREZINHA DE JESUS LIMA'!F9</f>
        <v/>
      </c>
      <c r="B2624" s="217">
        <f>'CEI THEREZINHA DE JESUS LIMA'!C9</f>
        <v/>
      </c>
    </row>
    <row r="2625" ht="15" customHeight="1" s="107">
      <c r="A2625" s="216">
        <f>'CEI THEREZINHA DE JESUS LIMA'!F10</f>
        <v/>
      </c>
      <c r="B2625" s="217">
        <f>'CEI THEREZINHA DE JESUS LIMA'!C10</f>
        <v/>
      </c>
    </row>
    <row r="2626" ht="15" customHeight="1" s="107">
      <c r="A2626" s="216">
        <f>'CEI THEREZINHA DE JESUS LIMA'!F11</f>
        <v/>
      </c>
      <c r="B2626" s="217">
        <f>'CEI THEREZINHA DE JESUS LIMA'!C11</f>
        <v/>
      </c>
    </row>
    <row r="2627" ht="15" customHeight="1" s="107">
      <c r="A2627" s="216">
        <f>'CEI THEREZINHA DE JESUS LIMA'!F12</f>
        <v/>
      </c>
      <c r="B2627" s="217">
        <f>'CEI THEREZINHA DE JESUS LIMA'!C12</f>
        <v/>
      </c>
    </row>
    <row r="2628" ht="15" customHeight="1" s="107">
      <c r="A2628" s="216">
        <f>'CEI THEREZINHA DE JESUS LIMA'!F13</f>
        <v/>
      </c>
      <c r="B2628" s="217">
        <f>'CEI THEREZINHA DE JESUS LIMA'!C13</f>
        <v/>
      </c>
    </row>
    <row r="2629" ht="15" customHeight="1" s="107">
      <c r="A2629" s="216">
        <f>'CEI THEREZINHA DE JESUS LIMA'!F14</f>
        <v/>
      </c>
      <c r="B2629" s="217">
        <f>'CEI THEREZINHA DE JESUS LIMA'!C14</f>
        <v/>
      </c>
    </row>
    <row r="2630" ht="15" customHeight="1" s="107">
      <c r="A2630" s="216">
        <f>'CEI THEREZINHA DE JESUS LIMA'!F15</f>
        <v/>
      </c>
      <c r="B2630" s="217">
        <f>'CEI THEREZINHA DE JESUS LIMA'!C15</f>
        <v/>
      </c>
    </row>
    <row r="2631" ht="15" customHeight="1" s="107">
      <c r="A2631" s="216">
        <f>'CEI THEREZINHA DE JESUS LIMA'!F16</f>
        <v/>
      </c>
      <c r="B2631" s="217">
        <f>'CEI THEREZINHA DE JESUS LIMA'!C16</f>
        <v/>
      </c>
    </row>
    <row r="2632" ht="15" customHeight="1" s="107">
      <c r="A2632" s="216">
        <f>'CEI THEREZINHA DE JESUS LIMA'!F17</f>
        <v/>
      </c>
      <c r="B2632" s="217">
        <f>'CEI THEREZINHA DE JESUS LIMA'!C17</f>
        <v/>
      </c>
    </row>
    <row r="2633" ht="15" customHeight="1" s="107">
      <c r="A2633" s="216">
        <f>'CEI THEREZINHA DE JESUS LIMA'!F18</f>
        <v/>
      </c>
      <c r="B2633" s="217">
        <f>'CEI THEREZINHA DE JESUS LIMA'!C18</f>
        <v/>
      </c>
    </row>
    <row r="2634" ht="15" customHeight="1" s="107">
      <c r="A2634" s="216">
        <f>'CEI THEREZINHA DE JESUS LIMA'!F19</f>
        <v/>
      </c>
      <c r="B2634" s="217">
        <f>'CEI THEREZINHA DE JESUS LIMA'!C19</f>
        <v/>
      </c>
    </row>
    <row r="2635" ht="15" customHeight="1" s="107">
      <c r="A2635" s="216">
        <f>'CEI THEREZINHA DE JESUS LIMA'!F20</f>
        <v/>
      </c>
      <c r="B2635" s="217">
        <f>'CEI THEREZINHA DE JESUS LIMA'!C20</f>
        <v/>
      </c>
    </row>
    <row r="2636" ht="15" customHeight="1" s="107">
      <c r="A2636" s="216">
        <f>'CEI THEREZINHA DE JESUS LIMA'!F21</f>
        <v/>
      </c>
      <c r="B2636" s="217">
        <f>'CEI THEREZINHA DE JESUS LIMA'!C21</f>
        <v/>
      </c>
    </row>
    <row r="2637" ht="15" customHeight="1" s="107">
      <c r="A2637" s="216">
        <f>'CEI THEREZINHA DE JESUS LIMA'!F22</f>
        <v/>
      </c>
      <c r="B2637" s="217">
        <f>'CEI THEREZINHA DE JESUS LIMA'!C22</f>
        <v/>
      </c>
    </row>
    <row r="2638" ht="15" customHeight="1" s="107">
      <c r="A2638" s="216">
        <f>'CEI THEREZINHA DE JESUS LIMA'!F23</f>
        <v/>
      </c>
      <c r="B2638" s="217">
        <f>'CEI THEREZINHA DE JESUS LIMA'!C23</f>
        <v/>
      </c>
    </row>
    <row r="2639" ht="15" customHeight="1" s="107">
      <c r="A2639" s="216">
        <f>'CEI THEREZINHA DE JESUS LIMA'!F24</f>
        <v/>
      </c>
      <c r="B2639" s="217">
        <f>'CEI THEREZINHA DE JESUS LIMA'!C24</f>
        <v/>
      </c>
    </row>
    <row r="2640" ht="15" customHeight="1" s="107">
      <c r="A2640" s="216">
        <f>'CEI THEREZINHA DE JESUS LIMA'!F25</f>
        <v/>
      </c>
      <c r="B2640" s="217">
        <f>'CEI THEREZINHA DE JESUS LIMA'!C25</f>
        <v/>
      </c>
    </row>
    <row r="2641" ht="15" customHeight="1" s="107">
      <c r="A2641" s="216">
        <f>'CEI THEREZINHA DE JESUS LIMA'!F26</f>
        <v/>
      </c>
      <c r="B2641" s="217">
        <f>'CEI THEREZINHA DE JESUS LIMA'!C26</f>
        <v/>
      </c>
    </row>
    <row r="2642" ht="15" customHeight="1" s="107">
      <c r="A2642" s="216">
        <f>'CEI THEREZINHA DE JESUS LIMA'!F27</f>
        <v/>
      </c>
      <c r="B2642" s="217">
        <f>'CEI THEREZINHA DE JESUS LIMA'!C27</f>
        <v/>
      </c>
    </row>
    <row r="2643" ht="15" customHeight="1" s="107">
      <c r="A2643" s="216">
        <f>'ESCOLA MUNICIPAL PROFESSOR PAUL'!F9</f>
        <v/>
      </c>
      <c r="B2643" s="217">
        <f>'ESCOLA MUNICIPAL PROFESSOR PAUL'!C9</f>
        <v/>
      </c>
    </row>
    <row r="2644" ht="15" customHeight="1" s="107">
      <c r="A2644" s="216">
        <f>'ESCOLA MUNICIPAL PROFESSOR PAUL'!F10</f>
        <v/>
      </c>
      <c r="B2644" s="217">
        <f>'ESCOLA MUNICIPAL PROFESSOR PAUL'!C10</f>
        <v/>
      </c>
    </row>
    <row r="2645" ht="15" customHeight="1" s="107">
      <c r="A2645" s="216">
        <f>'ESCOLA MUNICIPAL PROFESSOR PAUL'!F11</f>
        <v/>
      </c>
      <c r="B2645" s="217">
        <f>'ESCOLA MUNICIPAL PROFESSOR PAUL'!C11</f>
        <v/>
      </c>
    </row>
    <row r="2646" ht="15" customHeight="1" s="107">
      <c r="A2646" s="216">
        <f>'ESCOLA MUNICIPAL PROFESSOR PAUL'!F12</f>
        <v/>
      </c>
      <c r="B2646" s="217">
        <f>'ESCOLA MUNICIPAL PROFESSOR PAUL'!C12</f>
        <v/>
      </c>
    </row>
    <row r="2647" ht="15" customHeight="1" s="107">
      <c r="A2647" s="216">
        <f>'ESCOLA MUNICIPAL PROFESSOR PAUL'!F13</f>
        <v/>
      </c>
      <c r="B2647" s="217">
        <f>'ESCOLA MUNICIPAL PROFESSOR PAUL'!C13</f>
        <v/>
      </c>
    </row>
    <row r="2648" ht="15" customHeight="1" s="107">
      <c r="A2648" s="216">
        <f>'ESCOLA MUNICIPAL PROFESSOR PAUL'!F14</f>
        <v/>
      </c>
      <c r="B2648" s="217">
        <f>'ESCOLA MUNICIPAL PROFESSOR PAUL'!C14</f>
        <v/>
      </c>
    </row>
    <row r="2649" ht="15" customHeight="1" s="107">
      <c r="A2649" s="216">
        <f>'ESCOLA MUNICIPAL PROFESSOR PAUL'!F15</f>
        <v/>
      </c>
      <c r="B2649" s="217">
        <f>'ESCOLA MUNICIPAL PROFESSOR PAUL'!C15</f>
        <v/>
      </c>
    </row>
    <row r="2650" ht="15" customHeight="1" s="107">
      <c r="A2650" s="216">
        <f>'ESCOLA MUNICIPAL PROFESSOR PAUL'!F16</f>
        <v/>
      </c>
      <c r="B2650" s="217">
        <f>'ESCOLA MUNICIPAL PROFESSOR PAUL'!C16</f>
        <v/>
      </c>
    </row>
    <row r="2651" ht="15" customHeight="1" s="107">
      <c r="A2651" s="216">
        <f>'ESCOLA MUNICIPAL PROFESSOR PAUL'!F17</f>
        <v/>
      </c>
      <c r="B2651" s="217">
        <f>'ESCOLA MUNICIPAL PROFESSOR PAUL'!C17</f>
        <v/>
      </c>
    </row>
    <row r="2652" ht="15" customHeight="1" s="107">
      <c r="A2652" s="216">
        <f>'ESCOLA MUNICIPAL PROFESSOR PAUL'!F18</f>
        <v/>
      </c>
      <c r="B2652" s="217">
        <f>'ESCOLA MUNICIPAL PROFESSOR PAUL'!C18</f>
        <v/>
      </c>
    </row>
    <row r="2653" ht="15" customHeight="1" s="107">
      <c r="A2653" s="216">
        <f>'ESCOLA MUNICIPAL PROFESSOR PAUL'!F19</f>
        <v/>
      </c>
      <c r="B2653" s="217">
        <f>'ESCOLA MUNICIPAL PROFESSOR PAUL'!C19</f>
        <v/>
      </c>
    </row>
    <row r="2654" ht="15" customHeight="1" s="107">
      <c r="A2654" s="216">
        <f>'ESCOLA MUNICIPAL PROFESSOR PAUL'!F20</f>
        <v/>
      </c>
      <c r="B2654" s="217">
        <f>'ESCOLA MUNICIPAL PROFESSOR PAUL'!C20</f>
        <v/>
      </c>
    </row>
    <row r="2655" ht="15" customHeight="1" s="107">
      <c r="A2655" s="216">
        <f>'ESCOLA MUNICIPAL PROFESSOR PAUL'!F21</f>
        <v/>
      </c>
      <c r="B2655" s="217">
        <f>'ESCOLA MUNICIPAL PROFESSOR PAUL'!C21</f>
        <v/>
      </c>
    </row>
    <row r="2656" ht="15" customHeight="1" s="107">
      <c r="A2656" s="216">
        <f>'ESCOLA MUNICIPAL PROFESSOR PAUL'!F22</f>
        <v/>
      </c>
      <c r="B2656" s="217">
        <f>'ESCOLA MUNICIPAL PROFESSOR PAUL'!C22</f>
        <v/>
      </c>
    </row>
    <row r="2657" ht="15" customHeight="1" s="107">
      <c r="A2657" s="216">
        <f>'ESCOLA MUNICIPAL PROFESSOR PAUL'!F23</f>
        <v/>
      </c>
      <c r="B2657" s="217">
        <f>'ESCOLA MUNICIPAL PROFESSOR PAUL'!C23</f>
        <v/>
      </c>
    </row>
    <row r="2658" ht="15" customHeight="1" s="107">
      <c r="A2658" s="216">
        <f>'ESCOLA MUNICIPAL PROFESSOR PAUL'!F24</f>
        <v/>
      </c>
      <c r="B2658" s="217">
        <f>'ESCOLA MUNICIPAL PROFESSOR PAUL'!C24</f>
        <v/>
      </c>
    </row>
    <row r="2659" ht="15" customHeight="1" s="107">
      <c r="A2659" s="216">
        <f>'ESCOLA MUNICIPAL PROFESSOR PAUL'!F25</f>
        <v/>
      </c>
      <c r="B2659" s="217">
        <f>'ESCOLA MUNICIPAL PROFESSOR PAUL'!C25</f>
        <v/>
      </c>
    </row>
    <row r="2660" ht="15" customHeight="1" s="107">
      <c r="A2660" s="216">
        <f>'ESCOLA MUNICIPAL PROFESSOR PAUL'!F26</f>
        <v/>
      </c>
      <c r="B2660" s="217">
        <f>'ESCOLA MUNICIPAL PROFESSOR PAUL'!C26</f>
        <v/>
      </c>
    </row>
    <row r="2661" ht="15" customHeight="1" s="107">
      <c r="A2661" s="216">
        <f>'ESCOLA MUNICIPAL PROFESSOR PAUL'!F27</f>
        <v/>
      </c>
      <c r="B2661" s="217">
        <f>'ESCOLA MUNICIPAL PROFESSOR PAUL'!C27</f>
        <v/>
      </c>
    </row>
    <row r="2662" ht="15" customHeight="1" s="107">
      <c r="A2662" s="216">
        <f>'COLÉGIO ANGLICANO DE ARARAS'!F9</f>
        <v/>
      </c>
      <c r="B2662" s="217">
        <f>'COLÉGIO ANGLICANO DE ARARAS'!C9</f>
        <v/>
      </c>
    </row>
    <row r="2663" ht="15" customHeight="1" s="107">
      <c r="A2663" s="216">
        <f>'COLÉGIO ANGLICANO DE ARARAS'!F10</f>
        <v/>
      </c>
      <c r="B2663" s="217">
        <f>'COLÉGIO ANGLICANO DE ARARAS'!C10</f>
        <v/>
      </c>
    </row>
    <row r="2664" ht="15" customHeight="1" s="107">
      <c r="A2664" s="216">
        <f>'COLÉGIO ANGLICANO DE ARARAS'!F11</f>
        <v/>
      </c>
      <c r="B2664" s="217">
        <f>'COLÉGIO ANGLICANO DE ARARAS'!C11</f>
        <v/>
      </c>
    </row>
    <row r="2665" ht="15" customHeight="1" s="107">
      <c r="A2665" s="216">
        <f>'COLÉGIO ANGLICANO DE ARARAS'!F12</f>
        <v/>
      </c>
      <c r="B2665" s="217">
        <f>'COLÉGIO ANGLICANO DE ARARAS'!C12</f>
        <v/>
      </c>
    </row>
    <row r="2666" ht="15" customHeight="1" s="107">
      <c r="A2666" s="216">
        <f>'COLÉGIO ANGLICANO DE ARARAS'!F13</f>
        <v/>
      </c>
      <c r="B2666" s="217">
        <f>'COLÉGIO ANGLICANO DE ARARAS'!C13</f>
        <v/>
      </c>
    </row>
    <row r="2667" ht="15" customHeight="1" s="107">
      <c r="A2667" s="216">
        <f>'COLÉGIO ANGLICANO DE ARARAS'!F14</f>
        <v/>
      </c>
      <c r="B2667" s="217">
        <f>'COLÉGIO ANGLICANO DE ARARAS'!C14</f>
        <v/>
      </c>
    </row>
    <row r="2668" ht="15" customHeight="1" s="107">
      <c r="A2668" s="216">
        <f>'COLÉGIO ANGLICANO DE ARARAS'!F15</f>
        <v/>
      </c>
      <c r="B2668" s="217">
        <f>'COLÉGIO ANGLICANO DE ARARAS'!C15</f>
        <v/>
      </c>
    </row>
    <row r="2669" ht="15" customHeight="1" s="107">
      <c r="A2669" s="216">
        <f>'COLÉGIO ANGLICANO DE ARARAS'!F16</f>
        <v/>
      </c>
      <c r="B2669" s="217">
        <f>'COLÉGIO ANGLICANO DE ARARAS'!C16</f>
        <v/>
      </c>
    </row>
    <row r="2670" ht="15" customHeight="1" s="107">
      <c r="A2670" s="216">
        <f>'COLÉGIO ANGLICANO DE ARARAS'!F17</f>
        <v/>
      </c>
      <c r="B2670" s="217">
        <f>'COLÉGIO ANGLICANO DE ARARAS'!C17</f>
        <v/>
      </c>
    </row>
    <row r="2671" ht="15" customHeight="1" s="107">
      <c r="A2671" s="216">
        <f>'COLÉGIO ANGLICANO DE ARARAS'!F18</f>
        <v/>
      </c>
      <c r="B2671" s="217">
        <f>'COLÉGIO ANGLICANO DE ARARAS'!C18</f>
        <v/>
      </c>
    </row>
    <row r="2672" ht="15" customHeight="1" s="107">
      <c r="A2672" s="216">
        <f>'COLÉGIO ANGLICANO DE ARARAS'!F19</f>
        <v/>
      </c>
      <c r="B2672" s="217">
        <f>'COLÉGIO ANGLICANO DE ARARAS'!C19</f>
        <v/>
      </c>
    </row>
    <row r="2673" ht="15" customHeight="1" s="107">
      <c r="A2673" s="216">
        <f>'COLÉGIO ANGLICANO DE ARARAS'!F20</f>
        <v/>
      </c>
      <c r="B2673" s="217">
        <f>'COLÉGIO ANGLICANO DE ARARAS'!C20</f>
        <v/>
      </c>
    </row>
    <row r="2674" ht="15" customHeight="1" s="107">
      <c r="A2674" s="216">
        <f>'COLÉGIO ANGLICANO DE ARARAS'!F21</f>
        <v/>
      </c>
      <c r="B2674" s="217">
        <f>'COLÉGIO ANGLICANO DE ARARAS'!C21</f>
        <v/>
      </c>
    </row>
    <row r="2675" ht="15" customHeight="1" s="107">
      <c r="A2675" s="216">
        <f>'COLÉGIO ANGLICANO DE ARARAS'!F22</f>
        <v/>
      </c>
      <c r="B2675" s="217">
        <f>'COLÉGIO ANGLICANO DE ARARAS'!C22</f>
        <v/>
      </c>
    </row>
    <row r="2676" ht="15" customHeight="1" s="107">
      <c r="A2676" s="216">
        <f>'COLÉGIO ANGLICANO DE ARARAS'!F23</f>
        <v/>
      </c>
      <c r="B2676" s="217">
        <f>'COLÉGIO ANGLICANO DE ARARAS'!C23</f>
        <v/>
      </c>
    </row>
    <row r="2677" ht="15" customHeight="1" s="107">
      <c r="A2677" s="216">
        <f>'COLÉGIO ANGLICANO DE ARARAS'!F24</f>
        <v/>
      </c>
      <c r="B2677" s="217">
        <f>'COLÉGIO ANGLICANO DE ARARAS'!C24</f>
        <v/>
      </c>
    </row>
    <row r="2678" ht="15" customHeight="1" s="107">
      <c r="A2678" s="216">
        <f>'COLÉGIO ANGLICANO DE ARARAS'!F25</f>
        <v/>
      </c>
      <c r="B2678" s="217">
        <f>'COLÉGIO ANGLICANO DE ARARAS'!C25</f>
        <v/>
      </c>
    </row>
    <row r="2679" ht="15" customHeight="1" s="107">
      <c r="A2679" s="216">
        <f>'COLÉGIO ANGLICANO DE ARARAS'!F26</f>
        <v/>
      </c>
      <c r="B2679" s="217">
        <f>'COLÉGIO ANGLICANO DE ARARAS'!C26</f>
        <v/>
      </c>
    </row>
    <row r="2680" ht="15" customHeight="1" s="107">
      <c r="A2680" s="216">
        <f>'COLÉGIO ANGLICANO DE ARARAS'!F27</f>
        <v/>
      </c>
      <c r="B2680" s="217">
        <f>'COLÉGIO ANGLICANO DE ARARAS'!C27</f>
        <v/>
      </c>
    </row>
    <row r="2681" ht="15" customHeight="1" s="107">
      <c r="A2681" s="216">
        <f>'ESCOLA PAROQUIAL SANTA BERNADET'!F9</f>
        <v/>
      </c>
      <c r="B2681" s="217">
        <f>'ESCOLA PAROQUIAL SANTA BERNADET'!C9</f>
        <v/>
      </c>
    </row>
    <row r="2682" ht="15" customHeight="1" s="107">
      <c r="A2682" s="216">
        <f>'ESCOLA PAROQUIAL SANTA BERNADET'!F10</f>
        <v/>
      </c>
      <c r="B2682" s="217">
        <f>'ESCOLA PAROQUIAL SANTA BERNADET'!C10</f>
        <v/>
      </c>
    </row>
    <row r="2683" ht="15" customHeight="1" s="107">
      <c r="A2683" s="216">
        <f>'ESCOLA PAROQUIAL SANTA BERNADET'!F11</f>
        <v/>
      </c>
      <c r="B2683" s="217">
        <f>'ESCOLA PAROQUIAL SANTA BERNADET'!C11</f>
        <v/>
      </c>
    </row>
    <row r="2684" ht="15" customHeight="1" s="107">
      <c r="A2684" s="216">
        <f>'ESCOLA PAROQUIAL SANTA BERNADET'!F12</f>
        <v/>
      </c>
      <c r="B2684" s="217">
        <f>'ESCOLA PAROQUIAL SANTA BERNADET'!C12</f>
        <v/>
      </c>
    </row>
    <row r="2685" ht="15" customHeight="1" s="107">
      <c r="A2685" s="216">
        <f>'ESCOLA PAROQUIAL SANTA BERNADET'!F13</f>
        <v/>
      </c>
      <c r="B2685" s="217">
        <f>'ESCOLA PAROQUIAL SANTA BERNADET'!C13</f>
        <v/>
      </c>
    </row>
    <row r="2686" ht="15" customHeight="1" s="107">
      <c r="A2686" s="216">
        <f>'ESCOLA PAROQUIAL SANTA BERNADET'!F14</f>
        <v/>
      </c>
      <c r="B2686" s="217">
        <f>'ESCOLA PAROQUIAL SANTA BERNADET'!C14</f>
        <v/>
      </c>
    </row>
    <row r="2687" ht="15" customHeight="1" s="107">
      <c r="A2687" s="216">
        <f>'ESCOLA PAROQUIAL SANTA BERNADET'!F15</f>
        <v/>
      </c>
      <c r="B2687" s="217">
        <f>'ESCOLA PAROQUIAL SANTA BERNADET'!C15</f>
        <v/>
      </c>
    </row>
    <row r="2688" ht="15" customHeight="1" s="107">
      <c r="A2688" s="216">
        <f>'ESCOLA PAROQUIAL SANTA BERNADET'!F16</f>
        <v/>
      </c>
      <c r="B2688" s="217">
        <f>'ESCOLA PAROQUIAL SANTA BERNADET'!C16</f>
        <v/>
      </c>
    </row>
    <row r="2689" ht="15" customHeight="1" s="107">
      <c r="A2689" s="216">
        <f>'ESCOLA PAROQUIAL SANTA BERNADET'!F17</f>
        <v/>
      </c>
      <c r="B2689" s="217">
        <f>'ESCOLA PAROQUIAL SANTA BERNADET'!C17</f>
        <v/>
      </c>
    </row>
    <row r="2690" ht="15" customHeight="1" s="107">
      <c r="A2690" s="216">
        <f>'ESCOLA PAROQUIAL SANTA BERNADET'!F18</f>
        <v/>
      </c>
      <c r="B2690" s="217">
        <f>'ESCOLA PAROQUIAL SANTA BERNADET'!C18</f>
        <v/>
      </c>
    </row>
    <row r="2691" ht="15" customHeight="1" s="107">
      <c r="A2691" s="216">
        <f>'ESCOLA PAROQUIAL SANTA BERNADET'!F19</f>
        <v/>
      </c>
      <c r="B2691" s="217">
        <f>'ESCOLA PAROQUIAL SANTA BERNADET'!C19</f>
        <v/>
      </c>
    </row>
    <row r="2692" ht="15" customHeight="1" s="107">
      <c r="A2692" s="216">
        <f>'ESCOLA PAROQUIAL SANTA BERNADET'!F20</f>
        <v/>
      </c>
      <c r="B2692" s="217">
        <f>'ESCOLA PAROQUIAL SANTA BERNADET'!C20</f>
        <v/>
      </c>
    </row>
    <row r="2693" ht="15" customHeight="1" s="107">
      <c r="A2693" s="216">
        <f>'ESCOLA PAROQUIAL SANTA BERNADET'!F21</f>
        <v/>
      </c>
      <c r="B2693" s="217">
        <f>'ESCOLA PAROQUIAL SANTA BERNADET'!C21</f>
        <v/>
      </c>
    </row>
    <row r="2694" ht="15" customHeight="1" s="107">
      <c r="A2694" s="216">
        <f>'ESCOLA PAROQUIAL SANTA BERNADET'!F22</f>
        <v/>
      </c>
      <c r="B2694" s="217">
        <f>'ESCOLA PAROQUIAL SANTA BERNADET'!C22</f>
        <v/>
      </c>
    </row>
    <row r="2695" ht="15" customHeight="1" s="107">
      <c r="A2695" s="216">
        <f>'ESCOLA PAROQUIAL SANTA BERNADET'!F23</f>
        <v/>
      </c>
      <c r="B2695" s="217">
        <f>'ESCOLA PAROQUIAL SANTA BERNADET'!C23</f>
        <v/>
      </c>
    </row>
    <row r="2696" ht="15" customHeight="1" s="107">
      <c r="A2696" s="216">
        <f>'ESCOLA PAROQUIAL SANTA BERNADET'!F24</f>
        <v/>
      </c>
      <c r="B2696" s="217">
        <f>'ESCOLA PAROQUIAL SANTA BERNADET'!C24</f>
        <v/>
      </c>
    </row>
    <row r="2697" ht="15" customHeight="1" s="107">
      <c r="A2697" s="216">
        <f>'ESCOLA PAROQUIAL SANTA BERNADET'!F25</f>
        <v/>
      </c>
      <c r="B2697" s="217">
        <f>'ESCOLA PAROQUIAL SANTA BERNADET'!C25</f>
        <v/>
      </c>
    </row>
    <row r="2698" ht="15" customHeight="1" s="107">
      <c r="A2698" s="216">
        <f>'ESCOLA PAROQUIAL SANTA BERNADET'!F26</f>
        <v/>
      </c>
      <c r="B2698" s="217">
        <f>'ESCOLA PAROQUIAL SANTA BERNADET'!C26</f>
        <v/>
      </c>
    </row>
    <row r="2699" ht="15" customHeight="1" s="107">
      <c r="A2699" s="216">
        <f>'ESCOLA PAROQUIAL SANTA BERNADET'!F27</f>
        <v/>
      </c>
      <c r="B2699" s="217">
        <f>'ESCOLA PAROQUIAL SANTA BERNADET'!C27</f>
        <v/>
      </c>
    </row>
    <row r="2700" ht="15" customHeight="1" s="107">
      <c r="A2700" s="216">
        <f>'CEI VISTA ALEGRE'!F9</f>
        <v/>
      </c>
      <c r="B2700" s="217">
        <f>'CEI VISTA ALEGRE'!C9</f>
        <v/>
      </c>
    </row>
    <row r="2701" ht="15" customHeight="1" s="107">
      <c r="A2701" s="216">
        <f>'CEI VISTA ALEGRE'!F10</f>
        <v/>
      </c>
      <c r="B2701" s="217">
        <f>'CEI VISTA ALEGRE'!C10</f>
        <v/>
      </c>
    </row>
    <row r="2702" ht="15" customHeight="1" s="107">
      <c r="A2702" s="216">
        <f>'CEI VISTA ALEGRE'!F11</f>
        <v/>
      </c>
      <c r="B2702" s="217">
        <f>'CEI VISTA ALEGRE'!C11</f>
        <v/>
      </c>
    </row>
    <row r="2703" ht="15" customHeight="1" s="107">
      <c r="A2703" s="216">
        <f>'CEI VISTA ALEGRE'!F12</f>
        <v/>
      </c>
      <c r="B2703" s="217">
        <f>'CEI VISTA ALEGRE'!C12</f>
        <v/>
      </c>
    </row>
    <row r="2704" ht="15" customHeight="1" s="107">
      <c r="A2704" s="216">
        <f>'CEI VISTA ALEGRE'!F13</f>
        <v/>
      </c>
      <c r="B2704" s="217">
        <f>'CEI VISTA ALEGRE'!C13</f>
        <v/>
      </c>
    </row>
    <row r="2705" ht="15" customHeight="1" s="107">
      <c r="A2705" s="216">
        <f>'CEI VISTA ALEGRE'!F14</f>
        <v/>
      </c>
      <c r="B2705" s="217">
        <f>'CEI VISTA ALEGRE'!C14</f>
        <v/>
      </c>
    </row>
    <row r="2706" ht="15" customHeight="1" s="107">
      <c r="A2706" s="216">
        <f>'CEI VISTA ALEGRE'!F15</f>
        <v/>
      </c>
      <c r="B2706" s="217">
        <f>'CEI VISTA ALEGRE'!C15</f>
        <v/>
      </c>
    </row>
    <row r="2707" ht="15" customHeight="1" s="107">
      <c r="A2707" s="216">
        <f>'CEI VISTA ALEGRE'!F16</f>
        <v/>
      </c>
      <c r="B2707" s="217">
        <f>'CEI VISTA ALEGRE'!C16</f>
        <v/>
      </c>
    </row>
    <row r="2708" ht="15" customHeight="1" s="107">
      <c r="A2708" s="216">
        <f>'CEI VISTA ALEGRE'!F17</f>
        <v/>
      </c>
      <c r="B2708" s="217">
        <f>'CEI VISTA ALEGRE'!C17</f>
        <v/>
      </c>
    </row>
    <row r="2709" ht="15" customHeight="1" s="107">
      <c r="A2709" s="216">
        <f>'CEI VISTA ALEGRE'!F18</f>
        <v/>
      </c>
      <c r="B2709" s="217">
        <f>'CEI VISTA ALEGRE'!C18</f>
        <v/>
      </c>
    </row>
    <row r="2710" ht="15" customHeight="1" s="107">
      <c r="A2710" s="216">
        <f>'CEI VISTA ALEGRE'!F19</f>
        <v/>
      </c>
      <c r="B2710" s="217">
        <f>'CEI VISTA ALEGRE'!C19</f>
        <v/>
      </c>
    </row>
    <row r="2711" ht="15" customHeight="1" s="107">
      <c r="A2711" s="216">
        <f>'CEI VISTA ALEGRE'!F20</f>
        <v/>
      </c>
      <c r="B2711" s="217">
        <f>'CEI VISTA ALEGRE'!C20</f>
        <v/>
      </c>
    </row>
    <row r="2712" ht="15" customHeight="1" s="107">
      <c r="A2712" s="216">
        <f>'CEI VISTA ALEGRE'!F21</f>
        <v/>
      </c>
      <c r="B2712" s="217">
        <f>'CEI VISTA ALEGRE'!C21</f>
        <v/>
      </c>
    </row>
    <row r="2713" ht="15" customHeight="1" s="107">
      <c r="A2713" s="216">
        <f>'CEI VISTA ALEGRE'!F22</f>
        <v/>
      </c>
      <c r="B2713" s="217">
        <f>'CEI VISTA ALEGRE'!C22</f>
        <v/>
      </c>
    </row>
    <row r="2714" ht="15" customHeight="1" s="107">
      <c r="A2714" s="216">
        <f>'CEI VISTA ALEGRE'!F23</f>
        <v/>
      </c>
      <c r="B2714" s="217">
        <f>'CEI VISTA ALEGRE'!C23</f>
        <v/>
      </c>
    </row>
    <row r="2715" ht="15" customHeight="1" s="107">
      <c r="A2715" s="216">
        <f>'CEI VISTA ALEGRE'!F24</f>
        <v/>
      </c>
      <c r="B2715" s="217">
        <f>'CEI VISTA ALEGRE'!C24</f>
        <v/>
      </c>
    </row>
    <row r="2716" ht="15" customHeight="1" s="107">
      <c r="A2716" s="216">
        <f>'CEI VISTA ALEGRE'!F25</f>
        <v/>
      </c>
      <c r="B2716" s="217">
        <f>'CEI VISTA ALEGRE'!C25</f>
        <v/>
      </c>
    </row>
    <row r="2717" ht="15" customHeight="1" s="107">
      <c r="A2717" s="216">
        <f>'CEI VISTA ALEGRE'!F26</f>
        <v/>
      </c>
      <c r="B2717" s="217">
        <f>'CEI VISTA ALEGRE'!C26</f>
        <v/>
      </c>
    </row>
    <row r="2718" ht="15" customHeight="1" s="107">
      <c r="A2718" s="216">
        <f>'CEI VISTA ALEGRE'!F27</f>
        <v/>
      </c>
      <c r="B2718" s="217">
        <f>'CEI VISTA ALEGRE'!C27</f>
        <v/>
      </c>
    </row>
    <row r="2719" ht="15" customHeight="1" s="107">
      <c r="A2719" s="216">
        <f>'CEI DENISE BESSA DE OLIVA MAYA'!F9</f>
        <v/>
      </c>
      <c r="B2719" s="217">
        <f>'CEI DENISE BESSA DE OLIVA MAYA'!C9</f>
        <v/>
      </c>
    </row>
    <row r="2720" ht="15" customHeight="1" s="107">
      <c r="A2720" s="216">
        <f>'CEI DENISE BESSA DE OLIVA MAYA'!F10</f>
        <v/>
      </c>
      <c r="B2720" s="217">
        <f>'CEI DENISE BESSA DE OLIVA MAYA'!C10</f>
        <v/>
      </c>
    </row>
    <row r="2721" ht="15" customHeight="1" s="107">
      <c r="A2721" s="216">
        <f>'CEI DENISE BESSA DE OLIVA MAYA'!F11</f>
        <v/>
      </c>
      <c r="B2721" s="217">
        <f>'CEI DENISE BESSA DE OLIVA MAYA'!C11</f>
        <v/>
      </c>
    </row>
    <row r="2722" ht="15" customHeight="1" s="107">
      <c r="A2722" s="216">
        <f>'CEI DENISE BESSA DE OLIVA MAYA'!F12</f>
        <v/>
      </c>
      <c r="B2722" s="217">
        <f>'CEI DENISE BESSA DE OLIVA MAYA'!C12</f>
        <v/>
      </c>
    </row>
    <row r="2723" ht="15" customHeight="1" s="107">
      <c r="A2723" s="216">
        <f>'CEI DENISE BESSA DE OLIVA MAYA'!F13</f>
        <v/>
      </c>
      <c r="B2723" s="217">
        <f>'CEI DENISE BESSA DE OLIVA MAYA'!C13</f>
        <v/>
      </c>
    </row>
    <row r="2724" ht="15" customHeight="1" s="107">
      <c r="A2724" s="216">
        <f>'CEI DENISE BESSA DE OLIVA MAYA'!F14</f>
        <v/>
      </c>
      <c r="B2724" s="217">
        <f>'CEI DENISE BESSA DE OLIVA MAYA'!C14</f>
        <v/>
      </c>
    </row>
    <row r="2725" ht="15" customHeight="1" s="107">
      <c r="A2725" s="216">
        <f>'CEI DENISE BESSA DE OLIVA MAYA'!F15</f>
        <v/>
      </c>
      <c r="B2725" s="217">
        <f>'CEI DENISE BESSA DE OLIVA MAYA'!C15</f>
        <v/>
      </c>
    </row>
    <row r="2726" ht="15" customHeight="1" s="107">
      <c r="A2726" s="216">
        <f>'CEI DENISE BESSA DE OLIVA MAYA'!F16</f>
        <v/>
      </c>
      <c r="B2726" s="217">
        <f>'CEI DENISE BESSA DE OLIVA MAYA'!C16</f>
        <v/>
      </c>
    </row>
    <row r="2727" ht="15" customHeight="1" s="107">
      <c r="A2727" s="216">
        <f>'CEI DENISE BESSA DE OLIVA MAYA'!F17</f>
        <v/>
      </c>
      <c r="B2727" s="217">
        <f>'CEI DENISE BESSA DE OLIVA MAYA'!C17</f>
        <v/>
      </c>
    </row>
    <row r="2728" ht="15" customHeight="1" s="107">
      <c r="A2728" s="216">
        <f>'CEI DENISE BESSA DE OLIVA MAYA'!F18</f>
        <v/>
      </c>
      <c r="B2728" s="217">
        <f>'CEI DENISE BESSA DE OLIVA MAYA'!C18</f>
        <v/>
      </c>
    </row>
    <row r="2729" ht="15" customHeight="1" s="107">
      <c r="A2729" s="216">
        <f>'CEI DENISE BESSA DE OLIVA MAYA'!F19</f>
        <v/>
      </c>
      <c r="B2729" s="217">
        <f>'CEI DENISE BESSA DE OLIVA MAYA'!C19</f>
        <v/>
      </c>
    </row>
    <row r="2730" ht="15" customHeight="1" s="107">
      <c r="A2730" s="216">
        <f>'CEI DENISE BESSA DE OLIVA MAYA'!F20</f>
        <v/>
      </c>
      <c r="B2730" s="217">
        <f>'CEI DENISE BESSA DE OLIVA MAYA'!C20</f>
        <v/>
      </c>
    </row>
    <row r="2731" ht="15" customHeight="1" s="107">
      <c r="A2731" s="216">
        <f>'CEI DENISE BESSA DE OLIVA MAYA'!F21</f>
        <v/>
      </c>
      <c r="B2731" s="217">
        <f>'CEI DENISE BESSA DE OLIVA MAYA'!C21</f>
        <v/>
      </c>
    </row>
    <row r="2732" ht="15" customHeight="1" s="107">
      <c r="A2732" s="216">
        <f>'CEI DENISE BESSA DE OLIVA MAYA'!F22</f>
        <v/>
      </c>
      <c r="B2732" s="217">
        <f>'CEI DENISE BESSA DE OLIVA MAYA'!C22</f>
        <v/>
      </c>
    </row>
    <row r="2733" ht="15" customHeight="1" s="107">
      <c r="A2733" s="216">
        <f>'CEI DENISE BESSA DE OLIVA MAYA'!F23</f>
        <v/>
      </c>
      <c r="B2733" s="217">
        <f>'CEI DENISE BESSA DE OLIVA MAYA'!C23</f>
        <v/>
      </c>
    </row>
    <row r="2734" ht="15" customHeight="1" s="107">
      <c r="A2734" s="216">
        <f>'CEI DENISE BESSA DE OLIVA MAYA'!F24</f>
        <v/>
      </c>
      <c r="B2734" s="217">
        <f>'CEI DENISE BESSA DE OLIVA MAYA'!C24</f>
        <v/>
      </c>
    </row>
    <row r="2735" ht="15" customHeight="1" s="107">
      <c r="A2735" s="216">
        <f>'CEI DENISE BESSA DE OLIVA MAYA'!F25</f>
        <v/>
      </c>
      <c r="B2735" s="217">
        <f>'CEI DENISE BESSA DE OLIVA MAYA'!C25</f>
        <v/>
      </c>
    </row>
    <row r="2736" ht="15" customHeight="1" s="107">
      <c r="A2736" s="216">
        <f>'CEI DENISE BESSA DE OLIVA MAYA'!F26</f>
        <v/>
      </c>
      <c r="B2736" s="217">
        <f>'CEI DENISE BESSA DE OLIVA MAYA'!C26</f>
        <v/>
      </c>
    </row>
    <row r="2737" ht="15" customHeight="1" s="107">
      <c r="A2737" s="216">
        <f>'CEI DENISE BESSA DE OLIVA MAYA'!F27</f>
        <v/>
      </c>
      <c r="B2737" s="217">
        <f>'CEI DENISE BESSA DE OLIVA MAYA'!C27</f>
        <v/>
      </c>
    </row>
    <row r="2738" ht="15" customHeight="1" s="107">
      <c r="A2738" s="216">
        <f>'CEI VIDEIRINHA'!F9</f>
        <v/>
      </c>
      <c r="B2738" s="217">
        <f>'CEI VIDEIRINHA'!C9</f>
        <v/>
      </c>
    </row>
    <row r="2739" ht="15" customHeight="1" s="107">
      <c r="A2739" s="216">
        <f>'CEI VIDEIRINHA'!F10</f>
        <v/>
      </c>
      <c r="B2739" s="217">
        <f>'CEI VIDEIRINHA'!C10</f>
        <v/>
      </c>
    </row>
    <row r="2740" ht="15" customHeight="1" s="107">
      <c r="A2740" s="216">
        <f>'CEI VIDEIRINHA'!F11</f>
        <v/>
      </c>
      <c r="B2740" s="217">
        <f>'CEI VIDEIRINHA'!C11</f>
        <v/>
      </c>
    </row>
    <row r="2741" ht="15" customHeight="1" s="107">
      <c r="A2741" s="216">
        <f>'CEI VIDEIRINHA'!F12</f>
        <v/>
      </c>
      <c r="B2741" s="217">
        <f>'CEI VIDEIRINHA'!C12</f>
        <v/>
      </c>
    </row>
    <row r="2742" ht="15" customHeight="1" s="107">
      <c r="A2742" s="216">
        <f>'CEI VIDEIRINHA'!F13</f>
        <v/>
      </c>
      <c r="B2742" s="217">
        <f>'CEI VIDEIRINHA'!C13</f>
        <v/>
      </c>
    </row>
    <row r="2743" ht="15" customHeight="1" s="107">
      <c r="A2743" s="216">
        <f>'CEI VIDEIRINHA'!F14</f>
        <v/>
      </c>
      <c r="B2743" s="217">
        <f>'CEI VIDEIRINHA'!C14</f>
        <v/>
      </c>
    </row>
    <row r="2744" ht="15" customHeight="1" s="107">
      <c r="A2744" s="216">
        <f>'CEI VIDEIRINHA'!F15</f>
        <v/>
      </c>
      <c r="B2744" s="217">
        <f>'CEI VIDEIRINHA'!C15</f>
        <v/>
      </c>
    </row>
    <row r="2745" ht="15" customHeight="1" s="107">
      <c r="A2745" s="216">
        <f>'CEI VIDEIRINHA'!F16</f>
        <v/>
      </c>
      <c r="B2745" s="217">
        <f>'CEI VIDEIRINHA'!C16</f>
        <v/>
      </c>
    </row>
    <row r="2746" ht="15" customHeight="1" s="107">
      <c r="A2746" s="216">
        <f>'CEI VIDEIRINHA'!F17</f>
        <v/>
      </c>
      <c r="B2746" s="217">
        <f>'CEI VIDEIRINHA'!C17</f>
        <v/>
      </c>
    </row>
    <row r="2747" ht="15" customHeight="1" s="107">
      <c r="A2747" s="216">
        <f>'CEI VIDEIRINHA'!F18</f>
        <v/>
      </c>
      <c r="B2747" s="217">
        <f>'CEI VIDEIRINHA'!C18</f>
        <v/>
      </c>
    </row>
    <row r="2748" ht="15" customHeight="1" s="107">
      <c r="A2748" s="216">
        <f>'CEI VIDEIRINHA'!F19</f>
        <v/>
      </c>
      <c r="B2748" s="217">
        <f>'CEI VIDEIRINHA'!C19</f>
        <v/>
      </c>
    </row>
    <row r="2749" ht="15" customHeight="1" s="107">
      <c r="A2749" s="216">
        <f>'CEI VIDEIRINHA'!F20</f>
        <v/>
      </c>
      <c r="B2749" s="217">
        <f>'CEI VIDEIRINHA'!C20</f>
        <v/>
      </c>
    </row>
    <row r="2750" ht="15" customHeight="1" s="107">
      <c r="A2750" s="216">
        <f>'CEI VIDEIRINHA'!F21</f>
        <v/>
      </c>
      <c r="B2750" s="217">
        <f>'CEI VIDEIRINHA'!C21</f>
        <v/>
      </c>
    </row>
    <row r="2751" ht="15" customHeight="1" s="107">
      <c r="A2751" s="216">
        <f>'CEI VIDEIRINHA'!F22</f>
        <v/>
      </c>
      <c r="B2751" s="217">
        <f>'CEI VIDEIRINHA'!C22</f>
        <v/>
      </c>
    </row>
    <row r="2752" ht="15" customHeight="1" s="107">
      <c r="A2752" s="216">
        <f>'CEI VIDEIRINHA'!F23</f>
        <v/>
      </c>
      <c r="B2752" s="217">
        <f>'CEI VIDEIRINHA'!C23</f>
        <v/>
      </c>
    </row>
    <row r="2753" ht="15" customHeight="1" s="107">
      <c r="A2753" s="216">
        <f>'CEI VIDEIRINHA'!F24</f>
        <v/>
      </c>
      <c r="B2753" s="217">
        <f>'CEI VIDEIRINHA'!C24</f>
        <v/>
      </c>
    </row>
    <row r="2754" ht="15" customHeight="1" s="107">
      <c r="A2754" s="216">
        <f>'CEI VIDEIRINHA'!F25</f>
        <v/>
      </c>
      <c r="B2754" s="217">
        <f>'CEI VIDEIRINHA'!C25</f>
        <v/>
      </c>
    </row>
    <row r="2755" ht="15" customHeight="1" s="107">
      <c r="A2755" s="216">
        <f>'CEI VIDEIRINHA'!F26</f>
        <v/>
      </c>
      <c r="B2755" s="217">
        <f>'CEI VIDEIRINHA'!C26</f>
        <v/>
      </c>
    </row>
    <row r="2756" ht="15" customHeight="1" s="107">
      <c r="A2756" s="216">
        <f>'CEI VIDEIRINHA'!F27</f>
        <v/>
      </c>
      <c r="B2756" s="217">
        <f>'CEI VIDEIRINHA'!C27</f>
        <v/>
      </c>
    </row>
    <row r="2757" ht="15" customHeight="1" s="107">
      <c r="A2757" s="216">
        <f>'E M AMÉRICO FERNANDES RIBEIRO'!F9</f>
        <v/>
      </c>
      <c r="B2757" s="217">
        <f>'E M AMÉRICO FERNANDES RIBEIRO'!C9</f>
        <v/>
      </c>
    </row>
    <row r="2758" ht="15" customHeight="1" s="107">
      <c r="A2758" s="216">
        <f>'E M AMÉRICO FERNANDES RIBEIRO'!F10</f>
        <v/>
      </c>
      <c r="B2758" s="217">
        <f>'E M AMÉRICO FERNANDES RIBEIRO'!C10</f>
        <v/>
      </c>
    </row>
    <row r="2759" ht="15" customHeight="1" s="107">
      <c r="A2759" s="216">
        <f>'E M AMÉRICO FERNANDES RIBEIRO'!F11</f>
        <v/>
      </c>
      <c r="B2759" s="217">
        <f>'E M AMÉRICO FERNANDES RIBEIRO'!C11</f>
        <v/>
      </c>
    </row>
    <row r="2760" ht="15" customHeight="1" s="107">
      <c r="A2760" s="216">
        <f>'E M AMÉRICO FERNANDES RIBEIRO'!F12</f>
        <v/>
      </c>
      <c r="B2760" s="217">
        <f>'E M AMÉRICO FERNANDES RIBEIRO'!C12</f>
        <v/>
      </c>
    </row>
    <row r="2761" ht="15" customHeight="1" s="107">
      <c r="A2761" s="216">
        <f>'E M AMÉRICO FERNANDES RIBEIRO'!F13</f>
        <v/>
      </c>
      <c r="B2761" s="217">
        <f>'E M AMÉRICO FERNANDES RIBEIRO'!C13</f>
        <v/>
      </c>
    </row>
    <row r="2762" ht="15" customHeight="1" s="107">
      <c r="A2762" s="216">
        <f>'E M AMÉRICO FERNANDES RIBEIRO'!F14</f>
        <v/>
      </c>
      <c r="B2762" s="217">
        <f>'E M AMÉRICO FERNANDES RIBEIRO'!C14</f>
        <v/>
      </c>
    </row>
    <row r="2763" ht="15" customHeight="1" s="107">
      <c r="A2763" s="216">
        <f>'E M AMÉRICO FERNANDES RIBEIRO'!F15</f>
        <v/>
      </c>
      <c r="B2763" s="217">
        <f>'E M AMÉRICO FERNANDES RIBEIRO'!C15</f>
        <v/>
      </c>
    </row>
    <row r="2764" ht="15" customHeight="1" s="107">
      <c r="A2764" s="216">
        <f>'E M AMÉRICO FERNANDES RIBEIRO'!F16</f>
        <v/>
      </c>
      <c r="B2764" s="217">
        <f>'E M AMÉRICO FERNANDES RIBEIRO'!C16</f>
        <v/>
      </c>
    </row>
    <row r="2765" ht="15" customHeight="1" s="107">
      <c r="A2765" s="216">
        <f>'E M AMÉRICO FERNANDES RIBEIRO'!F17</f>
        <v/>
      </c>
      <c r="B2765" s="217">
        <f>'E M AMÉRICO FERNANDES RIBEIRO'!C17</f>
        <v/>
      </c>
    </row>
    <row r="2766" ht="15" customHeight="1" s="107">
      <c r="A2766" s="216">
        <f>'E M AMÉRICO FERNANDES RIBEIRO'!F18</f>
        <v/>
      </c>
      <c r="B2766" s="217">
        <f>'E M AMÉRICO FERNANDES RIBEIRO'!C18</f>
        <v/>
      </c>
    </row>
    <row r="2767" ht="15" customHeight="1" s="107">
      <c r="A2767" s="216">
        <f>'E M AMÉRICO FERNANDES RIBEIRO'!F19</f>
        <v/>
      </c>
      <c r="B2767" s="217">
        <f>'E M AMÉRICO FERNANDES RIBEIRO'!C19</f>
        <v/>
      </c>
    </row>
    <row r="2768" ht="15" customHeight="1" s="107">
      <c r="A2768" s="216">
        <f>'E M AMÉRICO FERNANDES RIBEIRO'!F20</f>
        <v/>
      </c>
      <c r="B2768" s="217">
        <f>'E M AMÉRICO FERNANDES RIBEIRO'!C20</f>
        <v/>
      </c>
    </row>
    <row r="2769" ht="15" customHeight="1" s="107">
      <c r="A2769" s="216">
        <f>'E M AMÉRICO FERNANDES RIBEIRO'!F21</f>
        <v/>
      </c>
      <c r="B2769" s="217">
        <f>'E M AMÉRICO FERNANDES RIBEIRO'!C21</f>
        <v/>
      </c>
    </row>
    <row r="2770" ht="15" customHeight="1" s="107">
      <c r="A2770" s="216">
        <f>'E M AMÉRICO FERNANDES RIBEIRO'!F22</f>
        <v/>
      </c>
      <c r="B2770" s="217">
        <f>'E M AMÉRICO FERNANDES RIBEIRO'!C22</f>
        <v/>
      </c>
    </row>
    <row r="2771" ht="15" customHeight="1" s="107">
      <c r="A2771" s="216">
        <f>'E M AMÉRICO FERNANDES RIBEIRO'!F23</f>
        <v/>
      </c>
      <c r="B2771" s="217">
        <f>'E M AMÉRICO FERNANDES RIBEIRO'!C23</f>
        <v/>
      </c>
    </row>
    <row r="2772" ht="15" customHeight="1" s="107">
      <c r="A2772" s="216">
        <f>'E M AMÉRICO FERNANDES RIBEIRO'!F24</f>
        <v/>
      </c>
      <c r="B2772" s="217">
        <f>'E M AMÉRICO FERNANDES RIBEIRO'!C24</f>
        <v/>
      </c>
    </row>
    <row r="2773" ht="15" customHeight="1" s="107">
      <c r="A2773" s="216">
        <f>'E M AMÉRICO FERNANDES RIBEIRO'!F25</f>
        <v/>
      </c>
      <c r="B2773" s="217">
        <f>'E M AMÉRICO FERNANDES RIBEIRO'!C25</f>
        <v/>
      </c>
    </row>
    <row r="2774" ht="15" customHeight="1" s="107">
      <c r="A2774" s="216">
        <f>'E M AMÉRICO FERNANDES RIBEIRO'!F26</f>
        <v/>
      </c>
      <c r="B2774" s="217">
        <f>'E M AMÉRICO FERNANDES RIBEIRO'!C26</f>
        <v/>
      </c>
    </row>
    <row r="2775" ht="15" customHeight="1" s="107">
      <c r="A2775" s="216">
        <f>'E M AMÉRICO FERNANDES RIBEIRO'!F27</f>
        <v/>
      </c>
      <c r="B2775" s="217">
        <f>'E M AMÉRICO FERNANDES RIBEIRO'!C27</f>
        <v/>
      </c>
    </row>
    <row r="2776" ht="15" customHeight="1" s="107">
      <c r="A2776" s="216">
        <f>'ESCOLA MUNICIPAL AUGUSTO PUGNAL'!F9</f>
        <v/>
      </c>
      <c r="B2776" s="217">
        <f>'ESCOLA MUNICIPAL AUGUSTO PUGNAL'!C9</f>
        <v/>
      </c>
    </row>
    <row r="2777" ht="15" customHeight="1" s="107">
      <c r="A2777" s="216">
        <f>'ESCOLA MUNICIPAL AUGUSTO PUGNAL'!F10</f>
        <v/>
      </c>
      <c r="B2777" s="217">
        <f>'ESCOLA MUNICIPAL AUGUSTO PUGNAL'!C10</f>
        <v/>
      </c>
    </row>
    <row r="2778" ht="15" customHeight="1" s="107">
      <c r="A2778" s="216">
        <f>'ESCOLA MUNICIPAL AUGUSTO PUGNAL'!F11</f>
        <v/>
      </c>
      <c r="B2778" s="217">
        <f>'ESCOLA MUNICIPAL AUGUSTO PUGNAL'!C11</f>
        <v/>
      </c>
    </row>
    <row r="2779" ht="15" customHeight="1" s="107">
      <c r="A2779" s="216">
        <f>'ESCOLA MUNICIPAL AUGUSTO PUGNAL'!F12</f>
        <v/>
      </c>
      <c r="B2779" s="217">
        <f>'ESCOLA MUNICIPAL AUGUSTO PUGNAL'!C12</f>
        <v/>
      </c>
    </row>
    <row r="2780" ht="15" customHeight="1" s="107">
      <c r="A2780" s="216">
        <f>'ESCOLA MUNICIPAL AUGUSTO PUGNAL'!F13</f>
        <v/>
      </c>
      <c r="B2780" s="217">
        <f>'ESCOLA MUNICIPAL AUGUSTO PUGNAL'!C13</f>
        <v/>
      </c>
    </row>
    <row r="2781" ht="15" customHeight="1" s="107">
      <c r="A2781" s="216">
        <f>'ESCOLA MUNICIPAL AUGUSTO PUGNAL'!F14</f>
        <v/>
      </c>
      <c r="B2781" s="217">
        <f>'ESCOLA MUNICIPAL AUGUSTO PUGNAL'!C14</f>
        <v/>
      </c>
    </row>
    <row r="2782" ht="15" customHeight="1" s="107">
      <c r="A2782" s="216">
        <f>'ESCOLA MUNICIPAL AUGUSTO PUGNAL'!F15</f>
        <v/>
      </c>
      <c r="B2782" s="217">
        <f>'ESCOLA MUNICIPAL AUGUSTO PUGNAL'!C15</f>
        <v/>
      </c>
    </row>
    <row r="2783" ht="15" customHeight="1" s="107">
      <c r="A2783" s="216">
        <f>'ESCOLA MUNICIPAL AUGUSTO PUGNAL'!F16</f>
        <v/>
      </c>
      <c r="B2783" s="217">
        <f>'ESCOLA MUNICIPAL AUGUSTO PUGNAL'!C16</f>
        <v/>
      </c>
    </row>
    <row r="2784" ht="15" customHeight="1" s="107">
      <c r="A2784" s="216">
        <f>'ESCOLA MUNICIPAL AUGUSTO PUGNAL'!F17</f>
        <v/>
      </c>
      <c r="B2784" s="217">
        <f>'ESCOLA MUNICIPAL AUGUSTO PUGNAL'!C17</f>
        <v/>
      </c>
    </row>
    <row r="2785" ht="15" customHeight="1" s="107">
      <c r="A2785" s="216">
        <f>'ESCOLA MUNICIPAL AUGUSTO PUGNAL'!F18</f>
        <v/>
      </c>
      <c r="B2785" s="217">
        <f>'ESCOLA MUNICIPAL AUGUSTO PUGNAL'!C18</f>
        <v/>
      </c>
    </row>
    <row r="2786" ht="15" customHeight="1" s="107">
      <c r="A2786" s="216">
        <f>'ESCOLA MUNICIPAL AUGUSTO PUGNAL'!F19</f>
        <v/>
      </c>
      <c r="B2786" s="217">
        <f>'ESCOLA MUNICIPAL AUGUSTO PUGNAL'!C19</f>
        <v/>
      </c>
    </row>
    <row r="2787" ht="15" customHeight="1" s="107">
      <c r="A2787" s="216">
        <f>'ESCOLA MUNICIPAL AUGUSTO PUGNAL'!F20</f>
        <v/>
      </c>
      <c r="B2787" s="217">
        <f>'ESCOLA MUNICIPAL AUGUSTO PUGNAL'!C20</f>
        <v/>
      </c>
    </row>
    <row r="2788" ht="15" customHeight="1" s="107">
      <c r="A2788" s="216">
        <f>'ESCOLA MUNICIPAL AUGUSTO PUGNAL'!F21</f>
        <v/>
      </c>
      <c r="B2788" s="217">
        <f>'ESCOLA MUNICIPAL AUGUSTO PUGNAL'!C21</f>
        <v/>
      </c>
    </row>
    <row r="2789" ht="15" customHeight="1" s="107">
      <c r="A2789" s="216">
        <f>'ESCOLA MUNICIPAL AUGUSTO PUGNAL'!F22</f>
        <v/>
      </c>
      <c r="B2789" s="217">
        <f>'ESCOLA MUNICIPAL AUGUSTO PUGNAL'!C22</f>
        <v/>
      </c>
    </row>
    <row r="2790" ht="15" customHeight="1" s="107">
      <c r="A2790" s="216">
        <f>'ESCOLA MUNICIPAL AUGUSTO PUGNAL'!F23</f>
        <v/>
      </c>
      <c r="B2790" s="217">
        <f>'ESCOLA MUNICIPAL AUGUSTO PUGNAL'!C23</f>
        <v/>
      </c>
    </row>
    <row r="2791" ht="15" customHeight="1" s="107">
      <c r="A2791" s="216">
        <f>'ESCOLA MUNICIPAL AUGUSTO PUGNAL'!F24</f>
        <v/>
      </c>
      <c r="B2791" s="217">
        <f>'ESCOLA MUNICIPAL AUGUSTO PUGNAL'!C24</f>
        <v/>
      </c>
    </row>
    <row r="2792" ht="15" customHeight="1" s="107">
      <c r="A2792" s="216">
        <f>'ESCOLA MUNICIPAL AUGUSTO PUGNAL'!F25</f>
        <v/>
      </c>
      <c r="B2792" s="217">
        <f>'ESCOLA MUNICIPAL AUGUSTO PUGNAL'!C25</f>
        <v/>
      </c>
    </row>
    <row r="2793" ht="15" customHeight="1" s="107">
      <c r="A2793" s="216">
        <f>'ESCOLA MUNICIPAL AUGUSTO PUGNAL'!F26</f>
        <v/>
      </c>
      <c r="B2793" s="217">
        <f>'ESCOLA MUNICIPAL AUGUSTO PUGNAL'!C26</f>
        <v/>
      </c>
    </row>
    <row r="2794" ht="15" customHeight="1" s="107">
      <c r="A2794" s="216">
        <f>'ESCOLA MUNICIPAL AUGUSTO PUGNAL'!F27</f>
        <v/>
      </c>
      <c r="B2794" s="217">
        <f>'ESCOLA MUNICIPAL AUGUSTO PUGNAL'!C27</f>
        <v/>
      </c>
    </row>
    <row r="2795" ht="15" customHeight="1" s="107">
      <c r="A2795" s="216">
        <f>'ESCOLA MUNICIPAL CELINA SCHECHN'!F9</f>
        <v/>
      </c>
      <c r="B2795" s="217">
        <f>'ESCOLA MUNICIPAL CELINA SCHECHN'!C9</f>
        <v/>
      </c>
    </row>
    <row r="2796" ht="15" customHeight="1" s="107">
      <c r="A2796" s="216">
        <f>'ESCOLA MUNICIPAL CELINA SCHECHN'!F10</f>
        <v/>
      </c>
      <c r="B2796" s="217">
        <f>'ESCOLA MUNICIPAL CELINA SCHECHN'!C10</f>
        <v/>
      </c>
    </row>
    <row r="2797" ht="15" customHeight="1" s="107">
      <c r="A2797" s="216">
        <f>'ESCOLA MUNICIPAL CELINA SCHECHN'!F11</f>
        <v/>
      </c>
      <c r="B2797" s="217">
        <f>'ESCOLA MUNICIPAL CELINA SCHECHN'!C11</f>
        <v/>
      </c>
    </row>
    <row r="2798" ht="15" customHeight="1" s="107">
      <c r="A2798" s="216">
        <f>'ESCOLA MUNICIPAL CELINA SCHECHN'!F12</f>
        <v/>
      </c>
      <c r="B2798" s="217">
        <f>'ESCOLA MUNICIPAL CELINA SCHECHN'!C12</f>
        <v/>
      </c>
    </row>
    <row r="2799" ht="15" customHeight="1" s="107">
      <c r="A2799" s="216">
        <f>'ESCOLA MUNICIPAL CELINA SCHECHN'!F13</f>
        <v/>
      </c>
      <c r="B2799" s="217">
        <f>'ESCOLA MUNICIPAL CELINA SCHECHN'!C13</f>
        <v/>
      </c>
    </row>
    <row r="2800" ht="15" customHeight="1" s="107">
      <c r="A2800" s="216">
        <f>'ESCOLA MUNICIPAL CELINA SCHECHN'!F14</f>
        <v/>
      </c>
      <c r="B2800" s="217">
        <f>'ESCOLA MUNICIPAL CELINA SCHECHN'!C14</f>
        <v/>
      </c>
    </row>
    <row r="2801" ht="15" customHeight="1" s="107">
      <c r="A2801" s="216">
        <f>'ESCOLA MUNICIPAL CELINA SCHECHN'!F15</f>
        <v/>
      </c>
      <c r="B2801" s="217">
        <f>'ESCOLA MUNICIPAL CELINA SCHECHN'!C15</f>
        <v/>
      </c>
    </row>
    <row r="2802" ht="15" customHeight="1" s="107">
      <c r="A2802" s="216">
        <f>'ESCOLA MUNICIPAL CELINA SCHECHN'!F16</f>
        <v/>
      </c>
      <c r="B2802" s="217">
        <f>'ESCOLA MUNICIPAL CELINA SCHECHN'!C16</f>
        <v/>
      </c>
    </row>
    <row r="2803" ht="15" customHeight="1" s="107">
      <c r="A2803" s="216">
        <f>'ESCOLA MUNICIPAL CELINA SCHECHN'!F17</f>
        <v/>
      </c>
      <c r="B2803" s="217">
        <f>'ESCOLA MUNICIPAL CELINA SCHECHN'!C17</f>
        <v/>
      </c>
    </row>
    <row r="2804" ht="15" customHeight="1" s="107">
      <c r="A2804" s="216">
        <f>'ESCOLA MUNICIPAL CELINA SCHECHN'!F18</f>
        <v/>
      </c>
      <c r="B2804" s="217">
        <f>'ESCOLA MUNICIPAL CELINA SCHECHN'!C18</f>
        <v/>
      </c>
    </row>
    <row r="2805" ht="15" customHeight="1" s="107">
      <c r="A2805" s="216">
        <f>'ESCOLA MUNICIPAL CELINA SCHECHN'!F19</f>
        <v/>
      </c>
      <c r="B2805" s="217">
        <f>'ESCOLA MUNICIPAL CELINA SCHECHN'!C19</f>
        <v/>
      </c>
    </row>
    <row r="2806" ht="15" customHeight="1" s="107">
      <c r="A2806" s="216">
        <f>'ESCOLA MUNICIPAL CELINA SCHECHN'!F20</f>
        <v/>
      </c>
      <c r="B2806" s="217">
        <f>'ESCOLA MUNICIPAL CELINA SCHECHN'!C20</f>
        <v/>
      </c>
    </row>
    <row r="2807" ht="15" customHeight="1" s="107">
      <c r="A2807" s="216">
        <f>'ESCOLA MUNICIPAL CELINA SCHECHN'!F21</f>
        <v/>
      </c>
      <c r="B2807" s="217">
        <f>'ESCOLA MUNICIPAL CELINA SCHECHN'!C21</f>
        <v/>
      </c>
    </row>
    <row r="2808" ht="15" customHeight="1" s="107">
      <c r="A2808" s="216">
        <f>'ESCOLA MUNICIPAL CELINA SCHECHN'!F22</f>
        <v/>
      </c>
      <c r="B2808" s="217">
        <f>'ESCOLA MUNICIPAL CELINA SCHECHN'!C22</f>
        <v/>
      </c>
    </row>
    <row r="2809" ht="15" customHeight="1" s="107">
      <c r="A2809" s="216">
        <f>'ESCOLA MUNICIPAL CELINA SCHECHN'!F23</f>
        <v/>
      </c>
      <c r="B2809" s="217">
        <f>'ESCOLA MUNICIPAL CELINA SCHECHN'!C23</f>
        <v/>
      </c>
    </row>
    <row r="2810" ht="15" customHeight="1" s="107">
      <c r="A2810" s="216">
        <f>'ESCOLA MUNICIPAL CELINA SCHECHN'!F24</f>
        <v/>
      </c>
      <c r="B2810" s="217">
        <f>'ESCOLA MUNICIPAL CELINA SCHECHN'!C24</f>
        <v/>
      </c>
    </row>
    <row r="2811" ht="15" customHeight="1" s="107">
      <c r="A2811" s="216">
        <f>'ESCOLA MUNICIPAL CELINA SCHECHN'!F25</f>
        <v/>
      </c>
      <c r="B2811" s="217">
        <f>'ESCOLA MUNICIPAL CELINA SCHECHN'!C25</f>
        <v/>
      </c>
    </row>
    <row r="2812" ht="15" customHeight="1" s="107">
      <c r="A2812" s="216">
        <f>'ESCOLA MUNICIPAL CELINA SCHECHN'!F26</f>
        <v/>
      </c>
      <c r="B2812" s="217">
        <f>'ESCOLA MUNICIPAL CELINA SCHECHN'!C26</f>
        <v/>
      </c>
    </row>
    <row r="2813" ht="15" customHeight="1" s="107">
      <c r="A2813" s="216">
        <f>'ESCOLA MUNICIPAL CELINA SCHECHN'!F27</f>
        <v/>
      </c>
      <c r="B2813" s="217">
        <f>'ESCOLA MUNICIPAL CELINA SCHECHN'!C27</f>
        <v/>
      </c>
    </row>
    <row r="2814" ht="15" customHeight="1" s="107">
      <c r="A2814" s="216">
        <f>'E M DARCY CORREA DA VEIGA'!F9</f>
        <v/>
      </c>
      <c r="B2814" s="217">
        <f>'E M DARCY CORREA DA VEIGA'!C9</f>
        <v/>
      </c>
    </row>
    <row r="2815" ht="15" customHeight="1" s="107">
      <c r="A2815" s="216">
        <f>'E M DARCY CORREA DA VEIGA'!F10</f>
        <v/>
      </c>
      <c r="B2815" s="217">
        <f>'E M DARCY CORREA DA VEIGA'!C10</f>
        <v/>
      </c>
    </row>
    <row r="2816" ht="15" customHeight="1" s="107">
      <c r="A2816" s="216">
        <f>'E M DARCY CORREA DA VEIGA'!F11</f>
        <v/>
      </c>
      <c r="B2816" s="217">
        <f>'E M DARCY CORREA DA VEIGA'!C11</f>
        <v/>
      </c>
    </row>
    <row r="2817" ht="15" customHeight="1" s="107">
      <c r="A2817" s="216">
        <f>'E M DARCY CORREA DA VEIGA'!F12</f>
        <v/>
      </c>
      <c r="B2817" s="217">
        <f>'E M DARCY CORREA DA VEIGA'!C12</f>
        <v/>
      </c>
    </row>
    <row r="2818" ht="15" customHeight="1" s="107">
      <c r="A2818" s="216">
        <f>'E M DARCY CORREA DA VEIGA'!F13</f>
        <v/>
      </c>
      <c r="B2818" s="217">
        <f>'E M DARCY CORREA DA VEIGA'!C13</f>
        <v/>
      </c>
    </row>
    <row r="2819" ht="15" customHeight="1" s="107">
      <c r="A2819" s="216">
        <f>'E M DARCY CORREA DA VEIGA'!F14</f>
        <v/>
      </c>
      <c r="B2819" s="217">
        <f>'E M DARCY CORREA DA VEIGA'!C14</f>
        <v/>
      </c>
    </row>
    <row r="2820" ht="15" customHeight="1" s="107">
      <c r="A2820" s="216">
        <f>'E M DARCY CORREA DA VEIGA'!F15</f>
        <v/>
      </c>
      <c r="B2820" s="217">
        <f>'E M DARCY CORREA DA VEIGA'!C15</f>
        <v/>
      </c>
    </row>
    <row r="2821" ht="15" customHeight="1" s="107">
      <c r="A2821" s="216">
        <f>'E M DARCY CORREA DA VEIGA'!F16</f>
        <v/>
      </c>
      <c r="B2821" s="217">
        <f>'E M DARCY CORREA DA VEIGA'!C16</f>
        <v/>
      </c>
    </row>
    <row r="2822" ht="15" customHeight="1" s="107">
      <c r="A2822" s="216">
        <f>'E M DARCY CORREA DA VEIGA'!F17</f>
        <v/>
      </c>
      <c r="B2822" s="217">
        <f>'E M DARCY CORREA DA VEIGA'!C17</f>
        <v/>
      </c>
    </row>
    <row r="2823" ht="15" customHeight="1" s="107">
      <c r="A2823" s="216">
        <f>'E M DARCY CORREA DA VEIGA'!F18</f>
        <v/>
      </c>
      <c r="B2823" s="217">
        <f>'E M DARCY CORREA DA VEIGA'!C18</f>
        <v/>
      </c>
    </row>
    <row r="2824" ht="15" customHeight="1" s="107">
      <c r="A2824" s="216">
        <f>'E M DARCY CORREA DA VEIGA'!F19</f>
        <v/>
      </c>
      <c r="B2824" s="217">
        <f>'E M DARCY CORREA DA VEIGA'!C19</f>
        <v/>
      </c>
    </row>
    <row r="2825" ht="15" customHeight="1" s="107">
      <c r="A2825" s="216">
        <f>'E M DARCY CORREA DA VEIGA'!F20</f>
        <v/>
      </c>
      <c r="B2825" s="217">
        <f>'E M DARCY CORREA DA VEIGA'!C20</f>
        <v/>
      </c>
    </row>
    <row r="2826" ht="15" customHeight="1" s="107">
      <c r="A2826" s="216">
        <f>'E M DARCY CORREA DA VEIGA'!F21</f>
        <v/>
      </c>
      <c r="B2826" s="217">
        <f>'E M DARCY CORREA DA VEIGA'!C21</f>
        <v/>
      </c>
    </row>
    <row r="2827" ht="15" customHeight="1" s="107">
      <c r="A2827" s="216">
        <f>'E M DARCY CORREA DA VEIGA'!F22</f>
        <v/>
      </c>
      <c r="B2827" s="217">
        <f>'E M DARCY CORREA DA VEIGA'!C22</f>
        <v/>
      </c>
    </row>
    <row r="2828" ht="15" customHeight="1" s="107">
      <c r="A2828" s="216">
        <f>'E M DARCY CORREA DA VEIGA'!F23</f>
        <v/>
      </c>
      <c r="B2828" s="217">
        <f>'E M DARCY CORREA DA VEIGA'!C23</f>
        <v/>
      </c>
    </row>
    <row r="2829" ht="15" customHeight="1" s="107">
      <c r="A2829" s="216">
        <f>'E M DARCY CORREA DA VEIGA'!F24</f>
        <v/>
      </c>
      <c r="B2829" s="217">
        <f>'E M DARCY CORREA DA VEIGA'!C24</f>
        <v/>
      </c>
    </row>
    <row r="2830" ht="15" customHeight="1" s="107">
      <c r="A2830" s="216">
        <f>'E M DARCY CORREA DA VEIGA'!F25</f>
        <v/>
      </c>
      <c r="B2830" s="217">
        <f>'E M DARCY CORREA DA VEIGA'!C25</f>
        <v/>
      </c>
    </row>
    <row r="2831" ht="15" customHeight="1" s="107">
      <c r="A2831" s="216">
        <f>'E M DARCY CORREA DA VEIGA'!F26</f>
        <v/>
      </c>
      <c r="B2831" s="217">
        <f>'E M DARCY CORREA DA VEIGA'!C26</f>
        <v/>
      </c>
    </row>
    <row r="2832" ht="15" customHeight="1" s="107">
      <c r="A2832" s="216">
        <f>'E M DARCY CORREA DA VEIGA'!F27</f>
        <v/>
      </c>
      <c r="B2832" s="217">
        <f>'E M DARCY CORREA DA VEIGA'!C27</f>
        <v/>
      </c>
    </row>
    <row r="2833" ht="15" customHeight="1" s="107">
      <c r="A2833" s="216">
        <f>'E M DR PAULA BUARQUE'!F9</f>
        <v/>
      </c>
      <c r="B2833" s="217">
        <f>'E M DR PAULA BUARQUE'!C9</f>
        <v/>
      </c>
    </row>
    <row r="2834" ht="15" customHeight="1" s="107">
      <c r="A2834" s="216">
        <f>'E M DR PAULA BUARQUE'!F10</f>
        <v/>
      </c>
      <c r="B2834" s="217">
        <f>'E M DR PAULA BUARQUE'!C10</f>
        <v/>
      </c>
    </row>
    <row r="2835" ht="15" customHeight="1" s="107">
      <c r="A2835" s="216">
        <f>'E M DR PAULA BUARQUE'!F11</f>
        <v/>
      </c>
      <c r="B2835" s="217">
        <f>'E M DR PAULA BUARQUE'!C11</f>
        <v/>
      </c>
    </row>
    <row r="2836" ht="15" customHeight="1" s="107">
      <c r="A2836" s="216">
        <f>'E M DR PAULA BUARQUE'!F12</f>
        <v/>
      </c>
      <c r="B2836" s="217">
        <f>'E M DR PAULA BUARQUE'!C12</f>
        <v/>
      </c>
    </row>
    <row r="2837" ht="15" customHeight="1" s="107">
      <c r="A2837" s="216">
        <f>'E M DR PAULA BUARQUE'!F13</f>
        <v/>
      </c>
      <c r="B2837" s="217">
        <f>'E M DR PAULA BUARQUE'!C13</f>
        <v/>
      </c>
    </row>
    <row r="2838" ht="15" customHeight="1" s="107">
      <c r="A2838" s="216">
        <f>'E M DR PAULA BUARQUE'!F14</f>
        <v/>
      </c>
      <c r="B2838" s="217">
        <f>'E M DR PAULA BUARQUE'!C14</f>
        <v/>
      </c>
    </row>
    <row r="2839" ht="15" customHeight="1" s="107">
      <c r="A2839" s="216">
        <f>'E M DR PAULA BUARQUE'!F15</f>
        <v/>
      </c>
      <c r="B2839" s="217">
        <f>'E M DR PAULA BUARQUE'!C15</f>
        <v/>
      </c>
    </row>
    <row r="2840" ht="15" customHeight="1" s="107">
      <c r="A2840" s="216">
        <f>'E M DR PAULA BUARQUE'!F16</f>
        <v/>
      </c>
      <c r="B2840" s="217">
        <f>'E M DR PAULA BUARQUE'!C16</f>
        <v/>
      </c>
    </row>
    <row r="2841" ht="15" customHeight="1" s="107">
      <c r="A2841" s="216">
        <f>'E M DR PAULA BUARQUE'!F17</f>
        <v/>
      </c>
      <c r="B2841" s="217">
        <f>'E M DR PAULA BUARQUE'!C17</f>
        <v/>
      </c>
    </row>
    <row r="2842" ht="15" customHeight="1" s="107">
      <c r="A2842" s="216">
        <f>'E M DR PAULA BUARQUE'!F18</f>
        <v/>
      </c>
      <c r="B2842" s="217">
        <f>'E M DR PAULA BUARQUE'!C18</f>
        <v/>
      </c>
    </row>
    <row r="2843" ht="15" customHeight="1" s="107">
      <c r="A2843" s="216">
        <f>'E M DR PAULA BUARQUE'!F19</f>
        <v/>
      </c>
      <c r="B2843" s="217">
        <f>'E M DR PAULA BUARQUE'!C19</f>
        <v/>
      </c>
    </row>
    <row r="2844" ht="15" customHeight="1" s="107">
      <c r="A2844" s="216">
        <f>'E M DR PAULA BUARQUE'!F20</f>
        <v/>
      </c>
      <c r="B2844" s="217">
        <f>'E M DR PAULA BUARQUE'!C20</f>
        <v/>
      </c>
    </row>
    <row r="2845" ht="15" customHeight="1" s="107">
      <c r="A2845" s="216">
        <f>'E M DR PAULA BUARQUE'!F21</f>
        <v/>
      </c>
      <c r="B2845" s="217">
        <f>'E M DR PAULA BUARQUE'!C21</f>
        <v/>
      </c>
    </row>
    <row r="2846" ht="15" customHeight="1" s="107">
      <c r="A2846" s="216">
        <f>'E M DR PAULA BUARQUE'!F22</f>
        <v/>
      </c>
      <c r="B2846" s="217">
        <f>'E M DR PAULA BUARQUE'!C22</f>
        <v/>
      </c>
    </row>
    <row r="2847" ht="15" customHeight="1" s="107">
      <c r="A2847" s="216">
        <f>'E M DR PAULA BUARQUE'!F23</f>
        <v/>
      </c>
      <c r="B2847" s="217">
        <f>'E M DR PAULA BUARQUE'!C23</f>
        <v/>
      </c>
    </row>
    <row r="2848" ht="15" customHeight="1" s="107">
      <c r="A2848" s="216">
        <f>'E M DR PAULA BUARQUE'!F24</f>
        <v/>
      </c>
      <c r="B2848" s="217">
        <f>'E M DR PAULA BUARQUE'!C24</f>
        <v/>
      </c>
    </row>
    <row r="2849" ht="15" customHeight="1" s="107">
      <c r="A2849" s="216">
        <f>'E M DR PAULA BUARQUE'!F25</f>
        <v/>
      </c>
      <c r="B2849" s="217">
        <f>'E M DR PAULA BUARQUE'!C25</f>
        <v/>
      </c>
    </row>
    <row r="2850" ht="15" customHeight="1" s="107">
      <c r="A2850" s="216">
        <f>'E M DR PAULA BUARQUE'!F26</f>
        <v/>
      </c>
      <c r="B2850" s="217">
        <f>'E M DR PAULA BUARQUE'!C26</f>
        <v/>
      </c>
    </row>
    <row r="2851" ht="15" customHeight="1" s="107">
      <c r="A2851" s="216">
        <f>'E M DR PAULA BUARQUE'!F27</f>
        <v/>
      </c>
      <c r="B2851" s="217">
        <f>'E M DR PAULA BUARQUE'!C27</f>
        <v/>
      </c>
    </row>
    <row r="2852" ht="15" customHeight="1" s="107">
      <c r="A2852" s="216">
        <f>'LICEU SÃO JOSÉ DE ITAIPAVA'!F9</f>
        <v/>
      </c>
      <c r="B2852" s="217">
        <f>'LICEU SÃO JOSÉ DE ITAIPAVA'!C9</f>
        <v/>
      </c>
    </row>
    <row r="2853" ht="15" customHeight="1" s="107">
      <c r="A2853" s="216">
        <f>'LICEU SÃO JOSÉ DE ITAIPAVA'!F10</f>
        <v/>
      </c>
      <c r="B2853" s="217">
        <f>'LICEU SÃO JOSÉ DE ITAIPAVA'!C10</f>
        <v/>
      </c>
    </row>
    <row r="2854" ht="15" customHeight="1" s="107">
      <c r="A2854" s="216">
        <f>'LICEU SÃO JOSÉ DE ITAIPAVA'!F11</f>
        <v/>
      </c>
      <c r="B2854" s="217">
        <f>'LICEU SÃO JOSÉ DE ITAIPAVA'!C11</f>
        <v/>
      </c>
    </row>
    <row r="2855" ht="15" customHeight="1" s="107">
      <c r="A2855" s="216">
        <f>'LICEU SÃO JOSÉ DE ITAIPAVA'!F12</f>
        <v/>
      </c>
      <c r="B2855" s="217">
        <f>'LICEU SÃO JOSÉ DE ITAIPAVA'!C12</f>
        <v/>
      </c>
    </row>
    <row r="2856" ht="15" customHeight="1" s="107">
      <c r="A2856" s="216">
        <f>'LICEU SÃO JOSÉ DE ITAIPAVA'!F13</f>
        <v/>
      </c>
      <c r="B2856" s="217">
        <f>'LICEU SÃO JOSÉ DE ITAIPAVA'!C13</f>
        <v/>
      </c>
    </row>
    <row r="2857" ht="15" customHeight="1" s="107">
      <c r="A2857" s="216">
        <f>'LICEU SÃO JOSÉ DE ITAIPAVA'!F14</f>
        <v/>
      </c>
      <c r="B2857" s="217">
        <f>'LICEU SÃO JOSÉ DE ITAIPAVA'!C14</f>
        <v/>
      </c>
    </row>
    <row r="2858" ht="15" customHeight="1" s="107">
      <c r="A2858" s="216">
        <f>'LICEU SÃO JOSÉ DE ITAIPAVA'!F15</f>
        <v/>
      </c>
      <c r="B2858" s="217">
        <f>'LICEU SÃO JOSÉ DE ITAIPAVA'!C15</f>
        <v/>
      </c>
    </row>
    <row r="2859" ht="15" customHeight="1" s="107">
      <c r="A2859" s="216">
        <f>'LICEU SÃO JOSÉ DE ITAIPAVA'!F16</f>
        <v/>
      </c>
      <c r="B2859" s="217">
        <f>'LICEU SÃO JOSÉ DE ITAIPAVA'!C16</f>
        <v/>
      </c>
    </row>
    <row r="2860" ht="15" customHeight="1" s="107">
      <c r="A2860" s="216">
        <f>'LICEU SÃO JOSÉ DE ITAIPAVA'!F17</f>
        <v/>
      </c>
      <c r="B2860" s="217">
        <f>'LICEU SÃO JOSÉ DE ITAIPAVA'!C17</f>
        <v/>
      </c>
    </row>
    <row r="2861" ht="15" customHeight="1" s="107">
      <c r="A2861" s="216">
        <f>'LICEU SÃO JOSÉ DE ITAIPAVA'!F18</f>
        <v/>
      </c>
      <c r="B2861" s="217">
        <f>'LICEU SÃO JOSÉ DE ITAIPAVA'!C18</f>
        <v/>
      </c>
    </row>
    <row r="2862" ht="15" customHeight="1" s="107">
      <c r="A2862" s="216">
        <f>'LICEU SÃO JOSÉ DE ITAIPAVA'!F19</f>
        <v/>
      </c>
      <c r="B2862" s="217">
        <f>'LICEU SÃO JOSÉ DE ITAIPAVA'!C19</f>
        <v/>
      </c>
    </row>
    <row r="2863" ht="15" customHeight="1" s="107">
      <c r="A2863" s="216">
        <f>'LICEU SÃO JOSÉ DE ITAIPAVA'!F20</f>
        <v/>
      </c>
      <c r="B2863" s="217">
        <f>'LICEU SÃO JOSÉ DE ITAIPAVA'!C20</f>
        <v/>
      </c>
    </row>
    <row r="2864" ht="15" customHeight="1" s="107">
      <c r="A2864" s="216">
        <f>'LICEU SÃO JOSÉ DE ITAIPAVA'!F21</f>
        <v/>
      </c>
      <c r="B2864" s="217">
        <f>'LICEU SÃO JOSÉ DE ITAIPAVA'!C21</f>
        <v/>
      </c>
    </row>
    <row r="2865" ht="15" customHeight="1" s="107">
      <c r="A2865" s="216">
        <f>'LICEU SÃO JOSÉ DE ITAIPAVA'!F22</f>
        <v/>
      </c>
      <c r="B2865" s="217">
        <f>'LICEU SÃO JOSÉ DE ITAIPAVA'!C22</f>
        <v/>
      </c>
    </row>
    <row r="2866" ht="15" customHeight="1" s="107">
      <c r="A2866" s="216">
        <f>'LICEU SÃO JOSÉ DE ITAIPAVA'!F23</f>
        <v/>
      </c>
      <c r="B2866" s="217">
        <f>'LICEU SÃO JOSÉ DE ITAIPAVA'!C23</f>
        <v/>
      </c>
    </row>
    <row r="2867" ht="15" customHeight="1" s="107">
      <c r="A2867" s="216">
        <f>'LICEU SÃO JOSÉ DE ITAIPAVA'!F24</f>
        <v/>
      </c>
      <c r="B2867" s="217">
        <f>'LICEU SÃO JOSÉ DE ITAIPAVA'!C24</f>
        <v/>
      </c>
    </row>
    <row r="2868" ht="15" customHeight="1" s="107">
      <c r="A2868" s="216">
        <f>'LICEU SÃO JOSÉ DE ITAIPAVA'!F25</f>
        <v/>
      </c>
      <c r="B2868" s="217">
        <f>'LICEU SÃO JOSÉ DE ITAIPAVA'!C25</f>
        <v/>
      </c>
    </row>
    <row r="2869" ht="15" customHeight="1" s="107">
      <c r="A2869" s="216">
        <f>'LICEU SÃO JOSÉ DE ITAIPAVA'!F26</f>
        <v/>
      </c>
      <c r="B2869" s="217">
        <f>'LICEU SÃO JOSÉ DE ITAIPAVA'!C26</f>
        <v/>
      </c>
    </row>
    <row r="2870" ht="15" customHeight="1" s="107">
      <c r="A2870" s="216">
        <f>'LICEU SÃO JOSÉ DE ITAIPAVA'!F27</f>
        <v/>
      </c>
      <c r="B2870" s="217">
        <f>'LICEU SÃO JOSÉ DE ITAIPAVA'!C27</f>
        <v/>
      </c>
    </row>
    <row r="2871" ht="15" customHeight="1" s="107">
      <c r="A2871" s="216">
        <f>'CEI LUIZ MARCHIORI'!F9</f>
        <v/>
      </c>
      <c r="B2871" s="217">
        <f>'CEI LUIZ MARCHIORI'!C9</f>
        <v/>
      </c>
    </row>
    <row r="2872" ht="15" customHeight="1" s="107">
      <c r="A2872" s="216">
        <f>'CEI LUIZ MARCHIORI'!F10</f>
        <v/>
      </c>
      <c r="B2872" s="217">
        <f>'CEI LUIZ MARCHIORI'!C10</f>
        <v/>
      </c>
    </row>
    <row r="2873" ht="15" customHeight="1" s="107">
      <c r="A2873" s="216">
        <f>'CEI LUIZ MARCHIORI'!F11</f>
        <v/>
      </c>
      <c r="B2873" s="217">
        <f>'CEI LUIZ MARCHIORI'!C11</f>
        <v/>
      </c>
    </row>
    <row r="2874" ht="15" customHeight="1" s="107">
      <c r="A2874" s="216">
        <f>'CEI LUIZ MARCHIORI'!F12</f>
        <v/>
      </c>
      <c r="B2874" s="217">
        <f>'CEI LUIZ MARCHIORI'!C12</f>
        <v/>
      </c>
    </row>
    <row r="2875" ht="15" customHeight="1" s="107">
      <c r="A2875" s="216">
        <f>'CEI LUIZ MARCHIORI'!F13</f>
        <v/>
      </c>
      <c r="B2875" s="217">
        <f>'CEI LUIZ MARCHIORI'!C13</f>
        <v/>
      </c>
    </row>
    <row r="2876" ht="15" customHeight="1" s="107">
      <c r="A2876" s="216">
        <f>'CEI LUIZ MARCHIORI'!F14</f>
        <v/>
      </c>
      <c r="B2876" s="217">
        <f>'CEI LUIZ MARCHIORI'!C14</f>
        <v/>
      </c>
    </row>
    <row r="2877" ht="15" customHeight="1" s="107">
      <c r="A2877" s="216">
        <f>'CEI LUIZ MARCHIORI'!F15</f>
        <v/>
      </c>
      <c r="B2877" s="217">
        <f>'CEI LUIZ MARCHIORI'!C15</f>
        <v/>
      </c>
    </row>
    <row r="2878" ht="15" customHeight="1" s="107">
      <c r="A2878" s="216">
        <f>'CEI LUIZ MARCHIORI'!F16</f>
        <v/>
      </c>
      <c r="B2878" s="217">
        <f>'CEI LUIZ MARCHIORI'!C16</f>
        <v/>
      </c>
    </row>
    <row r="2879" ht="15" customHeight="1" s="107">
      <c r="A2879" s="216">
        <f>'CEI LUIZ MARCHIORI'!F17</f>
        <v/>
      </c>
      <c r="B2879" s="217">
        <f>'CEI LUIZ MARCHIORI'!C17</f>
        <v/>
      </c>
    </row>
    <row r="2880" ht="15" customHeight="1" s="107">
      <c r="A2880" s="216">
        <f>'CEI LUIZ MARCHIORI'!F18</f>
        <v/>
      </c>
      <c r="B2880" s="217">
        <f>'CEI LUIZ MARCHIORI'!C18</f>
        <v/>
      </c>
    </row>
    <row r="2881" ht="15" customHeight="1" s="107">
      <c r="A2881" s="216">
        <f>'CEI LUIZ MARCHIORI'!F19</f>
        <v/>
      </c>
      <c r="B2881" s="217">
        <f>'CEI LUIZ MARCHIORI'!C19</f>
        <v/>
      </c>
    </row>
    <row r="2882" ht="15" customHeight="1" s="107">
      <c r="A2882" s="216">
        <f>'CEI LUIZ MARCHIORI'!F20</f>
        <v/>
      </c>
      <c r="B2882" s="217">
        <f>'CEI LUIZ MARCHIORI'!C20</f>
        <v/>
      </c>
    </row>
    <row r="2883" ht="15" customHeight="1" s="107">
      <c r="A2883" s="216">
        <f>'CEI LUIZ MARCHIORI'!F21</f>
        <v/>
      </c>
      <c r="B2883" s="217">
        <f>'CEI LUIZ MARCHIORI'!C21</f>
        <v/>
      </c>
    </row>
    <row r="2884" ht="15" customHeight="1" s="107">
      <c r="A2884" s="216">
        <f>'CEI LUIZ MARCHIORI'!F22</f>
        <v/>
      </c>
      <c r="B2884" s="217">
        <f>'CEI LUIZ MARCHIORI'!C22</f>
        <v/>
      </c>
    </row>
    <row r="2885" ht="15" customHeight="1" s="107">
      <c r="A2885" s="216">
        <f>'CEI LUIZ MARCHIORI'!F23</f>
        <v/>
      </c>
      <c r="B2885" s="217">
        <f>'CEI LUIZ MARCHIORI'!C23</f>
        <v/>
      </c>
    </row>
    <row r="2886" ht="15" customHeight="1" s="107">
      <c r="A2886" s="216">
        <f>'CEI LUIZ MARCHIORI'!F24</f>
        <v/>
      </c>
      <c r="B2886" s="217">
        <f>'CEI LUIZ MARCHIORI'!C24</f>
        <v/>
      </c>
    </row>
    <row r="2887" ht="15" customHeight="1" s="107">
      <c r="A2887" s="216">
        <f>'CEI LUIZ MARCHIORI'!F25</f>
        <v/>
      </c>
      <c r="B2887" s="217">
        <f>'CEI LUIZ MARCHIORI'!C25</f>
        <v/>
      </c>
    </row>
    <row r="2888" ht="15" customHeight="1" s="107">
      <c r="A2888" s="216">
        <f>'CEI LUIZ MARCHIORI'!F26</f>
        <v/>
      </c>
      <c r="B2888" s="217">
        <f>'CEI LUIZ MARCHIORI'!C26</f>
        <v/>
      </c>
    </row>
    <row r="2889" ht="15" customHeight="1" s="107">
      <c r="A2889" s="216">
        <f>'CEI LUIZ MARCHIORI'!F27</f>
        <v/>
      </c>
      <c r="B2889" s="217">
        <f>'CEI LUIZ MARCHIORI'!C27</f>
        <v/>
      </c>
    </row>
    <row r="2890" ht="15" customHeight="1" s="107">
      <c r="A2890" s="216">
        <f>'CENTRO DE EDUCAÇÃO INFANTIL AUG'!F9</f>
        <v/>
      </c>
      <c r="B2890" s="217">
        <f>'CENTRO DE EDUCAÇÃO INFANTIL AUG'!C9</f>
        <v/>
      </c>
    </row>
    <row r="2891" ht="15" customHeight="1" s="107">
      <c r="A2891" s="216">
        <f>'CENTRO DE EDUCAÇÃO INFANTIL AUG'!F10</f>
        <v/>
      </c>
      <c r="B2891" s="217">
        <f>'CENTRO DE EDUCAÇÃO INFANTIL AUG'!C10</f>
        <v/>
      </c>
    </row>
    <row r="2892" ht="15" customHeight="1" s="107">
      <c r="A2892" s="216">
        <f>'CENTRO DE EDUCAÇÃO INFANTIL AUG'!F11</f>
        <v/>
      </c>
      <c r="B2892" s="217">
        <f>'CENTRO DE EDUCAÇÃO INFANTIL AUG'!C11</f>
        <v/>
      </c>
    </row>
    <row r="2893" ht="15" customHeight="1" s="107">
      <c r="A2893" s="216">
        <f>'CENTRO DE EDUCAÇÃO INFANTIL AUG'!F12</f>
        <v/>
      </c>
      <c r="B2893" s="217">
        <f>'CENTRO DE EDUCAÇÃO INFANTIL AUG'!C12</f>
        <v/>
      </c>
    </row>
    <row r="2894" ht="15" customHeight="1" s="107">
      <c r="A2894" s="216">
        <f>'CENTRO DE EDUCAÇÃO INFANTIL AUG'!F13</f>
        <v/>
      </c>
      <c r="B2894" s="217">
        <f>'CENTRO DE EDUCAÇÃO INFANTIL AUG'!C13</f>
        <v/>
      </c>
    </row>
    <row r="2895" ht="15" customHeight="1" s="107">
      <c r="A2895" s="216">
        <f>'CENTRO DE EDUCAÇÃO INFANTIL AUG'!F14</f>
        <v/>
      </c>
      <c r="B2895" s="217">
        <f>'CENTRO DE EDUCAÇÃO INFANTIL AUG'!C14</f>
        <v/>
      </c>
    </row>
    <row r="2896" ht="15" customHeight="1" s="107">
      <c r="A2896" s="216">
        <f>'CENTRO DE EDUCAÇÃO INFANTIL AUG'!F15</f>
        <v/>
      </c>
      <c r="B2896" s="217">
        <f>'CENTRO DE EDUCAÇÃO INFANTIL AUG'!C15</f>
        <v/>
      </c>
    </row>
    <row r="2897" ht="15" customHeight="1" s="107">
      <c r="A2897" s="216">
        <f>'CENTRO DE EDUCAÇÃO INFANTIL AUG'!F16</f>
        <v/>
      </c>
      <c r="B2897" s="217">
        <f>'CENTRO DE EDUCAÇÃO INFANTIL AUG'!C16</f>
        <v/>
      </c>
    </row>
    <row r="2898" ht="15" customHeight="1" s="107">
      <c r="A2898" s="216">
        <f>'CENTRO DE EDUCAÇÃO INFANTIL AUG'!F17</f>
        <v/>
      </c>
      <c r="B2898" s="217">
        <f>'CENTRO DE EDUCAÇÃO INFANTIL AUG'!C17</f>
        <v/>
      </c>
    </row>
    <row r="2899" ht="15" customHeight="1" s="107">
      <c r="A2899" s="216">
        <f>'CENTRO DE EDUCAÇÃO INFANTIL AUG'!F18</f>
        <v/>
      </c>
      <c r="B2899" s="217">
        <f>'CENTRO DE EDUCAÇÃO INFANTIL AUG'!C18</f>
        <v/>
      </c>
    </row>
    <row r="2900" ht="15" customHeight="1" s="107">
      <c r="A2900" s="216">
        <f>'CENTRO DE EDUCAÇÃO INFANTIL AUG'!F19</f>
        <v/>
      </c>
      <c r="B2900" s="217">
        <f>'CENTRO DE EDUCAÇÃO INFANTIL AUG'!C19</f>
        <v/>
      </c>
    </row>
    <row r="2901" ht="15" customHeight="1" s="107">
      <c r="A2901" s="216">
        <f>'CENTRO DE EDUCAÇÃO INFANTIL AUG'!F20</f>
        <v/>
      </c>
      <c r="B2901" s="217">
        <f>'CENTRO DE EDUCAÇÃO INFANTIL AUG'!C20</f>
        <v/>
      </c>
    </row>
    <row r="2902" ht="15" customHeight="1" s="107">
      <c r="A2902" s="216">
        <f>'CENTRO DE EDUCAÇÃO INFANTIL AUG'!F21</f>
        <v/>
      </c>
      <c r="B2902" s="217">
        <f>'CENTRO DE EDUCAÇÃO INFANTIL AUG'!C21</f>
        <v/>
      </c>
    </row>
    <row r="2903" ht="15" customHeight="1" s="107">
      <c r="A2903" s="216">
        <f>'CENTRO DE EDUCAÇÃO INFANTIL AUG'!F22</f>
        <v/>
      </c>
      <c r="B2903" s="217">
        <f>'CENTRO DE EDUCAÇÃO INFANTIL AUG'!C22</f>
        <v/>
      </c>
    </row>
    <row r="2904" ht="15" customHeight="1" s="107">
      <c r="A2904" s="216">
        <f>'CENTRO DE EDUCAÇÃO INFANTIL AUG'!F23</f>
        <v/>
      </c>
      <c r="B2904" s="217">
        <f>'CENTRO DE EDUCAÇÃO INFANTIL AUG'!C23</f>
        <v/>
      </c>
    </row>
    <row r="2905" ht="15" customHeight="1" s="107">
      <c r="A2905" s="216">
        <f>'CENTRO DE EDUCAÇÃO INFANTIL AUG'!F24</f>
        <v/>
      </c>
      <c r="B2905" s="217">
        <f>'CENTRO DE EDUCAÇÃO INFANTIL AUG'!C24</f>
        <v/>
      </c>
    </row>
    <row r="2906" ht="15" customHeight="1" s="107">
      <c r="A2906" s="216">
        <f>'CENTRO DE EDUCAÇÃO INFANTIL AUG'!F25</f>
        <v/>
      </c>
      <c r="B2906" s="217">
        <f>'CENTRO DE EDUCAÇÃO INFANTIL AUG'!C25</f>
        <v/>
      </c>
    </row>
    <row r="2907" ht="15" customHeight="1" s="107">
      <c r="A2907" s="216">
        <f>'CENTRO DE EDUCAÇÃO INFANTIL AUG'!F26</f>
        <v/>
      </c>
      <c r="B2907" s="217">
        <f>'CENTRO DE EDUCAÇÃO INFANTIL AUG'!C26</f>
        <v/>
      </c>
    </row>
    <row r="2908" ht="15" customHeight="1" s="107">
      <c r="A2908" s="216">
        <f>'CENTRO DE EDUCAÇÃO INFANTIL AUG'!F27</f>
        <v/>
      </c>
      <c r="B2908" s="217">
        <f>'CENTRO DE EDUCAÇÃO INFANTIL AUG'!C27</f>
        <v/>
      </c>
    </row>
    <row r="2909" ht="15" customHeight="1" s="107">
      <c r="A2909" s="216">
        <f>'CEI PROFª ADRIANA CONSTÂNCIO TR'!F9</f>
        <v/>
      </c>
      <c r="B2909" s="217">
        <f>'CEI PROFª ADRIANA CONSTÂNCIO TR'!C9</f>
        <v/>
      </c>
    </row>
    <row r="2910" ht="15" customHeight="1" s="107">
      <c r="A2910" s="216">
        <f>'CEI PROFª ADRIANA CONSTÂNCIO TR'!F10</f>
        <v/>
      </c>
      <c r="B2910" s="217">
        <f>'CEI PROFª ADRIANA CONSTÂNCIO TR'!C10</f>
        <v/>
      </c>
    </row>
    <row r="2911" ht="15" customHeight="1" s="107">
      <c r="A2911" s="216">
        <f>'CEI PROFª ADRIANA CONSTÂNCIO TR'!F11</f>
        <v/>
      </c>
      <c r="B2911" s="217">
        <f>'CEI PROFª ADRIANA CONSTÂNCIO TR'!C11</f>
        <v/>
      </c>
    </row>
    <row r="2912" ht="15" customHeight="1" s="107">
      <c r="A2912" s="216">
        <f>'CEI PROFª ADRIANA CONSTÂNCIO TR'!F12</f>
        <v/>
      </c>
      <c r="B2912" s="217">
        <f>'CEI PROFª ADRIANA CONSTÂNCIO TR'!C12</f>
        <v/>
      </c>
    </row>
    <row r="2913" ht="15" customHeight="1" s="107">
      <c r="A2913" s="216">
        <f>'CEI PROFª ADRIANA CONSTÂNCIO TR'!F13</f>
        <v/>
      </c>
      <c r="B2913" s="217">
        <f>'CEI PROFª ADRIANA CONSTÂNCIO TR'!C13</f>
        <v/>
      </c>
    </row>
    <row r="2914" ht="15" customHeight="1" s="107">
      <c r="A2914" s="216">
        <f>'CEI PROFª ADRIANA CONSTÂNCIO TR'!F14</f>
        <v/>
      </c>
      <c r="B2914" s="217">
        <f>'CEI PROFª ADRIANA CONSTÂNCIO TR'!C14</f>
        <v/>
      </c>
    </row>
    <row r="2915" ht="15" customHeight="1" s="107">
      <c r="A2915" s="216">
        <f>'CEI PROFª ADRIANA CONSTÂNCIO TR'!F15</f>
        <v/>
      </c>
      <c r="B2915" s="217">
        <f>'CEI PROFª ADRIANA CONSTÂNCIO TR'!C15</f>
        <v/>
      </c>
    </row>
    <row r="2916" ht="15" customHeight="1" s="107">
      <c r="A2916" s="216">
        <f>'CEI PROFª ADRIANA CONSTÂNCIO TR'!F16</f>
        <v/>
      </c>
      <c r="B2916" s="217">
        <f>'CEI PROFª ADRIANA CONSTÂNCIO TR'!C16</f>
        <v/>
      </c>
    </row>
    <row r="2917" ht="15" customHeight="1" s="107">
      <c r="A2917" s="216">
        <f>'CEI PROFª ADRIANA CONSTÂNCIO TR'!F17</f>
        <v/>
      </c>
      <c r="B2917" s="217">
        <f>'CEI PROFª ADRIANA CONSTÂNCIO TR'!C17</f>
        <v/>
      </c>
    </row>
    <row r="2918" ht="15" customHeight="1" s="107">
      <c r="A2918" s="216">
        <f>'CEI PROFª ADRIANA CONSTÂNCIO TR'!F18</f>
        <v/>
      </c>
      <c r="B2918" s="217">
        <f>'CEI PROFª ADRIANA CONSTÂNCIO TR'!C18</f>
        <v/>
      </c>
    </row>
    <row r="2919" ht="15" customHeight="1" s="107">
      <c r="A2919" s="216">
        <f>'CEI PROFª ADRIANA CONSTÂNCIO TR'!F19</f>
        <v/>
      </c>
      <c r="B2919" s="217">
        <f>'CEI PROFª ADRIANA CONSTÂNCIO TR'!C19</f>
        <v/>
      </c>
    </row>
    <row r="2920" ht="15" customHeight="1" s="107">
      <c r="A2920" s="216">
        <f>'CEI PROFª ADRIANA CONSTÂNCIO TR'!F20</f>
        <v/>
      </c>
      <c r="B2920" s="217">
        <f>'CEI PROFª ADRIANA CONSTÂNCIO TR'!C20</f>
        <v/>
      </c>
    </row>
    <row r="2921" ht="15" customHeight="1" s="107">
      <c r="A2921" s="216">
        <f>'CEI PROFª ADRIANA CONSTÂNCIO TR'!F21</f>
        <v/>
      </c>
      <c r="B2921" s="217">
        <f>'CEI PROFª ADRIANA CONSTÂNCIO TR'!C21</f>
        <v/>
      </c>
    </row>
    <row r="2922" ht="15" customHeight="1" s="107">
      <c r="A2922" s="216">
        <f>'CEI PROFª ADRIANA CONSTÂNCIO TR'!F22</f>
        <v/>
      </c>
      <c r="B2922" s="217">
        <f>'CEI PROFª ADRIANA CONSTÂNCIO TR'!C22</f>
        <v/>
      </c>
    </row>
    <row r="2923" ht="15" customHeight="1" s="107">
      <c r="A2923" s="216">
        <f>'CEI PROFª ADRIANA CONSTÂNCIO TR'!F23</f>
        <v/>
      </c>
      <c r="B2923" s="217">
        <f>'CEI PROFª ADRIANA CONSTÂNCIO TR'!C23</f>
        <v/>
      </c>
    </row>
    <row r="2924" ht="15" customHeight="1" s="107">
      <c r="A2924" s="216">
        <f>'CEI PROFª ADRIANA CONSTÂNCIO TR'!F24</f>
        <v/>
      </c>
      <c r="B2924" s="217">
        <f>'CEI PROFª ADRIANA CONSTÂNCIO TR'!C24</f>
        <v/>
      </c>
    </row>
    <row r="2925" ht="15" customHeight="1" s="107">
      <c r="A2925" s="216">
        <f>'CEI PROFª ADRIANA CONSTÂNCIO TR'!F25</f>
        <v/>
      </c>
      <c r="B2925" s="217">
        <f>'CEI PROFª ADRIANA CONSTÂNCIO TR'!C25</f>
        <v/>
      </c>
    </row>
    <row r="2926" ht="15" customHeight="1" s="107">
      <c r="A2926" s="216">
        <f>'CEI PROFª ADRIANA CONSTÂNCIO TR'!F26</f>
        <v/>
      </c>
      <c r="B2926" s="217">
        <f>'CEI PROFª ADRIANA CONSTÂNCIO TR'!C26</f>
        <v/>
      </c>
    </row>
    <row r="2927" ht="15" customHeight="1" s="107">
      <c r="A2927" s="216">
        <f>'CEI PROFª ADRIANA CONSTÂNCIO TR'!F27</f>
        <v/>
      </c>
      <c r="B2927" s="217">
        <f>'CEI PROFª ADRIANA CONSTÂNCIO TR'!C27</f>
        <v/>
      </c>
    </row>
    <row r="2928" ht="15" customHeight="1" s="107">
      <c r="A2928" s="216">
        <f>'E M AMÉLIA ANTUNES RABELLO'!F9</f>
        <v/>
      </c>
      <c r="B2928" s="217">
        <f>'E M AMÉLIA ANTUNES RABELLO'!C9</f>
        <v/>
      </c>
    </row>
    <row r="2929" ht="15" customHeight="1" s="107">
      <c r="A2929" s="216">
        <f>'E M AMÉLIA ANTUNES RABELLO'!F10</f>
        <v/>
      </c>
      <c r="B2929" s="217">
        <f>'E M AMÉLIA ANTUNES RABELLO'!C10</f>
        <v/>
      </c>
    </row>
    <row r="2930" ht="15" customHeight="1" s="107">
      <c r="A2930" s="216">
        <f>'E M AMÉLIA ANTUNES RABELLO'!F11</f>
        <v/>
      </c>
      <c r="B2930" s="217">
        <f>'E M AMÉLIA ANTUNES RABELLO'!C11</f>
        <v/>
      </c>
    </row>
    <row r="2931" ht="15" customHeight="1" s="107">
      <c r="A2931" s="216">
        <f>'E M AMÉLIA ANTUNES RABELLO'!F12</f>
        <v/>
      </c>
      <c r="B2931" s="217">
        <f>'E M AMÉLIA ANTUNES RABELLO'!C12</f>
        <v/>
      </c>
    </row>
    <row r="2932" ht="15" customHeight="1" s="107">
      <c r="A2932" s="216">
        <f>'E M AMÉLIA ANTUNES RABELLO'!F13</f>
        <v/>
      </c>
      <c r="B2932" s="217">
        <f>'E M AMÉLIA ANTUNES RABELLO'!C13</f>
        <v/>
      </c>
    </row>
    <row r="2933" ht="15" customHeight="1" s="107">
      <c r="A2933" s="216">
        <f>'E M AMÉLIA ANTUNES RABELLO'!F14</f>
        <v/>
      </c>
      <c r="B2933" s="217">
        <f>'E M AMÉLIA ANTUNES RABELLO'!C14</f>
        <v/>
      </c>
    </row>
    <row r="2934" ht="15" customHeight="1" s="107">
      <c r="A2934" s="216">
        <f>'E M AMÉLIA ANTUNES RABELLO'!F15</f>
        <v/>
      </c>
      <c r="B2934" s="217">
        <f>'E M AMÉLIA ANTUNES RABELLO'!C15</f>
        <v/>
      </c>
    </row>
    <row r="2935" ht="15" customHeight="1" s="107">
      <c r="A2935" s="216">
        <f>'E M AMÉLIA ANTUNES RABELLO'!F16</f>
        <v/>
      </c>
      <c r="B2935" s="217">
        <f>'E M AMÉLIA ANTUNES RABELLO'!C16</f>
        <v/>
      </c>
    </row>
    <row r="2936" ht="15" customHeight="1" s="107">
      <c r="A2936" s="216">
        <f>'E M AMÉLIA ANTUNES RABELLO'!F17</f>
        <v/>
      </c>
      <c r="B2936" s="217">
        <f>'E M AMÉLIA ANTUNES RABELLO'!C17</f>
        <v/>
      </c>
    </row>
    <row r="2937" ht="15" customHeight="1" s="107">
      <c r="A2937" s="216">
        <f>'E M AMÉLIA ANTUNES RABELLO'!F18</f>
        <v/>
      </c>
      <c r="B2937" s="217">
        <f>'E M AMÉLIA ANTUNES RABELLO'!C18</f>
        <v/>
      </c>
    </row>
    <row r="2938" ht="15" customHeight="1" s="107">
      <c r="A2938" s="216">
        <f>'E M AMÉLIA ANTUNES RABELLO'!F19</f>
        <v/>
      </c>
      <c r="B2938" s="217">
        <f>'E M AMÉLIA ANTUNES RABELLO'!C19</f>
        <v/>
      </c>
    </row>
    <row r="2939" ht="15" customHeight="1" s="107">
      <c r="A2939" s="216">
        <f>'E M AMÉLIA ANTUNES RABELLO'!F20</f>
        <v/>
      </c>
      <c r="B2939" s="217">
        <f>'E M AMÉLIA ANTUNES RABELLO'!C20</f>
        <v/>
      </c>
    </row>
    <row r="2940" ht="15" customHeight="1" s="107">
      <c r="A2940" s="216">
        <f>'E M AMÉLIA ANTUNES RABELLO'!F21</f>
        <v/>
      </c>
      <c r="B2940" s="217">
        <f>'E M AMÉLIA ANTUNES RABELLO'!C21</f>
        <v/>
      </c>
    </row>
    <row r="2941" ht="15" customHeight="1" s="107">
      <c r="A2941" s="216">
        <f>'E M AMÉLIA ANTUNES RABELLO'!F22</f>
        <v/>
      </c>
      <c r="B2941" s="217">
        <f>'E M AMÉLIA ANTUNES RABELLO'!C22</f>
        <v/>
      </c>
    </row>
    <row r="2942" ht="15" customHeight="1" s="107">
      <c r="A2942" s="216">
        <f>'E M AMÉLIA ANTUNES RABELLO'!F23</f>
        <v/>
      </c>
      <c r="B2942" s="217">
        <f>'E M AMÉLIA ANTUNES RABELLO'!C23</f>
        <v/>
      </c>
    </row>
    <row r="2943" ht="15" customHeight="1" s="107">
      <c r="A2943" s="216">
        <f>'E M AMÉLIA ANTUNES RABELLO'!F24</f>
        <v/>
      </c>
      <c r="B2943" s="217">
        <f>'E M AMÉLIA ANTUNES RABELLO'!C24</f>
        <v/>
      </c>
    </row>
    <row r="2944" ht="15" customHeight="1" s="107">
      <c r="A2944" s="216">
        <f>'E M AMÉLIA ANTUNES RABELLO'!F25</f>
        <v/>
      </c>
      <c r="B2944" s="217">
        <f>'E M AMÉLIA ANTUNES RABELLO'!C25</f>
        <v/>
      </c>
    </row>
    <row r="2945" ht="15" customHeight="1" s="107">
      <c r="A2945" s="216">
        <f>'E M AMÉLIA ANTUNES RABELLO'!F26</f>
        <v/>
      </c>
      <c r="B2945" s="217">
        <f>'E M AMÉLIA ANTUNES RABELLO'!C26</f>
        <v/>
      </c>
    </row>
    <row r="2946" ht="15" customHeight="1" s="107">
      <c r="A2946" s="216">
        <f>'E M AMÉLIA ANTUNES RABELLO'!F27</f>
        <v/>
      </c>
      <c r="B2946" s="217">
        <f>'E M AMÉLIA ANTUNES RABELLO'!C27</f>
        <v/>
      </c>
    </row>
    <row r="2947" ht="15" customHeight="1" s="107">
      <c r="A2947" s="216">
        <f>'CEI PREFEITO SÉRGIO FADEL'!F9</f>
        <v/>
      </c>
      <c r="B2947" s="217">
        <f>'CEI PREFEITO SÉRGIO FADEL'!C9</f>
        <v/>
      </c>
    </row>
    <row r="2948" ht="15" customHeight="1" s="107">
      <c r="A2948" s="216">
        <f>'CEI PREFEITO SÉRGIO FADEL'!F10</f>
        <v/>
      </c>
      <c r="B2948" s="217">
        <f>'CEI PREFEITO SÉRGIO FADEL'!C10</f>
        <v/>
      </c>
    </row>
    <row r="2949" ht="15" customHeight="1" s="107">
      <c r="A2949" s="216">
        <f>'CEI PREFEITO SÉRGIO FADEL'!F11</f>
        <v/>
      </c>
      <c r="B2949" s="217">
        <f>'CEI PREFEITO SÉRGIO FADEL'!C11</f>
        <v/>
      </c>
    </row>
    <row r="2950" ht="15" customHeight="1" s="107">
      <c r="A2950" s="216">
        <f>'CEI PREFEITO SÉRGIO FADEL'!F12</f>
        <v/>
      </c>
      <c r="B2950" s="217">
        <f>'CEI PREFEITO SÉRGIO FADEL'!C12</f>
        <v/>
      </c>
    </row>
    <row r="2951" ht="15" customHeight="1" s="107">
      <c r="A2951" s="216">
        <f>'CEI PREFEITO SÉRGIO FADEL'!F13</f>
        <v/>
      </c>
      <c r="B2951" s="217">
        <f>'CEI PREFEITO SÉRGIO FADEL'!C13</f>
        <v/>
      </c>
    </row>
    <row r="2952" ht="15" customHeight="1" s="107">
      <c r="A2952" s="216">
        <f>'CEI PREFEITO SÉRGIO FADEL'!F14</f>
        <v/>
      </c>
      <c r="B2952" s="217">
        <f>'CEI PREFEITO SÉRGIO FADEL'!C14</f>
        <v/>
      </c>
    </row>
    <row r="2953" ht="15" customHeight="1" s="107">
      <c r="A2953" s="216">
        <f>'CEI PREFEITO SÉRGIO FADEL'!F15</f>
        <v/>
      </c>
      <c r="B2953" s="217">
        <f>'CEI PREFEITO SÉRGIO FADEL'!C15</f>
        <v/>
      </c>
    </row>
    <row r="2954" ht="15" customHeight="1" s="107">
      <c r="A2954" s="216">
        <f>'CEI PREFEITO SÉRGIO FADEL'!F16</f>
        <v/>
      </c>
      <c r="B2954" s="217">
        <f>'CEI PREFEITO SÉRGIO FADEL'!C16</f>
        <v/>
      </c>
    </row>
    <row r="2955" ht="15" customHeight="1" s="107">
      <c r="A2955" s="216">
        <f>'CEI PREFEITO SÉRGIO FADEL'!F17</f>
        <v/>
      </c>
      <c r="B2955" s="217">
        <f>'CEI PREFEITO SÉRGIO FADEL'!C17</f>
        <v/>
      </c>
    </row>
    <row r="2956" ht="15" customHeight="1" s="107">
      <c r="A2956" s="216">
        <f>'CEI PREFEITO SÉRGIO FADEL'!F18</f>
        <v/>
      </c>
      <c r="B2956" s="217">
        <f>'CEI PREFEITO SÉRGIO FADEL'!C18</f>
        <v/>
      </c>
    </row>
    <row r="2957" ht="15" customHeight="1" s="107">
      <c r="A2957" s="216">
        <f>'CEI PREFEITO SÉRGIO FADEL'!F19</f>
        <v/>
      </c>
      <c r="B2957" s="217">
        <f>'CEI PREFEITO SÉRGIO FADEL'!C19</f>
        <v/>
      </c>
    </row>
    <row r="2958" ht="15" customHeight="1" s="107">
      <c r="A2958" s="216">
        <f>'CEI PREFEITO SÉRGIO FADEL'!F20</f>
        <v/>
      </c>
      <c r="B2958" s="217">
        <f>'CEI PREFEITO SÉRGIO FADEL'!C20</f>
        <v/>
      </c>
    </row>
    <row r="2959" ht="15" customHeight="1" s="107">
      <c r="A2959" s="216">
        <f>'CEI PREFEITO SÉRGIO FADEL'!F21</f>
        <v/>
      </c>
      <c r="B2959" s="217">
        <f>'CEI PREFEITO SÉRGIO FADEL'!C21</f>
        <v/>
      </c>
    </row>
    <row r="2960" ht="15" customHeight="1" s="107">
      <c r="A2960" s="216">
        <f>'CEI PREFEITO SÉRGIO FADEL'!F22</f>
        <v/>
      </c>
      <c r="B2960" s="217">
        <f>'CEI PREFEITO SÉRGIO FADEL'!C22</f>
        <v/>
      </c>
    </row>
    <row r="2961" ht="15" customHeight="1" s="107">
      <c r="A2961" s="216">
        <f>'CEI PREFEITO SÉRGIO FADEL'!F23</f>
        <v/>
      </c>
      <c r="B2961" s="217">
        <f>'CEI PREFEITO SÉRGIO FADEL'!C23</f>
        <v/>
      </c>
    </row>
    <row r="2962" ht="15" customHeight="1" s="107">
      <c r="A2962" s="216">
        <f>'CEI PREFEITO SÉRGIO FADEL'!F24</f>
        <v/>
      </c>
      <c r="B2962" s="217">
        <f>'CEI PREFEITO SÉRGIO FADEL'!C24</f>
        <v/>
      </c>
    </row>
    <row r="2963" ht="15" customHeight="1" s="107">
      <c r="A2963" s="216">
        <f>'CEI PREFEITO SÉRGIO FADEL'!F25</f>
        <v/>
      </c>
      <c r="B2963" s="217">
        <f>'CEI PREFEITO SÉRGIO FADEL'!C25</f>
        <v/>
      </c>
    </row>
    <row r="2964" ht="15" customHeight="1" s="107">
      <c r="A2964" s="216">
        <f>'CEI PREFEITO SÉRGIO FADEL'!F26</f>
        <v/>
      </c>
      <c r="B2964" s="217">
        <f>'CEI PREFEITO SÉRGIO FADEL'!C26</f>
        <v/>
      </c>
    </row>
    <row r="2965" ht="15" customHeight="1" s="107">
      <c r="A2965" s="216">
        <f>'CEI PREFEITO SÉRGIO FADEL'!F27</f>
        <v/>
      </c>
      <c r="B2965" s="217">
        <f>'CEI PREFEITO SÉRGIO FADEL'!C27</f>
        <v/>
      </c>
    </row>
    <row r="2966" ht="15" customHeight="1" s="107">
      <c r="A2966" s="216">
        <f>'E M DR THEODORO MACHADO'!F9</f>
        <v/>
      </c>
      <c r="B2966" s="217">
        <f>'E M DR THEODORO MACHADO'!C9</f>
        <v/>
      </c>
    </row>
    <row r="2967" ht="15" customHeight="1" s="107">
      <c r="A2967" s="216">
        <f>'E M DR THEODORO MACHADO'!F10</f>
        <v/>
      </c>
      <c r="B2967" s="217">
        <f>'E M DR THEODORO MACHADO'!C10</f>
        <v/>
      </c>
    </row>
    <row r="2968" ht="15" customHeight="1" s="107">
      <c r="A2968" s="216">
        <f>'E M DR THEODORO MACHADO'!F11</f>
        <v/>
      </c>
      <c r="B2968" s="217">
        <f>'E M DR THEODORO MACHADO'!C11</f>
        <v/>
      </c>
    </row>
    <row r="2969" ht="15" customHeight="1" s="107">
      <c r="A2969" s="216">
        <f>'E M DR THEODORO MACHADO'!F12</f>
        <v/>
      </c>
      <c r="B2969" s="217">
        <f>'E M DR THEODORO MACHADO'!C12</f>
        <v/>
      </c>
    </row>
    <row r="2970" ht="15" customHeight="1" s="107">
      <c r="A2970" s="216">
        <f>'E M DR THEODORO MACHADO'!F13</f>
        <v/>
      </c>
      <c r="B2970" s="217">
        <f>'E M DR THEODORO MACHADO'!C13</f>
        <v/>
      </c>
    </row>
    <row r="2971" ht="15" customHeight="1" s="107">
      <c r="A2971" s="216">
        <f>'E M DR THEODORO MACHADO'!F14</f>
        <v/>
      </c>
      <c r="B2971" s="217">
        <f>'E M DR THEODORO MACHADO'!C14</f>
        <v/>
      </c>
    </row>
    <row r="2972" ht="15" customHeight="1" s="107">
      <c r="A2972" s="216">
        <f>'E M DR THEODORO MACHADO'!F15</f>
        <v/>
      </c>
      <c r="B2972" s="217">
        <f>'E M DR THEODORO MACHADO'!C15</f>
        <v/>
      </c>
    </row>
    <row r="2973" ht="15" customHeight="1" s="107">
      <c r="A2973" s="216">
        <f>'E M DR THEODORO MACHADO'!F16</f>
        <v/>
      </c>
      <c r="B2973" s="217">
        <f>'E M DR THEODORO MACHADO'!C16</f>
        <v/>
      </c>
    </row>
    <row r="2974" ht="15" customHeight="1" s="107">
      <c r="A2974" s="216">
        <f>'E M DR THEODORO MACHADO'!F17</f>
        <v/>
      </c>
      <c r="B2974" s="217">
        <f>'E M DR THEODORO MACHADO'!C17</f>
        <v/>
      </c>
    </row>
    <row r="2975" ht="15" customHeight="1" s="107">
      <c r="A2975" s="216">
        <f>'E M DR THEODORO MACHADO'!F18</f>
        <v/>
      </c>
      <c r="B2975" s="217">
        <f>'E M DR THEODORO MACHADO'!C18</f>
        <v/>
      </c>
    </row>
    <row r="2976" ht="15" customHeight="1" s="107">
      <c r="A2976" s="216">
        <f>'E M DR THEODORO MACHADO'!F19</f>
        <v/>
      </c>
      <c r="B2976" s="217">
        <f>'E M DR THEODORO MACHADO'!C19</f>
        <v/>
      </c>
    </row>
    <row r="2977" ht="15" customHeight="1" s="107">
      <c r="A2977" s="216">
        <f>'E M DR THEODORO MACHADO'!F20</f>
        <v/>
      </c>
      <c r="B2977" s="217">
        <f>'E M DR THEODORO MACHADO'!C20</f>
        <v/>
      </c>
    </row>
    <row r="2978" ht="15" customHeight="1" s="107">
      <c r="A2978" s="216">
        <f>'E M DR THEODORO MACHADO'!F21</f>
        <v/>
      </c>
      <c r="B2978" s="217">
        <f>'E M DR THEODORO MACHADO'!C21</f>
        <v/>
      </c>
    </row>
    <row r="2979" ht="15" customHeight="1" s="107">
      <c r="A2979" s="216">
        <f>'E M DR THEODORO MACHADO'!F22</f>
        <v/>
      </c>
      <c r="B2979" s="217">
        <f>'E M DR THEODORO MACHADO'!C22</f>
        <v/>
      </c>
    </row>
    <row r="2980" ht="15" customHeight="1" s="107">
      <c r="A2980" s="216">
        <f>'E M DR THEODORO MACHADO'!F23</f>
        <v/>
      </c>
      <c r="B2980" s="217">
        <f>'E M DR THEODORO MACHADO'!C23</f>
        <v/>
      </c>
    </row>
    <row r="2981" ht="15" customHeight="1" s="107">
      <c r="A2981" s="216">
        <f>'E M DR THEODORO MACHADO'!F24</f>
        <v/>
      </c>
      <c r="B2981" s="217">
        <f>'E M DR THEODORO MACHADO'!C24</f>
        <v/>
      </c>
    </row>
    <row r="2982" ht="15" customHeight="1" s="107">
      <c r="A2982" s="216">
        <f>'E M DR THEODORO MACHADO'!F25</f>
        <v/>
      </c>
      <c r="B2982" s="217">
        <f>'E M DR THEODORO MACHADO'!C25</f>
        <v/>
      </c>
    </row>
    <row r="2983" ht="15" customHeight="1" s="107">
      <c r="A2983" s="216">
        <f>'E M DR THEODORO MACHADO'!F26</f>
        <v/>
      </c>
      <c r="B2983" s="217">
        <f>'E M DR THEODORO MACHADO'!C26</f>
        <v/>
      </c>
    </row>
    <row r="2984" ht="15" customHeight="1" s="107">
      <c r="A2984" s="216">
        <f>'E M DR THEODORO MACHADO'!F27</f>
        <v/>
      </c>
      <c r="B2984" s="217">
        <f>'E M DR THEODORO MACHADO'!C27</f>
        <v/>
      </c>
    </row>
    <row r="2985" ht="15" customHeight="1" s="107">
      <c r="A2985" s="216">
        <f>'ESCOLA SANTO ANTÔNIO'!F9</f>
        <v/>
      </c>
      <c r="B2985" s="217">
        <f>'ESCOLA SANTO ANTÔNIO'!C9</f>
        <v/>
      </c>
    </row>
    <row r="2986" ht="15" customHeight="1" s="107">
      <c r="A2986" s="216">
        <f>'ESCOLA SANTO ANTÔNIO'!F10</f>
        <v/>
      </c>
      <c r="B2986" s="217">
        <f>'ESCOLA SANTO ANTÔNIO'!C10</f>
        <v/>
      </c>
    </row>
    <row r="2987" ht="15" customHeight="1" s="107">
      <c r="A2987" s="216">
        <f>'ESCOLA SANTO ANTÔNIO'!F11</f>
        <v/>
      </c>
      <c r="B2987" s="217">
        <f>'ESCOLA SANTO ANTÔNIO'!C11</f>
        <v/>
      </c>
    </row>
    <row r="2988" ht="15" customHeight="1" s="107">
      <c r="A2988" s="216">
        <f>'ESCOLA SANTO ANTÔNIO'!F12</f>
        <v/>
      </c>
      <c r="B2988" s="217">
        <f>'ESCOLA SANTO ANTÔNIO'!C12</f>
        <v/>
      </c>
    </row>
    <row r="2989" ht="15" customHeight="1" s="107">
      <c r="A2989" s="216">
        <f>'ESCOLA SANTO ANTÔNIO'!F13</f>
        <v/>
      </c>
      <c r="B2989" s="217">
        <f>'ESCOLA SANTO ANTÔNIO'!C13</f>
        <v/>
      </c>
    </row>
    <row r="2990" ht="15" customHeight="1" s="107">
      <c r="A2990" s="216">
        <f>'ESCOLA SANTO ANTÔNIO'!F14</f>
        <v/>
      </c>
      <c r="B2990" s="217">
        <f>'ESCOLA SANTO ANTÔNIO'!C14</f>
        <v/>
      </c>
    </row>
    <row r="2991" ht="15" customHeight="1" s="107">
      <c r="A2991" s="216">
        <f>'ESCOLA SANTO ANTÔNIO'!F15</f>
        <v/>
      </c>
      <c r="B2991" s="217">
        <f>'ESCOLA SANTO ANTÔNIO'!C15</f>
        <v/>
      </c>
    </row>
    <row r="2992" ht="15" customHeight="1" s="107">
      <c r="A2992" s="216">
        <f>'ESCOLA SANTO ANTÔNIO'!F16</f>
        <v/>
      </c>
      <c r="B2992" s="217">
        <f>'ESCOLA SANTO ANTÔNIO'!C16</f>
        <v/>
      </c>
    </row>
    <row r="2993" ht="15" customHeight="1" s="107">
      <c r="A2993" s="216">
        <f>'ESCOLA SANTO ANTÔNIO'!F17</f>
        <v/>
      </c>
      <c r="B2993" s="217">
        <f>'ESCOLA SANTO ANTÔNIO'!C17</f>
        <v/>
      </c>
    </row>
    <row r="2994" ht="15" customHeight="1" s="107">
      <c r="A2994" s="216">
        <f>'ESCOLA SANTO ANTÔNIO'!F18</f>
        <v/>
      </c>
      <c r="B2994" s="217">
        <f>'ESCOLA SANTO ANTÔNIO'!C18</f>
        <v/>
      </c>
    </row>
    <row r="2995" ht="15" customHeight="1" s="107">
      <c r="A2995" s="216">
        <f>'ESCOLA SANTO ANTÔNIO'!F19</f>
        <v/>
      </c>
      <c r="B2995" s="217">
        <f>'ESCOLA SANTO ANTÔNIO'!C19</f>
        <v/>
      </c>
    </row>
    <row r="2996" ht="15" customHeight="1" s="107">
      <c r="A2996" s="216">
        <f>'ESCOLA SANTO ANTÔNIO'!F20</f>
        <v/>
      </c>
      <c r="B2996" s="217">
        <f>'ESCOLA SANTO ANTÔNIO'!C20</f>
        <v/>
      </c>
    </row>
    <row r="2997" ht="15" customHeight="1" s="107">
      <c r="A2997" s="216">
        <f>'ESCOLA SANTO ANTÔNIO'!F21</f>
        <v/>
      </c>
      <c r="B2997" s="217">
        <f>'ESCOLA SANTO ANTÔNIO'!C21</f>
        <v/>
      </c>
    </row>
    <row r="2998" ht="15" customHeight="1" s="107">
      <c r="A2998" s="216">
        <f>'ESCOLA SANTO ANTÔNIO'!F22</f>
        <v/>
      </c>
      <c r="B2998" s="217">
        <f>'ESCOLA SANTO ANTÔNIO'!C22</f>
        <v/>
      </c>
    </row>
    <row r="2999" ht="15" customHeight="1" s="107">
      <c r="A2999" s="216">
        <f>'ESCOLA SANTO ANTÔNIO'!F23</f>
        <v/>
      </c>
      <c r="B2999" s="217">
        <f>'ESCOLA SANTO ANTÔNIO'!C23</f>
        <v/>
      </c>
    </row>
    <row r="3000" ht="15" customHeight="1" s="107">
      <c r="A3000" s="216">
        <f>'ESCOLA SANTO ANTÔNIO'!F24</f>
        <v/>
      </c>
      <c r="B3000" s="217">
        <f>'ESCOLA SANTO ANTÔNIO'!C24</f>
        <v/>
      </c>
    </row>
    <row r="3001" ht="15" customHeight="1" s="107">
      <c r="A3001" s="216">
        <f>'ESCOLA SANTO ANTÔNIO'!F25</f>
        <v/>
      </c>
      <c r="B3001" s="217">
        <f>'ESCOLA SANTO ANTÔNIO'!C25</f>
        <v/>
      </c>
    </row>
    <row r="3002" ht="15" customHeight="1" s="107">
      <c r="A3002" s="216">
        <f>'ESCOLA SANTO ANTÔNIO'!F26</f>
        <v/>
      </c>
      <c r="B3002" s="217">
        <f>'ESCOLA SANTO ANTÔNIO'!C26</f>
        <v/>
      </c>
    </row>
    <row r="3003" ht="15" customHeight="1" s="107">
      <c r="A3003" s="216">
        <f>'ESCOLA SANTO ANTÔNIO'!F27</f>
        <v/>
      </c>
      <c r="B3003" s="217">
        <f>'ESCOLA SANTO ANTÔNIO'!C27</f>
        <v/>
      </c>
    </row>
    <row r="3004" ht="15" customHeight="1" s="107">
      <c r="A3004" s="216">
        <f>'E M TAQUARIL'!F9</f>
        <v/>
      </c>
      <c r="B3004" s="217">
        <f>'E M TAQUARIL'!C9</f>
        <v/>
      </c>
    </row>
    <row r="3005" ht="15" customHeight="1" s="107">
      <c r="A3005" s="216">
        <f>'E M TAQUARIL'!F10</f>
        <v/>
      </c>
      <c r="B3005" s="217">
        <f>'E M TAQUARIL'!C10</f>
        <v/>
      </c>
    </row>
    <row r="3006" ht="15" customHeight="1" s="107">
      <c r="A3006" s="216">
        <f>'E M TAQUARIL'!F11</f>
        <v/>
      </c>
      <c r="B3006" s="217">
        <f>'E M TAQUARIL'!C11</f>
        <v/>
      </c>
    </row>
    <row r="3007" ht="15" customHeight="1" s="107">
      <c r="A3007" s="216">
        <f>'E M TAQUARIL'!F12</f>
        <v/>
      </c>
      <c r="B3007" s="217">
        <f>'E M TAQUARIL'!C12</f>
        <v/>
      </c>
    </row>
    <row r="3008" ht="15" customHeight="1" s="107">
      <c r="A3008" s="216">
        <f>'E M TAQUARIL'!F13</f>
        <v/>
      </c>
      <c r="B3008" s="217">
        <f>'E M TAQUARIL'!C13</f>
        <v/>
      </c>
    </row>
    <row r="3009" ht="15" customHeight="1" s="107">
      <c r="A3009" s="216">
        <f>'E M TAQUARIL'!F14</f>
        <v/>
      </c>
      <c r="B3009" s="217">
        <f>'E M TAQUARIL'!C14</f>
        <v/>
      </c>
    </row>
    <row r="3010" ht="15" customHeight="1" s="107">
      <c r="A3010" s="216">
        <f>'E M TAQUARIL'!F15</f>
        <v/>
      </c>
      <c r="B3010" s="217">
        <f>'E M TAQUARIL'!C15</f>
        <v/>
      </c>
    </row>
    <row r="3011" ht="15" customHeight="1" s="107">
      <c r="A3011" s="216">
        <f>'E M TAQUARIL'!F16</f>
        <v/>
      </c>
      <c r="B3011" s="217">
        <f>'E M TAQUARIL'!C16</f>
        <v/>
      </c>
    </row>
    <row r="3012" ht="15" customHeight="1" s="107">
      <c r="A3012" s="216">
        <f>'E M TAQUARIL'!F17</f>
        <v/>
      </c>
      <c r="B3012" s="217">
        <f>'E M TAQUARIL'!C17</f>
        <v/>
      </c>
    </row>
    <row r="3013" ht="15" customHeight="1" s="107">
      <c r="A3013" s="216">
        <f>'E M TAQUARIL'!F18</f>
        <v/>
      </c>
      <c r="B3013" s="217">
        <f>'E M TAQUARIL'!C18</f>
        <v/>
      </c>
    </row>
    <row r="3014" ht="15" customHeight="1" s="107">
      <c r="A3014" s="216">
        <f>'E M TAQUARIL'!F19</f>
        <v/>
      </c>
      <c r="B3014" s="217">
        <f>'E M TAQUARIL'!C19</f>
        <v/>
      </c>
    </row>
    <row r="3015" ht="15" customHeight="1" s="107">
      <c r="A3015" s="216">
        <f>'E M TAQUARIL'!F20</f>
        <v/>
      </c>
      <c r="B3015" s="217">
        <f>'E M TAQUARIL'!C20</f>
        <v/>
      </c>
    </row>
    <row r="3016" ht="15" customHeight="1" s="107">
      <c r="A3016" s="216">
        <f>'E M TAQUARIL'!F21</f>
        <v/>
      </c>
      <c r="B3016" s="217">
        <f>'E M TAQUARIL'!C21</f>
        <v/>
      </c>
    </row>
    <row r="3017" ht="15" customHeight="1" s="107">
      <c r="A3017" s="216">
        <f>'E M TAQUARIL'!F22</f>
        <v/>
      </c>
      <c r="B3017" s="217">
        <f>'E M TAQUARIL'!C22</f>
        <v/>
      </c>
    </row>
    <row r="3018" ht="15" customHeight="1" s="107">
      <c r="A3018" s="216">
        <f>'E M TAQUARIL'!F23</f>
        <v/>
      </c>
      <c r="B3018" s="217">
        <f>'E M TAQUARIL'!C23</f>
        <v/>
      </c>
    </row>
    <row r="3019" ht="15" customHeight="1" s="107">
      <c r="A3019" s="216">
        <f>'E M TAQUARIL'!F24</f>
        <v/>
      </c>
      <c r="B3019" s="217">
        <f>'E M TAQUARIL'!C24</f>
        <v/>
      </c>
    </row>
    <row r="3020" ht="15" customHeight="1" s="107">
      <c r="A3020" s="216">
        <f>'E M TAQUARIL'!F25</f>
        <v/>
      </c>
      <c r="B3020" s="217">
        <f>'E M TAQUARIL'!C25</f>
        <v/>
      </c>
    </row>
    <row r="3021" ht="15" customHeight="1" s="107">
      <c r="A3021" s="216">
        <f>'E M TAQUARIL'!F26</f>
        <v/>
      </c>
      <c r="B3021" s="217">
        <f>'E M TAQUARIL'!C26</f>
        <v/>
      </c>
    </row>
    <row r="3022" ht="15" customHeight="1" s="107">
      <c r="A3022" s="216">
        <f>'E M TAQUARIL'!F27</f>
        <v/>
      </c>
      <c r="B3022" s="217">
        <f>'E M TAQUARIL'!C27</f>
        <v/>
      </c>
    </row>
    <row r="3023" ht="15" customHeight="1" s="107">
      <c r="A3023" s="216">
        <f>'E M MONSENHOR JOÃO DE DEUS RODR'!F9</f>
        <v/>
      </c>
      <c r="B3023" s="217">
        <f>'E M MONSENHOR JOÃO DE DEUS RODR'!C9</f>
        <v/>
      </c>
    </row>
    <row r="3024" ht="15" customHeight="1" s="107">
      <c r="A3024" s="216">
        <f>'E M MONSENHOR JOÃO DE DEUS RODR'!F10</f>
        <v/>
      </c>
      <c r="B3024" s="217">
        <f>'E M MONSENHOR JOÃO DE DEUS RODR'!C10</f>
        <v/>
      </c>
    </row>
    <row r="3025" ht="15" customHeight="1" s="107">
      <c r="A3025" s="216">
        <f>'E M MONSENHOR JOÃO DE DEUS RODR'!F11</f>
        <v/>
      </c>
      <c r="B3025" s="217">
        <f>'E M MONSENHOR JOÃO DE DEUS RODR'!C11</f>
        <v/>
      </c>
    </row>
    <row r="3026" ht="15" customHeight="1" s="107">
      <c r="A3026" s="216">
        <f>'E M MONSENHOR JOÃO DE DEUS RODR'!F12</f>
        <v/>
      </c>
      <c r="B3026" s="217">
        <f>'E M MONSENHOR JOÃO DE DEUS RODR'!C12</f>
        <v/>
      </c>
    </row>
    <row r="3027" ht="15" customHeight="1" s="107">
      <c r="A3027" s="216">
        <f>'E M MONSENHOR JOÃO DE DEUS RODR'!F13</f>
        <v/>
      </c>
      <c r="B3027" s="217">
        <f>'E M MONSENHOR JOÃO DE DEUS RODR'!C13</f>
        <v/>
      </c>
    </row>
    <row r="3028" ht="15" customHeight="1" s="107">
      <c r="A3028" s="216">
        <f>'E M MONSENHOR JOÃO DE DEUS RODR'!F14</f>
        <v/>
      </c>
      <c r="B3028" s="217">
        <f>'E M MONSENHOR JOÃO DE DEUS RODR'!C14</f>
        <v/>
      </c>
    </row>
    <row r="3029" ht="15" customHeight="1" s="107">
      <c r="A3029" s="216">
        <f>'E M MONSENHOR JOÃO DE DEUS RODR'!F15</f>
        <v/>
      </c>
      <c r="B3029" s="217">
        <f>'E M MONSENHOR JOÃO DE DEUS RODR'!C15</f>
        <v/>
      </c>
    </row>
    <row r="3030" ht="15" customHeight="1" s="107">
      <c r="A3030" s="216">
        <f>'E M MONSENHOR JOÃO DE DEUS RODR'!F16</f>
        <v/>
      </c>
      <c r="B3030" s="217">
        <f>'E M MONSENHOR JOÃO DE DEUS RODR'!C16</f>
        <v/>
      </c>
    </row>
    <row r="3031" ht="15" customHeight="1" s="107">
      <c r="A3031" s="216">
        <f>'E M MONSENHOR JOÃO DE DEUS RODR'!F17</f>
        <v/>
      </c>
      <c r="B3031" s="217">
        <f>'E M MONSENHOR JOÃO DE DEUS RODR'!C17</f>
        <v/>
      </c>
    </row>
    <row r="3032" ht="15" customHeight="1" s="107">
      <c r="A3032" s="216">
        <f>'E M MONSENHOR JOÃO DE DEUS RODR'!F18</f>
        <v/>
      </c>
      <c r="B3032" s="217">
        <f>'E M MONSENHOR JOÃO DE DEUS RODR'!C18</f>
        <v/>
      </c>
    </row>
    <row r="3033" ht="15" customHeight="1" s="107">
      <c r="A3033" s="216">
        <f>'E M MONSENHOR JOÃO DE DEUS RODR'!F19</f>
        <v/>
      </c>
      <c r="B3033" s="217">
        <f>'E M MONSENHOR JOÃO DE DEUS RODR'!C19</f>
        <v/>
      </c>
    </row>
    <row r="3034" ht="15" customHeight="1" s="107">
      <c r="A3034" s="216">
        <f>'E M MONSENHOR JOÃO DE DEUS RODR'!F20</f>
        <v/>
      </c>
      <c r="B3034" s="217">
        <f>'E M MONSENHOR JOÃO DE DEUS RODR'!C20</f>
        <v/>
      </c>
    </row>
    <row r="3035" ht="15" customHeight="1" s="107">
      <c r="A3035" s="216">
        <f>'E M MONSENHOR JOÃO DE DEUS RODR'!F21</f>
        <v/>
      </c>
      <c r="B3035" s="217">
        <f>'E M MONSENHOR JOÃO DE DEUS RODR'!C21</f>
        <v/>
      </c>
    </row>
    <row r="3036" ht="15" customHeight="1" s="107">
      <c r="A3036" s="216">
        <f>'E M MONSENHOR JOÃO DE DEUS RODR'!F22</f>
        <v/>
      </c>
      <c r="B3036" s="217">
        <f>'E M MONSENHOR JOÃO DE DEUS RODR'!C22</f>
        <v/>
      </c>
    </row>
    <row r="3037" ht="15" customHeight="1" s="107">
      <c r="A3037" s="216">
        <f>'E M MONSENHOR JOÃO DE DEUS RODR'!F23</f>
        <v/>
      </c>
      <c r="B3037" s="217">
        <f>'E M MONSENHOR JOÃO DE DEUS RODR'!C23</f>
        <v/>
      </c>
    </row>
    <row r="3038" ht="15" customHeight="1" s="107">
      <c r="A3038" s="216">
        <f>'E M MONSENHOR JOÃO DE DEUS RODR'!F24</f>
        <v/>
      </c>
      <c r="B3038" s="217">
        <f>'E M MONSENHOR JOÃO DE DEUS RODR'!C24</f>
        <v/>
      </c>
    </row>
    <row r="3039" ht="15" customHeight="1" s="107">
      <c r="A3039" s="216">
        <f>'E M MONSENHOR JOÃO DE DEUS RODR'!F25</f>
        <v/>
      </c>
      <c r="B3039" s="217">
        <f>'E M MONSENHOR JOÃO DE DEUS RODR'!C25</f>
        <v/>
      </c>
    </row>
    <row r="3040" ht="15" customHeight="1" s="107">
      <c r="A3040" s="216">
        <f>'E M MONSENHOR JOÃO DE DEUS RODR'!F26</f>
        <v/>
      </c>
      <c r="B3040" s="217">
        <f>'E M MONSENHOR JOÃO DE DEUS RODR'!C26</f>
        <v/>
      </c>
    </row>
    <row r="3041" ht="15" customHeight="1" s="107">
      <c r="A3041" s="216">
        <f>'E M MONSENHOR JOÃO DE DEUS RODR'!F27</f>
        <v/>
      </c>
      <c r="B3041" s="217">
        <f>'E M MONSENHOR JOÃO DE DEUS RODR'!C27</f>
        <v/>
      </c>
    </row>
    <row r="3042" ht="15" customHeight="1" s="107">
      <c r="A3042" s="216">
        <f>'CENTRO DE REFERÊNCIA EM EDUC 2'!F9</f>
        <v/>
      </c>
      <c r="B3042" s="217">
        <f>'CENTRO DE REFERÊNCIA EM EDUC 2'!C9</f>
        <v/>
      </c>
    </row>
    <row r="3043" ht="15" customHeight="1" s="107">
      <c r="A3043" s="216">
        <f>'CENTRO DE REFERÊNCIA EM EDUC 2'!F10</f>
        <v/>
      </c>
      <c r="B3043" s="217">
        <f>'CENTRO DE REFERÊNCIA EM EDUC 2'!C10</f>
        <v/>
      </c>
    </row>
    <row r="3044" ht="15" customHeight="1" s="107">
      <c r="A3044" s="216">
        <f>'CENTRO DE REFERÊNCIA EM EDUC 2'!F11</f>
        <v/>
      </c>
      <c r="B3044" s="217">
        <f>'CENTRO DE REFERÊNCIA EM EDUC 2'!C11</f>
        <v/>
      </c>
    </row>
    <row r="3045" ht="15" customHeight="1" s="107">
      <c r="A3045" s="216">
        <f>'CENTRO DE REFERÊNCIA EM EDUC 2'!F12</f>
        <v/>
      </c>
      <c r="B3045" s="217">
        <f>'CENTRO DE REFERÊNCIA EM EDUC 2'!C12</f>
        <v/>
      </c>
    </row>
    <row r="3046" ht="15" customHeight="1" s="107">
      <c r="A3046" s="216">
        <f>'CENTRO DE REFERÊNCIA EM EDUC 2'!F13</f>
        <v/>
      </c>
      <c r="B3046" s="217">
        <f>'CENTRO DE REFERÊNCIA EM EDUC 2'!C13</f>
        <v/>
      </c>
    </row>
    <row r="3047" ht="15" customHeight="1" s="107">
      <c r="A3047" s="216">
        <f>'CENTRO DE REFERÊNCIA EM EDUC 2'!F14</f>
        <v/>
      </c>
      <c r="B3047" s="217">
        <f>'CENTRO DE REFERÊNCIA EM EDUC 2'!C14</f>
        <v/>
      </c>
    </row>
    <row r="3048" ht="15" customHeight="1" s="107">
      <c r="A3048" s="216">
        <f>'CENTRO DE REFERÊNCIA EM EDUC 2'!F15</f>
        <v/>
      </c>
      <c r="B3048" s="217">
        <f>'CENTRO DE REFERÊNCIA EM EDUC 2'!C15</f>
        <v/>
      </c>
    </row>
    <row r="3049" ht="15" customHeight="1" s="107">
      <c r="A3049" s="216">
        <f>'CENTRO DE REFERÊNCIA EM EDUC 2'!F16</f>
        <v/>
      </c>
      <c r="B3049" s="217">
        <f>'CENTRO DE REFERÊNCIA EM EDUC 2'!C16</f>
        <v/>
      </c>
    </row>
    <row r="3050" ht="15" customHeight="1" s="107">
      <c r="A3050" s="216">
        <f>'CENTRO DE REFERÊNCIA EM EDUC 2'!F17</f>
        <v/>
      </c>
      <c r="B3050" s="217">
        <f>'CENTRO DE REFERÊNCIA EM EDUC 2'!C17</f>
        <v/>
      </c>
    </row>
    <row r="3051" ht="15" customHeight="1" s="107">
      <c r="A3051" s="216">
        <f>'CENTRO DE REFERÊNCIA EM EDUC 2'!F18</f>
        <v/>
      </c>
      <c r="B3051" s="217">
        <f>'CENTRO DE REFERÊNCIA EM EDUC 2'!C18</f>
        <v/>
      </c>
    </row>
    <row r="3052" ht="15" customHeight="1" s="107">
      <c r="A3052" s="216">
        <f>'CENTRO DE REFERÊNCIA EM EDUC 2'!F19</f>
        <v/>
      </c>
      <c r="B3052" s="217">
        <f>'CENTRO DE REFERÊNCIA EM EDUC 2'!C19</f>
        <v/>
      </c>
    </row>
    <row r="3053" ht="15" customHeight="1" s="107">
      <c r="A3053" s="216">
        <f>'CENTRO DE REFERÊNCIA EM EDUC 2'!F20</f>
        <v/>
      </c>
      <c r="B3053" s="217">
        <f>'CENTRO DE REFERÊNCIA EM EDUC 2'!C20</f>
        <v/>
      </c>
    </row>
    <row r="3054" ht="15" customHeight="1" s="107">
      <c r="A3054" s="216">
        <f>'CENTRO DE REFERÊNCIA EM EDUC 2'!F21</f>
        <v/>
      </c>
      <c r="B3054" s="217">
        <f>'CENTRO DE REFERÊNCIA EM EDUC 2'!C21</f>
        <v/>
      </c>
    </row>
    <row r="3055" ht="15" customHeight="1" s="107">
      <c r="A3055" s="216">
        <f>'CENTRO DE REFERÊNCIA EM EDUC 2'!F22</f>
        <v/>
      </c>
      <c r="B3055" s="217">
        <f>'CENTRO DE REFERÊNCIA EM EDUC 2'!C22</f>
        <v/>
      </c>
    </row>
    <row r="3056" ht="15" customHeight="1" s="107">
      <c r="A3056" s="216">
        <f>'CENTRO DE REFERÊNCIA EM EDUC 2'!F23</f>
        <v/>
      </c>
      <c r="B3056" s="217">
        <f>'CENTRO DE REFERÊNCIA EM EDUC 2'!C23</f>
        <v/>
      </c>
    </row>
    <row r="3057" ht="15" customHeight="1" s="107">
      <c r="A3057" s="216">
        <f>'CENTRO DE REFERÊNCIA EM EDUC 2'!F24</f>
        <v/>
      </c>
      <c r="B3057" s="217">
        <f>'CENTRO DE REFERÊNCIA EM EDUC 2'!C24</f>
        <v/>
      </c>
    </row>
    <row r="3058" ht="15" customHeight="1" s="107">
      <c r="A3058" s="216">
        <f>'CENTRO DE REFERÊNCIA EM EDUC 2'!F25</f>
        <v/>
      </c>
      <c r="B3058" s="217">
        <f>'CENTRO DE REFERÊNCIA EM EDUC 2'!C25</f>
        <v/>
      </c>
    </row>
    <row r="3059" ht="15" customHeight="1" s="107">
      <c r="A3059" s="216">
        <f>'CENTRO DE REFERÊNCIA EM EDUC 2'!F26</f>
        <v/>
      </c>
      <c r="B3059" s="217">
        <f>'CENTRO DE REFERÊNCIA EM EDUC 2'!C26</f>
        <v/>
      </c>
    </row>
    <row r="3060" ht="15" customHeight="1" s="107">
      <c r="A3060" s="216">
        <f>'CENTRO DE REFERÊNCIA EM EDUC 2'!F27</f>
        <v/>
      </c>
      <c r="B3060" s="217">
        <f>'CENTRO DE REFERÊNCIA EM EDUC 2'!C27</f>
        <v/>
      </c>
    </row>
    <row r="3061" ht="15" customHeight="1" s="107">
      <c r="A3061" s="216">
        <f>'CEI PROFª GRAÇA COSTA'!F9</f>
        <v/>
      </c>
      <c r="B3061" s="217">
        <f>'CEI PROFª GRAÇA COSTA'!C9</f>
        <v/>
      </c>
    </row>
    <row r="3062" ht="15" customHeight="1" s="107">
      <c r="A3062" s="216">
        <f>'CEI PROFª GRAÇA COSTA'!F10</f>
        <v/>
      </c>
      <c r="B3062" s="217">
        <f>'CEI PROFª GRAÇA COSTA'!C10</f>
        <v/>
      </c>
    </row>
    <row r="3063" ht="15" customHeight="1" s="107">
      <c r="A3063" s="216">
        <f>'CEI PROFª GRAÇA COSTA'!F11</f>
        <v/>
      </c>
      <c r="B3063" s="217">
        <f>'CEI PROFª GRAÇA COSTA'!C11</f>
        <v/>
      </c>
    </row>
    <row r="3064" ht="15" customHeight="1" s="107">
      <c r="A3064" s="216">
        <f>'CEI PROFª GRAÇA COSTA'!F12</f>
        <v/>
      </c>
      <c r="B3064" s="217">
        <f>'CEI PROFª GRAÇA COSTA'!C12</f>
        <v/>
      </c>
    </row>
    <row r="3065" ht="15" customHeight="1" s="107">
      <c r="A3065" s="216">
        <f>'CEI PROFª GRAÇA COSTA'!F13</f>
        <v/>
      </c>
      <c r="B3065" s="217">
        <f>'CEI PROFª GRAÇA COSTA'!C13</f>
        <v/>
      </c>
    </row>
    <row r="3066" ht="15" customHeight="1" s="107">
      <c r="A3066" s="216">
        <f>'CEI PROFª GRAÇA COSTA'!F14</f>
        <v/>
      </c>
      <c r="B3066" s="217">
        <f>'CEI PROFª GRAÇA COSTA'!C14</f>
        <v/>
      </c>
    </row>
    <row r="3067" ht="15" customHeight="1" s="107">
      <c r="A3067" s="216">
        <f>'CEI PROFª GRAÇA COSTA'!F15</f>
        <v/>
      </c>
      <c r="B3067" s="217">
        <f>'CEI PROFª GRAÇA COSTA'!C15</f>
        <v/>
      </c>
    </row>
    <row r="3068" ht="15" customHeight="1" s="107">
      <c r="A3068" s="216">
        <f>'CEI PROFª GRAÇA COSTA'!F16</f>
        <v/>
      </c>
      <c r="B3068" s="217">
        <f>'CEI PROFª GRAÇA COSTA'!C16</f>
        <v/>
      </c>
    </row>
    <row r="3069" ht="15" customHeight="1" s="107">
      <c r="A3069" s="216">
        <f>'CEI PROFª GRAÇA COSTA'!F17</f>
        <v/>
      </c>
      <c r="B3069" s="217">
        <f>'CEI PROFª GRAÇA COSTA'!C17</f>
        <v/>
      </c>
    </row>
    <row r="3070" ht="15" customHeight="1" s="107">
      <c r="A3070" s="216">
        <f>'CEI PROFª GRAÇA COSTA'!F18</f>
        <v/>
      </c>
      <c r="B3070" s="217">
        <f>'CEI PROFª GRAÇA COSTA'!C18</f>
        <v/>
      </c>
    </row>
    <row r="3071" ht="15" customHeight="1" s="107">
      <c r="A3071" s="216">
        <f>'CEI PROFª GRAÇA COSTA'!F19</f>
        <v/>
      </c>
      <c r="B3071" s="217">
        <f>'CEI PROFª GRAÇA COSTA'!C19</f>
        <v/>
      </c>
    </row>
    <row r="3072" ht="15" customHeight="1" s="107">
      <c r="A3072" s="216">
        <f>'CEI PROFª GRAÇA COSTA'!F20</f>
        <v/>
      </c>
      <c r="B3072" s="217">
        <f>'CEI PROFª GRAÇA COSTA'!C20</f>
        <v/>
      </c>
    </row>
    <row r="3073" ht="15" customHeight="1" s="107">
      <c r="A3073" s="216">
        <f>'CEI PROFª GRAÇA COSTA'!F21</f>
        <v/>
      </c>
      <c r="B3073" s="217">
        <f>'CEI PROFª GRAÇA COSTA'!C21</f>
        <v/>
      </c>
    </row>
    <row r="3074" ht="15" customHeight="1" s="107">
      <c r="A3074" s="216">
        <f>'CEI PROFª GRAÇA COSTA'!F22</f>
        <v/>
      </c>
      <c r="B3074" s="217">
        <f>'CEI PROFª GRAÇA COSTA'!C22</f>
        <v/>
      </c>
    </row>
    <row r="3075" ht="15" customHeight="1" s="107">
      <c r="A3075" s="216">
        <f>'CEI PROFª GRAÇA COSTA'!F23</f>
        <v/>
      </c>
      <c r="B3075" s="217">
        <f>'CEI PROFª GRAÇA COSTA'!C23</f>
        <v/>
      </c>
    </row>
    <row r="3076" ht="15" customHeight="1" s="107">
      <c r="A3076" s="216">
        <f>'CEI PROFª GRAÇA COSTA'!F24</f>
        <v/>
      </c>
      <c r="B3076" s="217">
        <f>'CEI PROFª GRAÇA COSTA'!C24</f>
        <v/>
      </c>
    </row>
    <row r="3077" ht="15" customHeight="1" s="107">
      <c r="A3077" s="216">
        <f>'CEI PROFª GRAÇA COSTA'!F25</f>
        <v/>
      </c>
      <c r="B3077" s="217">
        <f>'CEI PROFª GRAÇA COSTA'!C25</f>
        <v/>
      </c>
    </row>
    <row r="3078" ht="15" customHeight="1" s="107">
      <c r="A3078" s="216">
        <f>'CEI PROFª GRAÇA COSTA'!F26</f>
        <v/>
      </c>
      <c r="B3078" s="217">
        <f>'CEI PROFª GRAÇA COSTA'!C26</f>
        <v/>
      </c>
    </row>
    <row r="3079" ht="15" customHeight="1" s="107">
      <c r="A3079" s="216">
        <f>'CEI PROFª GRAÇA COSTA'!F27</f>
        <v/>
      </c>
      <c r="B3079" s="217">
        <f>'CEI PROFª GRAÇA COSTA'!C27</f>
        <v/>
      </c>
    </row>
    <row r="3080" ht="15" customHeight="1" s="107">
      <c r="A3080" s="216">
        <f>'CEI VILA LEOPOLDINA'!F9</f>
        <v/>
      </c>
      <c r="B3080" s="217">
        <f>'CEI VILA LEOPOLDINA'!C9</f>
        <v/>
      </c>
    </row>
    <row r="3081" ht="15" customHeight="1" s="107">
      <c r="A3081" s="216">
        <f>'CEI VILA LEOPOLDINA'!F10</f>
        <v/>
      </c>
      <c r="B3081" s="217">
        <f>'CEI VILA LEOPOLDINA'!C10</f>
        <v/>
      </c>
    </row>
    <row r="3082" ht="15" customHeight="1" s="107">
      <c r="A3082" s="216">
        <f>'CEI VILA LEOPOLDINA'!F11</f>
        <v/>
      </c>
      <c r="B3082" s="217">
        <f>'CEI VILA LEOPOLDINA'!C11</f>
        <v/>
      </c>
    </row>
    <row r="3083" ht="15" customHeight="1" s="107">
      <c r="A3083" s="216">
        <f>'CEI VILA LEOPOLDINA'!F12</f>
        <v/>
      </c>
      <c r="B3083" s="217">
        <f>'CEI VILA LEOPOLDINA'!C12</f>
        <v/>
      </c>
    </row>
    <row r="3084" ht="15" customHeight="1" s="107">
      <c r="A3084" s="216">
        <f>'CEI VILA LEOPOLDINA'!F13</f>
        <v/>
      </c>
      <c r="B3084" s="217">
        <f>'CEI VILA LEOPOLDINA'!C13</f>
        <v/>
      </c>
    </row>
    <row r="3085" ht="15" customHeight="1" s="107">
      <c r="A3085" s="216">
        <f>'CEI VILA LEOPOLDINA'!F14</f>
        <v/>
      </c>
      <c r="B3085" s="217">
        <f>'CEI VILA LEOPOLDINA'!C14</f>
        <v/>
      </c>
    </row>
    <row r="3086" ht="15" customHeight="1" s="107">
      <c r="A3086" s="216">
        <f>'CEI VILA LEOPOLDINA'!F15</f>
        <v/>
      </c>
      <c r="B3086" s="217">
        <f>'CEI VILA LEOPOLDINA'!C15</f>
        <v/>
      </c>
    </row>
    <row r="3087" ht="15" customHeight="1" s="107">
      <c r="A3087" s="216">
        <f>'CEI VILA LEOPOLDINA'!F16</f>
        <v/>
      </c>
      <c r="B3087" s="217">
        <f>'CEI VILA LEOPOLDINA'!C16</f>
        <v/>
      </c>
    </row>
    <row r="3088" ht="15" customHeight="1" s="107">
      <c r="A3088" s="216">
        <f>'CEI VILA LEOPOLDINA'!F17</f>
        <v/>
      </c>
      <c r="B3088" s="217">
        <f>'CEI VILA LEOPOLDINA'!C17</f>
        <v/>
      </c>
    </row>
    <row r="3089" ht="15" customHeight="1" s="107">
      <c r="A3089" s="216">
        <f>'CEI VILA LEOPOLDINA'!F18</f>
        <v/>
      </c>
      <c r="B3089" s="217">
        <f>'CEI VILA LEOPOLDINA'!C18</f>
        <v/>
      </c>
    </row>
    <row r="3090" ht="15" customHeight="1" s="107">
      <c r="A3090" s="216">
        <f>'CEI VILA LEOPOLDINA'!F19</f>
        <v/>
      </c>
      <c r="B3090" s="217">
        <f>'CEI VILA LEOPOLDINA'!C19</f>
        <v/>
      </c>
    </row>
    <row r="3091" ht="15" customHeight="1" s="107">
      <c r="A3091" s="216">
        <f>'CEI VILA LEOPOLDINA'!F20</f>
        <v/>
      </c>
      <c r="B3091" s="217">
        <f>'CEI VILA LEOPOLDINA'!C20</f>
        <v/>
      </c>
    </row>
    <row r="3092" ht="15" customHeight="1" s="107">
      <c r="A3092" s="216">
        <f>'CEI VILA LEOPOLDINA'!F21</f>
        <v/>
      </c>
      <c r="B3092" s="217">
        <f>'CEI VILA LEOPOLDINA'!C21</f>
        <v/>
      </c>
    </row>
    <row r="3093" ht="15" customHeight="1" s="107">
      <c r="A3093" s="216">
        <f>'CEI VILA LEOPOLDINA'!F22</f>
        <v/>
      </c>
      <c r="B3093" s="217">
        <f>'CEI VILA LEOPOLDINA'!C22</f>
        <v/>
      </c>
    </row>
    <row r="3094" ht="15" customHeight="1" s="107">
      <c r="A3094" s="216">
        <f>'CEI VILA LEOPOLDINA'!F23</f>
        <v/>
      </c>
      <c r="B3094" s="217">
        <f>'CEI VILA LEOPOLDINA'!C23</f>
        <v/>
      </c>
    </row>
    <row r="3095" ht="15" customHeight="1" s="107">
      <c r="A3095" s="216">
        <f>'CEI VILA LEOPOLDINA'!F24</f>
        <v/>
      </c>
      <c r="B3095" s="217">
        <f>'CEI VILA LEOPOLDINA'!C24</f>
        <v/>
      </c>
    </row>
    <row r="3096" ht="15" customHeight="1" s="107">
      <c r="A3096" s="216">
        <f>'CEI VILA LEOPOLDINA'!F25</f>
        <v/>
      </c>
      <c r="B3096" s="217">
        <f>'CEI VILA LEOPOLDINA'!C25</f>
        <v/>
      </c>
    </row>
    <row r="3097" ht="15" customHeight="1" s="107">
      <c r="A3097" s="216">
        <f>'CEI VILA LEOPOLDINA'!F26</f>
        <v/>
      </c>
      <c r="B3097" s="217">
        <f>'CEI VILA LEOPOLDINA'!C26</f>
        <v/>
      </c>
    </row>
    <row r="3098" ht="15" customHeight="1" s="107">
      <c r="A3098" s="216">
        <f>'CEI VILA LEOPOLDINA'!F27</f>
        <v/>
      </c>
      <c r="B3098" s="217">
        <f>'CEI VILA LEOPOLDINA'!C27</f>
        <v/>
      </c>
    </row>
    <row r="3099" ht="15" customHeight="1" s="107">
      <c r="A3099" s="216">
        <f>'CEI NILO PEÇANHA'!F9</f>
        <v/>
      </c>
      <c r="B3099" s="217">
        <f>'CEI NILO PEÇANHA'!C9</f>
        <v/>
      </c>
    </row>
    <row r="3100" ht="15" customHeight="1" s="107">
      <c r="A3100" s="216">
        <f>'CEI NILO PEÇANHA'!F10</f>
        <v/>
      </c>
      <c r="B3100" s="217">
        <f>'CEI NILO PEÇANHA'!C10</f>
        <v/>
      </c>
    </row>
    <row r="3101" ht="15" customHeight="1" s="107">
      <c r="A3101" s="216">
        <f>'CEI NILO PEÇANHA'!F11</f>
        <v/>
      </c>
      <c r="B3101" s="217">
        <f>'CEI NILO PEÇANHA'!C11</f>
        <v/>
      </c>
    </row>
    <row r="3102" ht="15" customHeight="1" s="107">
      <c r="A3102" s="216">
        <f>'CEI NILO PEÇANHA'!F12</f>
        <v/>
      </c>
      <c r="B3102" s="217">
        <f>'CEI NILO PEÇANHA'!C12</f>
        <v/>
      </c>
    </row>
    <row r="3103" ht="15" customHeight="1" s="107">
      <c r="A3103" s="216">
        <f>'CEI NILO PEÇANHA'!F13</f>
        <v/>
      </c>
      <c r="B3103" s="217">
        <f>'CEI NILO PEÇANHA'!C13</f>
        <v/>
      </c>
    </row>
    <row r="3104" ht="15" customHeight="1" s="107">
      <c r="A3104" s="216">
        <f>'CEI NILO PEÇANHA'!F14</f>
        <v/>
      </c>
      <c r="B3104" s="217">
        <f>'CEI NILO PEÇANHA'!C14</f>
        <v/>
      </c>
    </row>
    <row r="3105" ht="15" customHeight="1" s="107">
      <c r="A3105" s="216">
        <f>'CEI NILO PEÇANHA'!F15</f>
        <v/>
      </c>
      <c r="B3105" s="217">
        <f>'CEI NILO PEÇANHA'!C15</f>
        <v/>
      </c>
    </row>
    <row r="3106" ht="15" customHeight="1" s="107">
      <c r="A3106" s="216">
        <f>'CEI NILO PEÇANHA'!F16</f>
        <v/>
      </c>
      <c r="B3106" s="217">
        <f>'CEI NILO PEÇANHA'!C16</f>
        <v/>
      </c>
    </row>
    <row r="3107" ht="15" customHeight="1" s="107">
      <c r="A3107" s="216">
        <f>'CEI NILO PEÇANHA'!F17</f>
        <v/>
      </c>
      <c r="B3107" s="217">
        <f>'CEI NILO PEÇANHA'!C17</f>
        <v/>
      </c>
    </row>
    <row r="3108" ht="15" customHeight="1" s="107">
      <c r="A3108" s="216">
        <f>'CEI NILO PEÇANHA'!F18</f>
        <v/>
      </c>
      <c r="B3108" s="217">
        <f>'CEI NILO PEÇANHA'!C18</f>
        <v/>
      </c>
    </row>
    <row r="3109" ht="15" customHeight="1" s="107">
      <c r="A3109" s="216">
        <f>'CEI NILO PEÇANHA'!F19</f>
        <v/>
      </c>
      <c r="B3109" s="217">
        <f>'CEI NILO PEÇANHA'!C19</f>
        <v/>
      </c>
    </row>
    <row r="3110" ht="15" customHeight="1" s="107">
      <c r="A3110" s="216">
        <f>'CEI NILO PEÇANHA'!F20</f>
        <v/>
      </c>
      <c r="B3110" s="217">
        <f>'CEI NILO PEÇANHA'!C20</f>
        <v/>
      </c>
    </row>
    <row r="3111" ht="15" customHeight="1" s="107">
      <c r="A3111" s="216">
        <f>'CEI NILO PEÇANHA'!F21</f>
        <v/>
      </c>
      <c r="B3111" s="217">
        <f>'CEI NILO PEÇANHA'!C21</f>
        <v/>
      </c>
    </row>
    <row r="3112" ht="15" customHeight="1" s="107">
      <c r="A3112" s="216">
        <f>'CEI NILO PEÇANHA'!F22</f>
        <v/>
      </c>
      <c r="B3112" s="217">
        <f>'CEI NILO PEÇANHA'!C22</f>
        <v/>
      </c>
    </row>
    <row r="3113" ht="15" customHeight="1" s="107">
      <c r="A3113" s="216">
        <f>'CEI NILO PEÇANHA'!F23</f>
        <v/>
      </c>
      <c r="B3113" s="217">
        <f>'CEI NILO PEÇANHA'!C23</f>
        <v/>
      </c>
    </row>
    <row r="3114" ht="15" customHeight="1" s="107">
      <c r="A3114" s="216">
        <f>'CEI NILO PEÇANHA'!F24</f>
        <v/>
      </c>
      <c r="B3114" s="217">
        <f>'CEI NILO PEÇANHA'!C24</f>
        <v/>
      </c>
    </row>
    <row r="3115" ht="15" customHeight="1" s="107">
      <c r="A3115" s="216">
        <f>'CEI NILO PEÇANHA'!F25</f>
        <v/>
      </c>
      <c r="B3115" s="217">
        <f>'CEI NILO PEÇANHA'!C25</f>
        <v/>
      </c>
    </row>
    <row r="3116" ht="15" customHeight="1" s="107">
      <c r="A3116" s="216">
        <f>'CEI NILO PEÇANHA'!F26</f>
        <v/>
      </c>
      <c r="B3116" s="217">
        <f>'CEI NILO PEÇANHA'!C26</f>
        <v/>
      </c>
    </row>
    <row r="3117" ht="15" customHeight="1" s="107">
      <c r="A3117" s="216">
        <f>'CEI NILO PEÇANHA'!F27</f>
        <v/>
      </c>
      <c r="B3117" s="217">
        <f>'CEI NILO PEÇANHA'!C27</f>
        <v/>
      </c>
    </row>
    <row r="3118" ht="15" customHeight="1" s="107">
      <c r="A3118" s="216">
        <f>'E MZDA SANTA TEREZINHA'!F9</f>
        <v/>
      </c>
      <c r="B3118" s="217">
        <f>'E MZDA SANTA TEREZINHA'!C9</f>
        <v/>
      </c>
    </row>
    <row r="3119" ht="15" customHeight="1" s="107">
      <c r="A3119" s="216">
        <f>'E MZDA SANTA TEREZINHA'!F10</f>
        <v/>
      </c>
      <c r="B3119" s="217">
        <f>'E MZDA SANTA TEREZINHA'!C10</f>
        <v/>
      </c>
    </row>
    <row r="3120" ht="15" customHeight="1" s="107">
      <c r="A3120" s="216">
        <f>'E MZDA SANTA TEREZINHA'!F11</f>
        <v/>
      </c>
      <c r="B3120" s="217">
        <f>'E MZDA SANTA TEREZINHA'!C11</f>
        <v/>
      </c>
    </row>
    <row r="3121" ht="15" customHeight="1" s="107">
      <c r="A3121" s="216">
        <f>'E MZDA SANTA TEREZINHA'!F12</f>
        <v/>
      </c>
      <c r="B3121" s="217">
        <f>'E MZDA SANTA TEREZINHA'!C12</f>
        <v/>
      </c>
    </row>
    <row r="3122" ht="15" customHeight="1" s="107">
      <c r="A3122" s="216">
        <f>'E MZDA SANTA TEREZINHA'!F13</f>
        <v/>
      </c>
      <c r="B3122" s="217">
        <f>'E MZDA SANTA TEREZINHA'!C13</f>
        <v/>
      </c>
    </row>
    <row r="3123" ht="15" customHeight="1" s="107">
      <c r="A3123" s="216">
        <f>'E MZDA SANTA TEREZINHA'!F14</f>
        <v/>
      </c>
      <c r="B3123" s="217">
        <f>'E MZDA SANTA TEREZINHA'!C14</f>
        <v/>
      </c>
    </row>
    <row r="3124" ht="15" customHeight="1" s="107">
      <c r="A3124" s="216">
        <f>'E MZDA SANTA TEREZINHA'!F15</f>
        <v/>
      </c>
      <c r="B3124" s="217">
        <f>'E MZDA SANTA TEREZINHA'!C15</f>
        <v/>
      </c>
    </row>
    <row r="3125" ht="15" customHeight="1" s="107">
      <c r="A3125" s="216">
        <f>'E MZDA SANTA TEREZINHA'!F16</f>
        <v/>
      </c>
      <c r="B3125" s="217">
        <f>'E MZDA SANTA TEREZINHA'!C16</f>
        <v/>
      </c>
    </row>
    <row r="3126" ht="15" customHeight="1" s="107">
      <c r="A3126" s="216">
        <f>'E MZDA SANTA TEREZINHA'!F17</f>
        <v/>
      </c>
      <c r="B3126" s="217">
        <f>'E MZDA SANTA TEREZINHA'!C17</f>
        <v/>
      </c>
    </row>
    <row r="3127" ht="15" customHeight="1" s="107">
      <c r="A3127" s="216">
        <f>'E MZDA SANTA TEREZINHA'!F18</f>
        <v/>
      </c>
      <c r="B3127" s="217">
        <f>'E MZDA SANTA TEREZINHA'!C18</f>
        <v/>
      </c>
    </row>
    <row r="3128" ht="15" customHeight="1" s="107">
      <c r="A3128" s="216">
        <f>'E MZDA SANTA TEREZINHA'!F19</f>
        <v/>
      </c>
      <c r="B3128" s="217">
        <f>'E MZDA SANTA TEREZINHA'!C19</f>
        <v/>
      </c>
    </row>
    <row r="3129" ht="15" customHeight="1" s="107">
      <c r="A3129" s="216">
        <f>'E MZDA SANTA TEREZINHA'!F20</f>
        <v/>
      </c>
      <c r="B3129" s="217">
        <f>'E MZDA SANTA TEREZINHA'!C20</f>
        <v/>
      </c>
    </row>
    <row r="3130" ht="15" customHeight="1" s="107">
      <c r="A3130" s="216">
        <f>'E MZDA SANTA TEREZINHA'!F21</f>
        <v/>
      </c>
      <c r="B3130" s="217">
        <f>'E MZDA SANTA TEREZINHA'!C21</f>
        <v/>
      </c>
    </row>
    <row r="3131" ht="15" customHeight="1" s="107">
      <c r="A3131" s="216">
        <f>'E MZDA SANTA TEREZINHA'!F22</f>
        <v/>
      </c>
      <c r="B3131" s="217">
        <f>'E MZDA SANTA TEREZINHA'!C22</f>
        <v/>
      </c>
    </row>
    <row r="3132" ht="15" customHeight="1" s="107">
      <c r="A3132" s="216">
        <f>'E MZDA SANTA TEREZINHA'!F23</f>
        <v/>
      </c>
      <c r="B3132" s="217">
        <f>'E MZDA SANTA TEREZINHA'!C23</f>
        <v/>
      </c>
    </row>
    <row r="3133" ht="15" customHeight="1" s="107">
      <c r="A3133" s="216">
        <f>'E MZDA SANTA TEREZINHA'!F24</f>
        <v/>
      </c>
      <c r="B3133" s="217">
        <f>'E MZDA SANTA TEREZINHA'!C24</f>
        <v/>
      </c>
    </row>
    <row r="3134" ht="15" customHeight="1" s="107">
      <c r="A3134" s="216">
        <f>'E MZDA SANTA TEREZINHA'!F25</f>
        <v/>
      </c>
      <c r="B3134" s="217">
        <f>'E MZDA SANTA TEREZINHA'!C25</f>
        <v/>
      </c>
    </row>
    <row r="3135" ht="15" customHeight="1" s="107">
      <c r="A3135" s="216">
        <f>'E MZDA SANTA TEREZINHA'!F26</f>
        <v/>
      </c>
      <c r="B3135" s="217">
        <f>'E MZDA SANTA TEREZINHA'!C26</f>
        <v/>
      </c>
    </row>
    <row r="3136" ht="15" customHeight="1" s="107">
      <c r="A3136" s="216">
        <f>'E MZDA SANTA TEREZINHA'!F27</f>
        <v/>
      </c>
      <c r="B3136" s="217">
        <f>'E MZDA SANTA TEREZINHA'!C27</f>
        <v/>
      </c>
    </row>
    <row r="3137" ht="15" customHeight="1" s="107">
      <c r="A3137" s="216">
        <f>'CEI CRIANÇA SANTA EDWIGES'!F9</f>
        <v/>
      </c>
      <c r="B3137" s="217">
        <f>'CEI CRIANÇA SANTA EDWIGES'!C9</f>
        <v/>
      </c>
    </row>
    <row r="3138" ht="15" customHeight="1" s="107">
      <c r="A3138" s="216">
        <f>'CEI CRIANÇA SANTA EDWIGES'!F10</f>
        <v/>
      </c>
      <c r="B3138" s="217">
        <f>'CEI CRIANÇA SANTA EDWIGES'!C10</f>
        <v/>
      </c>
    </row>
    <row r="3139" ht="15" customHeight="1" s="107">
      <c r="A3139" s="216">
        <f>'CEI CRIANÇA SANTA EDWIGES'!F11</f>
        <v/>
      </c>
      <c r="B3139" s="217">
        <f>'CEI CRIANÇA SANTA EDWIGES'!C11</f>
        <v/>
      </c>
    </row>
    <row r="3140" ht="15" customHeight="1" s="107">
      <c r="A3140" s="216">
        <f>'CEI CRIANÇA SANTA EDWIGES'!F12</f>
        <v/>
      </c>
      <c r="B3140" s="217">
        <f>'CEI CRIANÇA SANTA EDWIGES'!C12</f>
        <v/>
      </c>
    </row>
    <row r="3141" ht="15" customHeight="1" s="107">
      <c r="A3141" s="216">
        <f>'CEI CRIANÇA SANTA EDWIGES'!F13</f>
        <v/>
      </c>
      <c r="B3141" s="217">
        <f>'CEI CRIANÇA SANTA EDWIGES'!C13</f>
        <v/>
      </c>
    </row>
    <row r="3142" ht="15" customHeight="1" s="107">
      <c r="A3142" s="216">
        <f>'CEI CRIANÇA SANTA EDWIGES'!F14</f>
        <v/>
      </c>
      <c r="B3142" s="217">
        <f>'CEI CRIANÇA SANTA EDWIGES'!C14</f>
        <v/>
      </c>
    </row>
    <row r="3143" ht="15" customHeight="1" s="107">
      <c r="A3143" s="216">
        <f>'CEI CRIANÇA SANTA EDWIGES'!F15</f>
        <v/>
      </c>
      <c r="B3143" s="217">
        <f>'CEI CRIANÇA SANTA EDWIGES'!C15</f>
        <v/>
      </c>
    </row>
    <row r="3144" ht="15" customHeight="1" s="107">
      <c r="A3144" s="216">
        <f>'CEI CRIANÇA SANTA EDWIGES'!F16</f>
        <v/>
      </c>
      <c r="B3144" s="217">
        <f>'CEI CRIANÇA SANTA EDWIGES'!C16</f>
        <v/>
      </c>
    </row>
    <row r="3145" ht="15" customHeight="1" s="107">
      <c r="A3145" s="216">
        <f>'CEI CRIANÇA SANTA EDWIGES'!F17</f>
        <v/>
      </c>
      <c r="B3145" s="217">
        <f>'CEI CRIANÇA SANTA EDWIGES'!C17</f>
        <v/>
      </c>
    </row>
    <row r="3146" ht="15" customHeight="1" s="107">
      <c r="A3146" s="216">
        <f>'CEI CRIANÇA SANTA EDWIGES'!F18</f>
        <v/>
      </c>
      <c r="B3146" s="217">
        <f>'CEI CRIANÇA SANTA EDWIGES'!C18</f>
        <v/>
      </c>
    </row>
    <row r="3147" ht="15" customHeight="1" s="107">
      <c r="A3147" s="216">
        <f>'CEI CRIANÇA SANTA EDWIGES'!F19</f>
        <v/>
      </c>
      <c r="B3147" s="217">
        <f>'CEI CRIANÇA SANTA EDWIGES'!C19</f>
        <v/>
      </c>
    </row>
    <row r="3148" ht="15" customHeight="1" s="107">
      <c r="A3148" s="216">
        <f>'CEI CRIANÇA SANTA EDWIGES'!F20</f>
        <v/>
      </c>
      <c r="B3148" s="217">
        <f>'CEI CRIANÇA SANTA EDWIGES'!C20</f>
        <v/>
      </c>
    </row>
    <row r="3149" ht="15" customHeight="1" s="107">
      <c r="A3149" s="216">
        <f>'CEI CRIANÇA SANTA EDWIGES'!F21</f>
        <v/>
      </c>
      <c r="B3149" s="217">
        <f>'CEI CRIANÇA SANTA EDWIGES'!C21</f>
        <v/>
      </c>
    </row>
    <row r="3150" ht="15" customHeight="1" s="107">
      <c r="A3150" s="216">
        <f>'CEI CRIANÇA SANTA EDWIGES'!F22</f>
        <v/>
      </c>
      <c r="B3150" s="217">
        <f>'CEI CRIANÇA SANTA EDWIGES'!C22</f>
        <v/>
      </c>
    </row>
    <row r="3151" ht="15" customHeight="1" s="107">
      <c r="A3151" s="216">
        <f>'CEI CRIANÇA SANTA EDWIGES'!F23</f>
        <v/>
      </c>
      <c r="B3151" s="217">
        <f>'CEI CRIANÇA SANTA EDWIGES'!C23</f>
        <v/>
      </c>
    </row>
    <row r="3152" ht="15" customHeight="1" s="107">
      <c r="A3152" s="216">
        <f>'CEI CRIANÇA SANTA EDWIGES'!F24</f>
        <v/>
      </c>
      <c r="B3152" s="217">
        <f>'CEI CRIANÇA SANTA EDWIGES'!C24</f>
        <v/>
      </c>
    </row>
    <row r="3153" ht="15" customHeight="1" s="107">
      <c r="A3153" s="216">
        <f>'CEI CRIANÇA SANTA EDWIGES'!F25</f>
        <v/>
      </c>
      <c r="B3153" s="217">
        <f>'CEI CRIANÇA SANTA EDWIGES'!C25</f>
        <v/>
      </c>
    </row>
    <row r="3154" ht="15" customHeight="1" s="107">
      <c r="A3154" s="216">
        <f>'CEI CRIANÇA SANTA EDWIGES'!F26</f>
        <v/>
      </c>
      <c r="B3154" s="217">
        <f>'CEI CRIANÇA SANTA EDWIGES'!C26</f>
        <v/>
      </c>
    </row>
    <row r="3155" ht="15" customHeight="1" s="107">
      <c r="A3155" s="216">
        <f>'CEI CRIANÇA SANTA EDWIGES'!F27</f>
        <v/>
      </c>
      <c r="B3155" s="217">
        <f>'CEI CRIANÇA SANTA EDWIGES'!C27</f>
        <v/>
      </c>
    </row>
    <row r="3156" ht="15" customHeight="1" s="107">
      <c r="A3156" s="216">
        <f>'E M ARNALDO DYCKERHOFF'!F9</f>
        <v/>
      </c>
      <c r="B3156" s="217">
        <f>'E M ARNALDO DYCKERHOFF'!C9</f>
        <v/>
      </c>
    </row>
    <row r="3157" ht="15" customHeight="1" s="107">
      <c r="A3157" s="216">
        <f>'E M ARNALDO DYCKERHOFF'!F10</f>
        <v/>
      </c>
      <c r="B3157" s="217">
        <f>'E M ARNALDO DYCKERHOFF'!C10</f>
        <v/>
      </c>
    </row>
    <row r="3158" ht="15" customHeight="1" s="107">
      <c r="A3158" s="216">
        <f>'E M ARNALDO DYCKERHOFF'!F11</f>
        <v/>
      </c>
      <c r="B3158" s="217">
        <f>'E M ARNALDO DYCKERHOFF'!C11</f>
        <v/>
      </c>
    </row>
    <row r="3159" ht="15" customHeight="1" s="107">
      <c r="A3159" s="216">
        <f>'E M ARNALDO DYCKERHOFF'!F12</f>
        <v/>
      </c>
      <c r="B3159" s="217">
        <f>'E M ARNALDO DYCKERHOFF'!C12</f>
        <v/>
      </c>
    </row>
    <row r="3160" ht="15" customHeight="1" s="107">
      <c r="A3160" s="216">
        <f>'E M ARNALDO DYCKERHOFF'!F13</f>
        <v/>
      </c>
      <c r="B3160" s="217">
        <f>'E M ARNALDO DYCKERHOFF'!C13</f>
        <v/>
      </c>
    </row>
    <row r="3161" ht="15" customHeight="1" s="107">
      <c r="A3161" s="216">
        <f>'E M ARNALDO DYCKERHOFF'!F14</f>
        <v/>
      </c>
      <c r="B3161" s="217">
        <f>'E M ARNALDO DYCKERHOFF'!C14</f>
        <v/>
      </c>
    </row>
    <row r="3162" ht="15" customHeight="1" s="107">
      <c r="A3162" s="216">
        <f>'E M ARNALDO DYCKERHOFF'!F15</f>
        <v/>
      </c>
      <c r="B3162" s="217">
        <f>'E M ARNALDO DYCKERHOFF'!C15</f>
        <v/>
      </c>
    </row>
    <row r="3163" ht="15" customHeight="1" s="107">
      <c r="A3163" s="216">
        <f>'E M ARNALDO DYCKERHOFF'!F16</f>
        <v/>
      </c>
      <c r="B3163" s="217">
        <f>'E M ARNALDO DYCKERHOFF'!C16</f>
        <v/>
      </c>
    </row>
    <row r="3164" ht="15" customHeight="1" s="107">
      <c r="A3164" s="216">
        <f>'E M ARNALDO DYCKERHOFF'!F17</f>
        <v/>
      </c>
      <c r="B3164" s="217">
        <f>'E M ARNALDO DYCKERHOFF'!C17</f>
        <v/>
      </c>
    </row>
    <row r="3165" ht="15" customHeight="1" s="107">
      <c r="A3165" s="216">
        <f>'E M ARNALDO DYCKERHOFF'!F18</f>
        <v/>
      </c>
      <c r="B3165" s="217">
        <f>'E M ARNALDO DYCKERHOFF'!C18</f>
        <v/>
      </c>
    </row>
    <row r="3166" ht="15" customHeight="1" s="107">
      <c r="A3166" s="216">
        <f>'E M ARNALDO DYCKERHOFF'!F19</f>
        <v/>
      </c>
      <c r="B3166" s="217">
        <f>'E M ARNALDO DYCKERHOFF'!C19</f>
        <v/>
      </c>
    </row>
    <row r="3167" ht="15" customHeight="1" s="107">
      <c r="A3167" s="216">
        <f>'E M ARNALDO DYCKERHOFF'!F20</f>
        <v/>
      </c>
      <c r="B3167" s="217">
        <f>'E M ARNALDO DYCKERHOFF'!C20</f>
        <v/>
      </c>
    </row>
    <row r="3168" ht="15" customHeight="1" s="107">
      <c r="A3168" s="216">
        <f>'E M ARNALDO DYCKERHOFF'!F21</f>
        <v/>
      </c>
      <c r="B3168" s="217">
        <f>'E M ARNALDO DYCKERHOFF'!C21</f>
        <v/>
      </c>
    </row>
    <row r="3169" ht="15" customHeight="1" s="107">
      <c r="A3169" s="216">
        <f>'E M ARNALDO DYCKERHOFF'!F22</f>
        <v/>
      </c>
      <c r="B3169" s="217">
        <f>'E M ARNALDO DYCKERHOFF'!C22</f>
        <v/>
      </c>
    </row>
    <row r="3170" ht="15" customHeight="1" s="107">
      <c r="A3170" s="216">
        <f>'E M ARNALDO DYCKERHOFF'!F23</f>
        <v/>
      </c>
      <c r="B3170" s="217">
        <f>'E M ARNALDO DYCKERHOFF'!C23</f>
        <v/>
      </c>
    </row>
    <row r="3171" ht="15" customHeight="1" s="107">
      <c r="A3171" s="216">
        <f>'E M ARNALDO DYCKERHOFF'!F24</f>
        <v/>
      </c>
      <c r="B3171" s="217">
        <f>'E M ARNALDO DYCKERHOFF'!C24</f>
        <v/>
      </c>
    </row>
    <row r="3172" ht="15" customHeight="1" s="107">
      <c r="A3172" s="216">
        <f>'E M ARNALDO DYCKERHOFF'!F25</f>
        <v/>
      </c>
      <c r="B3172" s="217">
        <f>'E M ARNALDO DYCKERHOFF'!C25</f>
        <v/>
      </c>
    </row>
    <row r="3173" ht="15" customHeight="1" s="107">
      <c r="A3173" s="216">
        <f>'E M ARNALDO DYCKERHOFF'!F26</f>
        <v/>
      </c>
      <c r="B3173" s="217">
        <f>'E M ARNALDO DYCKERHOFF'!C26</f>
        <v/>
      </c>
    </row>
    <row r="3174" ht="15" customHeight="1" s="107">
      <c r="A3174" s="216">
        <f>'E M ARNALDO DYCKERHOFF'!F27</f>
        <v/>
      </c>
      <c r="B3174" s="217">
        <f>'E M ARNALDO DYCKERHOFF'!C27</f>
        <v/>
      </c>
    </row>
    <row r="3175" ht="15" customHeight="1" s="107">
      <c r="A3175" s="216">
        <f>'E M CARLOS CANEDO'!F9</f>
        <v/>
      </c>
      <c r="B3175" s="217">
        <f>'E M CARLOS CANEDO'!C9</f>
        <v/>
      </c>
    </row>
    <row r="3176" ht="15" customHeight="1" s="107">
      <c r="A3176" s="216">
        <f>'E M CARLOS CANEDO'!F10</f>
        <v/>
      </c>
      <c r="B3176" s="217">
        <f>'E M CARLOS CANEDO'!C10</f>
        <v/>
      </c>
    </row>
    <row r="3177" ht="15" customHeight="1" s="107">
      <c r="A3177" s="216">
        <f>'E M CARLOS CANEDO'!F11</f>
        <v/>
      </c>
      <c r="B3177" s="217">
        <f>'E M CARLOS CANEDO'!C11</f>
        <v/>
      </c>
    </row>
    <row r="3178" ht="15" customHeight="1" s="107">
      <c r="A3178" s="216">
        <f>'E M CARLOS CANEDO'!F12</f>
        <v/>
      </c>
      <c r="B3178" s="217">
        <f>'E M CARLOS CANEDO'!C12</f>
        <v/>
      </c>
    </row>
    <row r="3179" ht="15" customHeight="1" s="107">
      <c r="A3179" s="216">
        <f>'E M CARLOS CANEDO'!F13</f>
        <v/>
      </c>
      <c r="B3179" s="217">
        <f>'E M CARLOS CANEDO'!C13</f>
        <v/>
      </c>
    </row>
    <row r="3180" ht="15" customHeight="1" s="107">
      <c r="A3180" s="216">
        <f>'E M CARLOS CANEDO'!F14</f>
        <v/>
      </c>
      <c r="B3180" s="217">
        <f>'E M CARLOS CANEDO'!C14</f>
        <v/>
      </c>
    </row>
    <row r="3181" ht="15" customHeight="1" s="107">
      <c r="A3181" s="216">
        <f>'E M CARLOS CANEDO'!F15</f>
        <v/>
      </c>
      <c r="B3181" s="217">
        <f>'E M CARLOS CANEDO'!C15</f>
        <v/>
      </c>
    </row>
    <row r="3182" ht="15" customHeight="1" s="107">
      <c r="A3182" s="216">
        <f>'E M CARLOS CANEDO'!F16</f>
        <v/>
      </c>
      <c r="B3182" s="217">
        <f>'E M CARLOS CANEDO'!C16</f>
        <v/>
      </c>
    </row>
    <row r="3183" ht="15" customHeight="1" s="107">
      <c r="A3183" s="216">
        <f>'E M CARLOS CANEDO'!F17</f>
        <v/>
      </c>
      <c r="B3183" s="217">
        <f>'E M CARLOS CANEDO'!C17</f>
        <v/>
      </c>
    </row>
    <row r="3184" ht="15" customHeight="1" s="107">
      <c r="A3184" s="216">
        <f>'E M CARLOS CANEDO'!F18</f>
        <v/>
      </c>
      <c r="B3184" s="217">
        <f>'E M CARLOS CANEDO'!C18</f>
        <v/>
      </c>
    </row>
    <row r="3185" ht="15" customHeight="1" s="107">
      <c r="A3185" s="216">
        <f>'E M CARLOS CANEDO'!F19</f>
        <v/>
      </c>
      <c r="B3185" s="217">
        <f>'E M CARLOS CANEDO'!C19</f>
        <v/>
      </c>
    </row>
    <row r="3186" ht="15" customHeight="1" s="107">
      <c r="A3186" s="216">
        <f>'E M CARLOS CANEDO'!F20</f>
        <v/>
      </c>
      <c r="B3186" s="217">
        <f>'E M CARLOS CANEDO'!C20</f>
        <v/>
      </c>
    </row>
    <row r="3187" ht="15" customHeight="1" s="107">
      <c r="A3187" s="216">
        <f>'E M CARLOS CANEDO'!F21</f>
        <v/>
      </c>
      <c r="B3187" s="217">
        <f>'E M CARLOS CANEDO'!C21</f>
        <v/>
      </c>
    </row>
    <row r="3188" ht="15" customHeight="1" s="107">
      <c r="A3188" s="216">
        <f>'E M CARLOS CANEDO'!F22</f>
        <v/>
      </c>
      <c r="B3188" s="217">
        <f>'E M CARLOS CANEDO'!C22</f>
        <v/>
      </c>
    </row>
    <row r="3189" ht="15" customHeight="1" s="107">
      <c r="A3189" s="216">
        <f>'E M CARLOS CANEDO'!F23</f>
        <v/>
      </c>
      <c r="B3189" s="217">
        <f>'E M CARLOS CANEDO'!C23</f>
        <v/>
      </c>
    </row>
    <row r="3190" ht="15" customHeight="1" s="107">
      <c r="A3190" s="216">
        <f>'E M CARLOS CANEDO'!F24</f>
        <v/>
      </c>
      <c r="B3190" s="217">
        <f>'E M CARLOS CANEDO'!C24</f>
        <v/>
      </c>
    </row>
    <row r="3191" ht="15" customHeight="1" s="107">
      <c r="A3191" s="216">
        <f>'E M CARLOS CANEDO'!F25</f>
        <v/>
      </c>
      <c r="B3191" s="217">
        <f>'E M CARLOS CANEDO'!C25</f>
        <v/>
      </c>
    </row>
    <row r="3192" ht="15" customHeight="1" s="107">
      <c r="A3192" s="216">
        <f>'E M CARLOS CANEDO'!F26</f>
        <v/>
      </c>
      <c r="B3192" s="217">
        <f>'E M CARLOS CANEDO'!C26</f>
        <v/>
      </c>
    </row>
    <row r="3193" ht="15" customHeight="1" s="107">
      <c r="A3193" s="216">
        <f>'E M CARLOS CANEDO'!F27</f>
        <v/>
      </c>
      <c r="B3193" s="217">
        <f>'E M CARLOS CANEDO'!C27</f>
        <v/>
      </c>
    </row>
    <row r="3194" ht="15" customHeight="1" s="107">
      <c r="A3194" s="216">
        <f>'E M BEATRIZ ZALESKI'!F9</f>
        <v/>
      </c>
      <c r="B3194" s="217">
        <f>'E M BEATRIZ ZALESKI'!C9</f>
        <v/>
      </c>
    </row>
    <row r="3195" ht="15" customHeight="1" s="107">
      <c r="A3195" s="216">
        <f>'E M BEATRIZ ZALESKI'!F10</f>
        <v/>
      </c>
      <c r="B3195" s="217">
        <f>'E M BEATRIZ ZALESKI'!C10</f>
        <v/>
      </c>
    </row>
    <row r="3196" ht="15" customHeight="1" s="107">
      <c r="A3196" s="216">
        <f>'E M BEATRIZ ZALESKI'!F11</f>
        <v/>
      </c>
      <c r="B3196" s="217">
        <f>'E M BEATRIZ ZALESKI'!C11</f>
        <v/>
      </c>
    </row>
    <row r="3197" ht="15" customHeight="1" s="107">
      <c r="A3197" s="216">
        <f>'E M BEATRIZ ZALESKI'!F12</f>
        <v/>
      </c>
      <c r="B3197" s="217">
        <f>'E M BEATRIZ ZALESKI'!C12</f>
        <v/>
      </c>
    </row>
    <row r="3198" ht="15" customHeight="1" s="107">
      <c r="A3198" s="216">
        <f>'E M BEATRIZ ZALESKI'!F13</f>
        <v/>
      </c>
      <c r="B3198" s="217">
        <f>'E M BEATRIZ ZALESKI'!C13</f>
        <v/>
      </c>
    </row>
    <row r="3199" ht="15" customHeight="1" s="107">
      <c r="A3199" s="216">
        <f>'E M BEATRIZ ZALESKI'!F14</f>
        <v/>
      </c>
      <c r="B3199" s="217">
        <f>'E M BEATRIZ ZALESKI'!C14</f>
        <v/>
      </c>
    </row>
    <row r="3200" ht="15" customHeight="1" s="107">
      <c r="A3200" s="216">
        <f>'E M BEATRIZ ZALESKI'!F15</f>
        <v/>
      </c>
      <c r="B3200" s="217">
        <f>'E M BEATRIZ ZALESKI'!C15</f>
        <v/>
      </c>
    </row>
    <row r="3201" ht="15" customHeight="1" s="107">
      <c r="A3201" s="216">
        <f>'E M BEATRIZ ZALESKI'!F16</f>
        <v/>
      </c>
      <c r="B3201" s="217">
        <f>'E M BEATRIZ ZALESKI'!C16</f>
        <v/>
      </c>
    </row>
    <row r="3202" ht="15" customHeight="1" s="107">
      <c r="A3202" s="216">
        <f>'E M BEATRIZ ZALESKI'!F17</f>
        <v/>
      </c>
      <c r="B3202" s="217">
        <f>'E M BEATRIZ ZALESKI'!C17</f>
        <v/>
      </c>
    </row>
    <row r="3203" ht="15" customHeight="1" s="107">
      <c r="A3203" s="216">
        <f>'E M BEATRIZ ZALESKI'!F18</f>
        <v/>
      </c>
      <c r="B3203" s="217">
        <f>'E M BEATRIZ ZALESKI'!C18</f>
        <v/>
      </c>
    </row>
    <row r="3204" ht="15" customHeight="1" s="107">
      <c r="A3204" s="216">
        <f>'E M BEATRIZ ZALESKI'!F19</f>
        <v/>
      </c>
      <c r="B3204" s="217">
        <f>'E M BEATRIZ ZALESKI'!C19</f>
        <v/>
      </c>
    </row>
    <row r="3205" ht="15" customHeight="1" s="107">
      <c r="A3205" s="216">
        <f>'E M BEATRIZ ZALESKI'!F20</f>
        <v/>
      </c>
      <c r="B3205" s="217">
        <f>'E M BEATRIZ ZALESKI'!C20</f>
        <v/>
      </c>
    </row>
    <row r="3206" ht="15" customHeight="1" s="107">
      <c r="A3206" s="216">
        <f>'E M BEATRIZ ZALESKI'!F21</f>
        <v/>
      </c>
      <c r="B3206" s="217">
        <f>'E M BEATRIZ ZALESKI'!C21</f>
        <v/>
      </c>
    </row>
    <row r="3207" ht="15" customHeight="1" s="107">
      <c r="A3207" s="216">
        <f>'E M BEATRIZ ZALESKI'!F22</f>
        <v/>
      </c>
      <c r="B3207" s="217">
        <f>'E M BEATRIZ ZALESKI'!C22</f>
        <v/>
      </c>
    </row>
    <row r="3208" ht="15" customHeight="1" s="107">
      <c r="A3208" s="216">
        <f>'E M BEATRIZ ZALESKI'!F23</f>
        <v/>
      </c>
      <c r="B3208" s="217">
        <f>'E M BEATRIZ ZALESKI'!C23</f>
        <v/>
      </c>
    </row>
    <row r="3209" ht="15" customHeight="1" s="107">
      <c r="A3209" s="216">
        <f>'E M BEATRIZ ZALESKI'!F24</f>
        <v/>
      </c>
      <c r="B3209" s="217">
        <f>'E M BEATRIZ ZALESKI'!C24</f>
        <v/>
      </c>
    </row>
    <row r="3210" ht="15" customHeight="1" s="107">
      <c r="A3210" s="216">
        <f>'E M BEATRIZ ZALESKI'!F25</f>
        <v/>
      </c>
      <c r="B3210" s="217">
        <f>'E M BEATRIZ ZALESKI'!C25</f>
        <v/>
      </c>
    </row>
    <row r="3211" ht="15" customHeight="1" s="107">
      <c r="A3211" s="216">
        <f>'E M BEATRIZ ZALESKI'!F26</f>
        <v/>
      </c>
      <c r="B3211" s="217">
        <f>'E M BEATRIZ ZALESKI'!C26</f>
        <v/>
      </c>
    </row>
    <row r="3212" ht="15" customHeight="1" s="107">
      <c r="A3212" s="216">
        <f>'E M BEATRIZ ZALESKI'!F27</f>
        <v/>
      </c>
      <c r="B3212" s="217">
        <f>'E M BEATRIZ ZALESKI'!C27</f>
        <v/>
      </c>
    </row>
    <row r="3213" ht="15" customHeight="1" s="107">
      <c r="A3213" s="216">
        <f>'E M ANTÔNIO JOSÉ DE LIMA'!F9</f>
        <v/>
      </c>
      <c r="B3213" s="217">
        <f>'E M ANTÔNIO JOSÉ DE LIMA'!C9</f>
        <v/>
      </c>
    </row>
    <row r="3214" ht="15" customHeight="1" s="107">
      <c r="A3214" s="216">
        <f>'E M ANTÔNIO JOSÉ DE LIMA'!F10</f>
        <v/>
      </c>
      <c r="B3214" s="217">
        <f>'E M ANTÔNIO JOSÉ DE LIMA'!C10</f>
        <v/>
      </c>
    </row>
    <row r="3215" ht="15" customHeight="1" s="107">
      <c r="A3215" s="216">
        <f>'E M ANTÔNIO JOSÉ DE LIMA'!F11</f>
        <v/>
      </c>
      <c r="B3215" s="217">
        <f>'E M ANTÔNIO JOSÉ DE LIMA'!C11</f>
        <v/>
      </c>
    </row>
    <row r="3216" ht="15" customHeight="1" s="107">
      <c r="A3216" s="216">
        <f>'E M ANTÔNIO JOSÉ DE LIMA'!F12</f>
        <v/>
      </c>
      <c r="B3216" s="217">
        <f>'E M ANTÔNIO JOSÉ DE LIMA'!C12</f>
        <v/>
      </c>
    </row>
    <row r="3217" ht="15" customHeight="1" s="107">
      <c r="A3217" s="216">
        <f>'E M ANTÔNIO JOSÉ DE LIMA'!F13</f>
        <v/>
      </c>
      <c r="B3217" s="217">
        <f>'E M ANTÔNIO JOSÉ DE LIMA'!C13</f>
        <v/>
      </c>
    </row>
    <row r="3218" ht="15" customHeight="1" s="107">
      <c r="A3218" s="216">
        <f>'E M ANTÔNIO JOSÉ DE LIMA'!F14</f>
        <v/>
      </c>
      <c r="B3218" s="217">
        <f>'E M ANTÔNIO JOSÉ DE LIMA'!C14</f>
        <v/>
      </c>
    </row>
    <row r="3219" ht="15" customHeight="1" s="107">
      <c r="A3219" s="216">
        <f>'E M ANTÔNIO JOSÉ DE LIMA'!F15</f>
        <v/>
      </c>
      <c r="B3219" s="217">
        <f>'E M ANTÔNIO JOSÉ DE LIMA'!C15</f>
        <v/>
      </c>
    </row>
    <row r="3220" ht="15" customHeight="1" s="107">
      <c r="A3220" s="216">
        <f>'E M ANTÔNIO JOSÉ DE LIMA'!F16</f>
        <v/>
      </c>
      <c r="B3220" s="217">
        <f>'E M ANTÔNIO JOSÉ DE LIMA'!C16</f>
        <v/>
      </c>
    </row>
    <row r="3221" ht="15" customHeight="1" s="107">
      <c r="A3221" s="216">
        <f>'E M ANTÔNIO JOSÉ DE LIMA'!F17</f>
        <v/>
      </c>
      <c r="B3221" s="217">
        <f>'E M ANTÔNIO JOSÉ DE LIMA'!C17</f>
        <v/>
      </c>
    </row>
    <row r="3222" ht="15" customHeight="1" s="107">
      <c r="A3222" s="216">
        <f>'E M ANTÔNIO JOSÉ DE LIMA'!F18</f>
        <v/>
      </c>
      <c r="B3222" s="217">
        <f>'E M ANTÔNIO JOSÉ DE LIMA'!C18</f>
        <v/>
      </c>
    </row>
    <row r="3223" ht="15" customHeight="1" s="107">
      <c r="A3223" s="216">
        <f>'E M ANTÔNIO JOSÉ DE LIMA'!F19</f>
        <v/>
      </c>
      <c r="B3223" s="217">
        <f>'E M ANTÔNIO JOSÉ DE LIMA'!C19</f>
        <v/>
      </c>
    </row>
    <row r="3224" ht="15" customHeight="1" s="107">
      <c r="A3224" s="216">
        <f>'E M ANTÔNIO JOSÉ DE LIMA'!F20</f>
        <v/>
      </c>
      <c r="B3224" s="217">
        <f>'E M ANTÔNIO JOSÉ DE LIMA'!C20</f>
        <v/>
      </c>
    </row>
    <row r="3225" ht="15" customHeight="1" s="107">
      <c r="A3225" s="216">
        <f>'E M ANTÔNIO JOSÉ DE LIMA'!F21</f>
        <v/>
      </c>
      <c r="B3225" s="217">
        <f>'E M ANTÔNIO JOSÉ DE LIMA'!C21</f>
        <v/>
      </c>
    </row>
    <row r="3226" ht="15" customHeight="1" s="107">
      <c r="A3226" s="216">
        <f>'E M ANTÔNIO JOSÉ DE LIMA'!F22</f>
        <v/>
      </c>
      <c r="B3226" s="217">
        <f>'E M ANTÔNIO JOSÉ DE LIMA'!C22</f>
        <v/>
      </c>
    </row>
    <row r="3227" ht="15" customHeight="1" s="107">
      <c r="A3227" s="216">
        <f>'E M ANTÔNIO JOSÉ DE LIMA'!F23</f>
        <v/>
      </c>
      <c r="B3227" s="217">
        <f>'E M ANTÔNIO JOSÉ DE LIMA'!C23</f>
        <v/>
      </c>
    </row>
    <row r="3228" ht="15" customHeight="1" s="107">
      <c r="A3228" s="216">
        <f>'E M ANTÔNIO JOSÉ DE LIMA'!F24</f>
        <v/>
      </c>
      <c r="B3228" s="217">
        <f>'E M ANTÔNIO JOSÉ DE LIMA'!C24</f>
        <v/>
      </c>
    </row>
    <row r="3229" ht="15" customHeight="1" s="107">
      <c r="A3229" s="216">
        <f>'E M ANTÔNIO JOSÉ DE LIMA'!F25</f>
        <v/>
      </c>
      <c r="B3229" s="217">
        <f>'E M ANTÔNIO JOSÉ DE LIMA'!C25</f>
        <v/>
      </c>
    </row>
    <row r="3230" ht="15" customHeight="1" s="107">
      <c r="A3230" s="216">
        <f>'E M ANTÔNIO JOSÉ DE LIMA'!F26</f>
        <v/>
      </c>
      <c r="B3230" s="217">
        <f>'E M ANTÔNIO JOSÉ DE LIMA'!C26</f>
        <v/>
      </c>
    </row>
    <row r="3231" ht="15" customHeight="1" s="107">
      <c r="A3231" s="216">
        <f>'E M ANTÔNIO JOSÉ DE LIMA'!F27</f>
        <v/>
      </c>
      <c r="B3231" s="217">
        <f>'E M ANTÔNIO JOSÉ DE LIMA'!C27</f>
        <v/>
      </c>
    </row>
    <row r="3232" ht="15" customHeight="1" s="107">
      <c r="A3232" s="216">
        <f>'E M FELIX WAN ERVEN DE BARROS'!F9</f>
        <v/>
      </c>
      <c r="B3232" s="217">
        <f>'E M FELIX WAN ERVEN DE BARROS'!C9</f>
        <v/>
      </c>
    </row>
    <row r="3233" ht="15" customHeight="1" s="107">
      <c r="A3233" s="216">
        <f>'E M FELIX WAN ERVEN DE BARROS'!F10</f>
        <v/>
      </c>
      <c r="B3233" s="217">
        <f>'E M FELIX WAN ERVEN DE BARROS'!C10</f>
        <v/>
      </c>
    </row>
    <row r="3234" ht="15" customHeight="1" s="107">
      <c r="A3234" s="216">
        <f>'E M FELIX WAN ERVEN DE BARROS'!F11</f>
        <v/>
      </c>
      <c r="B3234" s="217">
        <f>'E M FELIX WAN ERVEN DE BARROS'!C11</f>
        <v/>
      </c>
    </row>
    <row r="3235" ht="15" customHeight="1" s="107">
      <c r="A3235" s="216">
        <f>'E M FELIX WAN ERVEN DE BARROS'!F12</f>
        <v/>
      </c>
      <c r="B3235" s="217">
        <f>'E M FELIX WAN ERVEN DE BARROS'!C12</f>
        <v/>
      </c>
    </row>
    <row r="3236" ht="15" customHeight="1" s="107">
      <c r="A3236" s="216">
        <f>'E M FELIX WAN ERVEN DE BARROS'!F13</f>
        <v/>
      </c>
      <c r="B3236" s="217">
        <f>'E M FELIX WAN ERVEN DE BARROS'!C13</f>
        <v/>
      </c>
    </row>
    <row r="3237" ht="15" customHeight="1" s="107">
      <c r="A3237" s="216">
        <f>'E M FELIX WAN ERVEN DE BARROS'!F14</f>
        <v/>
      </c>
      <c r="B3237" s="217">
        <f>'E M FELIX WAN ERVEN DE BARROS'!C14</f>
        <v/>
      </c>
    </row>
    <row r="3238" ht="15" customHeight="1" s="107">
      <c r="A3238" s="216">
        <f>'E M FELIX WAN ERVEN DE BARROS'!F15</f>
        <v/>
      </c>
      <c r="B3238" s="217">
        <f>'E M FELIX WAN ERVEN DE BARROS'!C15</f>
        <v/>
      </c>
    </row>
    <row r="3239" ht="15" customHeight="1" s="107">
      <c r="A3239" s="216">
        <f>'E M FELIX WAN ERVEN DE BARROS'!F16</f>
        <v/>
      </c>
      <c r="B3239" s="217">
        <f>'E M FELIX WAN ERVEN DE BARROS'!C16</f>
        <v/>
      </c>
    </row>
    <row r="3240" ht="15" customHeight="1" s="107">
      <c r="A3240" s="216">
        <f>'E M FELIX WAN ERVEN DE BARROS'!F17</f>
        <v/>
      </c>
      <c r="B3240" s="217">
        <f>'E M FELIX WAN ERVEN DE BARROS'!C17</f>
        <v/>
      </c>
    </row>
    <row r="3241" ht="15" customHeight="1" s="107">
      <c r="A3241" s="216">
        <f>'E M FELIX WAN ERVEN DE BARROS'!F18</f>
        <v/>
      </c>
      <c r="B3241" s="217">
        <f>'E M FELIX WAN ERVEN DE BARROS'!C18</f>
        <v/>
      </c>
    </row>
    <row r="3242" ht="15" customHeight="1" s="107">
      <c r="A3242" s="216">
        <f>'E M FELIX WAN ERVEN DE BARROS'!F19</f>
        <v/>
      </c>
      <c r="B3242" s="217">
        <f>'E M FELIX WAN ERVEN DE BARROS'!C19</f>
        <v/>
      </c>
    </row>
    <row r="3243" ht="15" customHeight="1" s="107">
      <c r="A3243" s="216">
        <f>'E M FELIX WAN ERVEN DE BARROS'!F20</f>
        <v/>
      </c>
      <c r="B3243" s="217">
        <f>'E M FELIX WAN ERVEN DE BARROS'!C20</f>
        <v/>
      </c>
    </row>
    <row r="3244" ht="15" customHeight="1" s="107">
      <c r="A3244" s="216">
        <f>'E M FELIX WAN ERVEN DE BARROS'!F21</f>
        <v/>
      </c>
      <c r="B3244" s="217">
        <f>'E M FELIX WAN ERVEN DE BARROS'!C21</f>
        <v/>
      </c>
    </row>
    <row r="3245" ht="15" customHeight="1" s="107">
      <c r="A3245" s="216">
        <f>'E M FELIX WAN ERVEN DE BARROS'!F22</f>
        <v/>
      </c>
      <c r="B3245" s="217">
        <f>'E M FELIX WAN ERVEN DE BARROS'!C22</f>
        <v/>
      </c>
    </row>
    <row r="3246" ht="15" customHeight="1" s="107">
      <c r="A3246" s="216">
        <f>'E M FELIX WAN ERVEN DE BARROS'!F23</f>
        <v/>
      </c>
      <c r="B3246" s="217">
        <f>'E M FELIX WAN ERVEN DE BARROS'!C23</f>
        <v/>
      </c>
    </row>
    <row r="3247" ht="15" customHeight="1" s="107">
      <c r="A3247" s="216">
        <f>'E M FELIX WAN ERVEN DE BARROS'!F24</f>
        <v/>
      </c>
      <c r="B3247" s="217">
        <f>'E M FELIX WAN ERVEN DE BARROS'!C24</f>
        <v/>
      </c>
    </row>
    <row r="3248" ht="15" customHeight="1" s="107">
      <c r="A3248" s="216">
        <f>'E M FELIX WAN ERVEN DE BARROS'!F25</f>
        <v/>
      </c>
      <c r="B3248" s="217">
        <f>'E M FELIX WAN ERVEN DE BARROS'!C25</f>
        <v/>
      </c>
    </row>
    <row r="3249" ht="15" customHeight="1" s="107">
      <c r="A3249" s="216">
        <f>'E M FELIX WAN ERVEN DE BARROS'!F26</f>
        <v/>
      </c>
      <c r="B3249" s="217">
        <f>'E M FELIX WAN ERVEN DE BARROS'!C26</f>
        <v/>
      </c>
    </row>
    <row r="3250" ht="15" customHeight="1" s="107">
      <c r="A3250" s="216">
        <f>'E M FELIX WAN ERVEN DE BARROS'!F27</f>
        <v/>
      </c>
      <c r="B3250" s="217">
        <f>'E M FELIX WAN ERVEN DE BARROS'!C27</f>
        <v/>
      </c>
    </row>
    <row r="3251" ht="15" customHeight="1" s="107">
      <c r="A3251" s="216">
        <f>'ESCOLA MUNICIPAL HILDEBRANDO DE'!F9</f>
        <v/>
      </c>
      <c r="B3251" s="217">
        <f>'ESCOLA MUNICIPAL HILDEBRANDO DE'!C9</f>
        <v/>
      </c>
    </row>
    <row r="3252" ht="15" customHeight="1" s="107">
      <c r="A3252" s="216">
        <f>'ESCOLA MUNICIPAL HILDEBRANDO DE'!F10</f>
        <v/>
      </c>
      <c r="B3252" s="217">
        <f>'ESCOLA MUNICIPAL HILDEBRANDO DE'!C10</f>
        <v/>
      </c>
    </row>
    <row r="3253" ht="15" customHeight="1" s="107">
      <c r="A3253" s="216">
        <f>'ESCOLA MUNICIPAL HILDEBRANDO DE'!F11</f>
        <v/>
      </c>
      <c r="B3253" s="217">
        <f>'ESCOLA MUNICIPAL HILDEBRANDO DE'!C11</f>
        <v/>
      </c>
    </row>
    <row r="3254" ht="15" customHeight="1" s="107">
      <c r="A3254" s="216">
        <f>'ESCOLA MUNICIPAL HILDEBRANDO DE'!F12</f>
        <v/>
      </c>
      <c r="B3254" s="217">
        <f>'ESCOLA MUNICIPAL HILDEBRANDO DE'!C12</f>
        <v/>
      </c>
    </row>
    <row r="3255" ht="15" customHeight="1" s="107">
      <c r="A3255" s="216">
        <f>'ESCOLA MUNICIPAL HILDEBRANDO DE'!F13</f>
        <v/>
      </c>
      <c r="B3255" s="217">
        <f>'ESCOLA MUNICIPAL HILDEBRANDO DE'!C13</f>
        <v/>
      </c>
    </row>
    <row r="3256" ht="15" customHeight="1" s="107">
      <c r="A3256" s="216">
        <f>'ESCOLA MUNICIPAL HILDEBRANDO DE'!F14</f>
        <v/>
      </c>
      <c r="B3256" s="217">
        <f>'ESCOLA MUNICIPAL HILDEBRANDO DE'!C14</f>
        <v/>
      </c>
    </row>
    <row r="3257" ht="15" customHeight="1" s="107">
      <c r="A3257" s="216">
        <f>'ESCOLA MUNICIPAL HILDEBRANDO DE'!F15</f>
        <v/>
      </c>
      <c r="B3257" s="217">
        <f>'ESCOLA MUNICIPAL HILDEBRANDO DE'!C15</f>
        <v/>
      </c>
    </row>
    <row r="3258" ht="15" customHeight="1" s="107">
      <c r="A3258" s="216">
        <f>'ESCOLA MUNICIPAL HILDEBRANDO DE'!F16</f>
        <v/>
      </c>
      <c r="B3258" s="217">
        <f>'ESCOLA MUNICIPAL HILDEBRANDO DE'!C16</f>
        <v/>
      </c>
    </row>
    <row r="3259" ht="15" customHeight="1" s="107">
      <c r="A3259" s="216">
        <f>'ESCOLA MUNICIPAL HILDEBRANDO DE'!F17</f>
        <v/>
      </c>
      <c r="B3259" s="217">
        <f>'ESCOLA MUNICIPAL HILDEBRANDO DE'!C17</f>
        <v/>
      </c>
    </row>
    <row r="3260" ht="15" customHeight="1" s="107">
      <c r="A3260" s="216">
        <f>'ESCOLA MUNICIPAL HILDEBRANDO DE'!F18</f>
        <v/>
      </c>
      <c r="B3260" s="217">
        <f>'ESCOLA MUNICIPAL HILDEBRANDO DE'!C18</f>
        <v/>
      </c>
    </row>
    <row r="3261" ht="15" customHeight="1" s="107">
      <c r="A3261" s="216">
        <f>'ESCOLA MUNICIPAL HILDEBRANDO DE'!F19</f>
        <v/>
      </c>
      <c r="B3261" s="217">
        <f>'ESCOLA MUNICIPAL HILDEBRANDO DE'!C19</f>
        <v/>
      </c>
    </row>
    <row r="3262" ht="15" customHeight="1" s="107">
      <c r="A3262" s="216">
        <f>'ESCOLA MUNICIPAL HILDEBRANDO DE'!F20</f>
        <v/>
      </c>
      <c r="B3262" s="217">
        <f>'ESCOLA MUNICIPAL HILDEBRANDO DE'!C20</f>
        <v/>
      </c>
    </row>
    <row r="3263" ht="15" customHeight="1" s="107">
      <c r="A3263" s="216">
        <f>'ESCOLA MUNICIPAL HILDEBRANDO DE'!F21</f>
        <v/>
      </c>
      <c r="B3263" s="217">
        <f>'ESCOLA MUNICIPAL HILDEBRANDO DE'!C21</f>
        <v/>
      </c>
    </row>
    <row r="3264" ht="15" customHeight="1" s="107">
      <c r="A3264" s="216">
        <f>'ESCOLA MUNICIPAL HILDEBRANDO DE'!F22</f>
        <v/>
      </c>
      <c r="B3264" s="217">
        <f>'ESCOLA MUNICIPAL HILDEBRANDO DE'!C22</f>
        <v/>
      </c>
    </row>
    <row r="3265" ht="15" customHeight="1" s="107">
      <c r="A3265" s="216">
        <f>'ESCOLA MUNICIPAL HILDEBRANDO DE'!F23</f>
        <v/>
      </c>
      <c r="B3265" s="217">
        <f>'ESCOLA MUNICIPAL HILDEBRANDO DE'!C23</f>
        <v/>
      </c>
    </row>
    <row r="3266" ht="15" customHeight="1" s="107">
      <c r="A3266" s="216">
        <f>'ESCOLA MUNICIPAL HILDEBRANDO DE'!F24</f>
        <v/>
      </c>
      <c r="B3266" s="217">
        <f>'ESCOLA MUNICIPAL HILDEBRANDO DE'!C24</f>
        <v/>
      </c>
    </row>
    <row r="3267" ht="15" customHeight="1" s="107">
      <c r="A3267" s="216">
        <f>'ESCOLA MUNICIPAL HILDEBRANDO DE'!F25</f>
        <v/>
      </c>
      <c r="B3267" s="217">
        <f>'ESCOLA MUNICIPAL HILDEBRANDO DE'!C25</f>
        <v/>
      </c>
    </row>
    <row r="3268" ht="15" customHeight="1" s="107">
      <c r="A3268" s="216">
        <f>'ESCOLA MUNICIPAL HILDEBRANDO DE'!F26</f>
        <v/>
      </c>
      <c r="B3268" s="217">
        <f>'ESCOLA MUNICIPAL HILDEBRANDO DE'!C26</f>
        <v/>
      </c>
    </row>
    <row r="3269" ht="15" customHeight="1" s="107">
      <c r="A3269" s="216">
        <f>'ESCOLA MUNICIPAL HILDEBRANDO DE'!F27</f>
        <v/>
      </c>
      <c r="B3269" s="217">
        <f>'ESCOLA MUNICIPAL HILDEBRANDO DE'!C27</f>
        <v/>
      </c>
    </row>
    <row r="3270" ht="15" customHeight="1" s="107">
      <c r="A3270" s="216">
        <f>'E M OSWALDO DA COSTA FRIAS'!F9</f>
        <v/>
      </c>
      <c r="B3270" s="217">
        <f>'E M OSWALDO DA COSTA FRIAS'!C9</f>
        <v/>
      </c>
    </row>
    <row r="3271" ht="15" customHeight="1" s="107">
      <c r="A3271" s="216">
        <f>'E M OSWALDO DA COSTA FRIAS'!F10</f>
        <v/>
      </c>
      <c r="B3271" s="217">
        <f>'E M OSWALDO DA COSTA FRIAS'!C10</f>
        <v/>
      </c>
    </row>
    <row r="3272" ht="15" customHeight="1" s="107">
      <c r="A3272" s="216">
        <f>'E M OSWALDO DA COSTA FRIAS'!F11</f>
        <v/>
      </c>
      <c r="B3272" s="217">
        <f>'E M OSWALDO DA COSTA FRIAS'!C11</f>
        <v/>
      </c>
    </row>
    <row r="3273" ht="15" customHeight="1" s="107">
      <c r="A3273" s="216">
        <f>'E M OSWALDO DA COSTA FRIAS'!F12</f>
        <v/>
      </c>
      <c r="B3273" s="217">
        <f>'E M OSWALDO DA COSTA FRIAS'!C12</f>
        <v/>
      </c>
    </row>
    <row r="3274" ht="15" customHeight="1" s="107">
      <c r="A3274" s="216">
        <f>'E M OSWALDO DA COSTA FRIAS'!F13</f>
        <v/>
      </c>
      <c r="B3274" s="217">
        <f>'E M OSWALDO DA COSTA FRIAS'!C13</f>
        <v/>
      </c>
    </row>
    <row r="3275" ht="15" customHeight="1" s="107">
      <c r="A3275" s="216">
        <f>'E M OSWALDO DA COSTA FRIAS'!F14</f>
        <v/>
      </c>
      <c r="B3275" s="217">
        <f>'E M OSWALDO DA COSTA FRIAS'!C14</f>
        <v/>
      </c>
    </row>
    <row r="3276" ht="15" customHeight="1" s="107">
      <c r="A3276" s="216">
        <f>'E M OSWALDO DA COSTA FRIAS'!F15</f>
        <v/>
      </c>
      <c r="B3276" s="217">
        <f>'E M OSWALDO DA COSTA FRIAS'!C15</f>
        <v/>
      </c>
    </row>
    <row r="3277" ht="15" customHeight="1" s="107">
      <c r="A3277" s="216">
        <f>'E M OSWALDO DA COSTA FRIAS'!F16</f>
        <v/>
      </c>
      <c r="B3277" s="217">
        <f>'E M OSWALDO DA COSTA FRIAS'!C16</f>
        <v/>
      </c>
    </row>
    <row r="3278" ht="15" customHeight="1" s="107">
      <c r="A3278" s="216">
        <f>'E M OSWALDO DA COSTA FRIAS'!F17</f>
        <v/>
      </c>
      <c r="B3278" s="217">
        <f>'E M OSWALDO DA COSTA FRIAS'!C17</f>
        <v/>
      </c>
    </row>
    <row r="3279" ht="15" customHeight="1" s="107">
      <c r="A3279" s="216">
        <f>'E M OSWALDO DA COSTA FRIAS'!F18</f>
        <v/>
      </c>
      <c r="B3279" s="217">
        <f>'E M OSWALDO DA COSTA FRIAS'!C18</f>
        <v/>
      </c>
    </row>
    <row r="3280" ht="15" customHeight="1" s="107">
      <c r="A3280" s="216">
        <f>'E M OSWALDO DA COSTA FRIAS'!F19</f>
        <v/>
      </c>
      <c r="B3280" s="217">
        <f>'E M OSWALDO DA COSTA FRIAS'!C19</f>
        <v/>
      </c>
    </row>
    <row r="3281" ht="15" customHeight="1" s="107">
      <c r="A3281" s="216">
        <f>'E M OSWALDO DA COSTA FRIAS'!F20</f>
        <v/>
      </c>
      <c r="B3281" s="217">
        <f>'E M OSWALDO DA COSTA FRIAS'!C20</f>
        <v/>
      </c>
    </row>
    <row r="3282" ht="15" customHeight="1" s="107">
      <c r="A3282" s="216">
        <f>'E M OSWALDO DA COSTA FRIAS'!F21</f>
        <v/>
      </c>
      <c r="B3282" s="217">
        <f>'E M OSWALDO DA COSTA FRIAS'!C21</f>
        <v/>
      </c>
    </row>
    <row r="3283" ht="15" customHeight="1" s="107">
      <c r="A3283" s="216">
        <f>'E M OSWALDO DA COSTA FRIAS'!F22</f>
        <v/>
      </c>
      <c r="B3283" s="217">
        <f>'E M OSWALDO DA COSTA FRIAS'!C22</f>
        <v/>
      </c>
    </row>
    <row r="3284" ht="15" customHeight="1" s="107">
      <c r="A3284" s="216">
        <f>'E M OSWALDO DA COSTA FRIAS'!F23</f>
        <v/>
      </c>
      <c r="B3284" s="217">
        <f>'E M OSWALDO DA COSTA FRIAS'!C23</f>
        <v/>
      </c>
    </row>
    <row r="3285" ht="15" customHeight="1" s="107">
      <c r="A3285" s="216">
        <f>'E M OSWALDO DA COSTA FRIAS'!F24</f>
        <v/>
      </c>
      <c r="B3285" s="217">
        <f>'E M OSWALDO DA COSTA FRIAS'!C24</f>
        <v/>
      </c>
    </row>
    <row r="3286" ht="15" customHeight="1" s="107">
      <c r="A3286" s="216">
        <f>'E M OSWALDO DA COSTA FRIAS'!F25</f>
        <v/>
      </c>
      <c r="B3286" s="217">
        <f>'E M OSWALDO DA COSTA FRIAS'!C25</f>
        <v/>
      </c>
    </row>
    <row r="3287" ht="15" customHeight="1" s="107">
      <c r="A3287" s="216">
        <f>'E M OSWALDO DA COSTA FRIAS'!F26</f>
        <v/>
      </c>
      <c r="B3287" s="217">
        <f>'E M OSWALDO DA COSTA FRIAS'!C26</f>
        <v/>
      </c>
    </row>
    <row r="3288" ht="15" customHeight="1" s="107">
      <c r="A3288" s="216">
        <f>'E M OSWALDO DA COSTA FRIAS'!F27</f>
        <v/>
      </c>
      <c r="B3288" s="217">
        <f>'E M OSWALDO DA COSTA FRIAS'!C27</f>
        <v/>
      </c>
    </row>
    <row r="3289" ht="15" customHeight="1" s="107">
      <c r="A3289" s="216">
        <f>'E MZDA AVELINO DE CARVALHO'!F9</f>
        <v/>
      </c>
      <c r="B3289" s="217">
        <f>'E MZDA AVELINO DE CARVALHO'!C9</f>
        <v/>
      </c>
    </row>
    <row r="3290" ht="15" customHeight="1" s="107">
      <c r="A3290" s="216">
        <f>'E MZDA AVELINO DE CARVALHO'!F10</f>
        <v/>
      </c>
      <c r="B3290" s="217">
        <f>'E MZDA AVELINO DE CARVALHO'!C10</f>
        <v/>
      </c>
    </row>
    <row r="3291" ht="15" customHeight="1" s="107">
      <c r="A3291" s="216">
        <f>'E MZDA AVELINO DE CARVALHO'!F11</f>
        <v/>
      </c>
      <c r="B3291" s="217">
        <f>'E MZDA AVELINO DE CARVALHO'!C11</f>
        <v/>
      </c>
    </row>
    <row r="3292" ht="15" customHeight="1" s="107">
      <c r="A3292" s="216">
        <f>'E MZDA AVELINO DE CARVALHO'!F12</f>
        <v/>
      </c>
      <c r="B3292" s="217">
        <f>'E MZDA AVELINO DE CARVALHO'!C12</f>
        <v/>
      </c>
    </row>
    <row r="3293" ht="15" customHeight="1" s="107">
      <c r="A3293" s="216">
        <f>'E MZDA AVELINO DE CARVALHO'!F13</f>
        <v/>
      </c>
      <c r="B3293" s="217">
        <f>'E MZDA AVELINO DE CARVALHO'!C13</f>
        <v/>
      </c>
    </row>
    <row r="3294" ht="15" customHeight="1" s="107">
      <c r="A3294" s="216">
        <f>'E MZDA AVELINO DE CARVALHO'!F14</f>
        <v/>
      </c>
      <c r="B3294" s="217">
        <f>'E MZDA AVELINO DE CARVALHO'!C14</f>
        <v/>
      </c>
    </row>
    <row r="3295" ht="15" customHeight="1" s="107">
      <c r="A3295" s="216">
        <f>'E MZDA AVELINO DE CARVALHO'!F15</f>
        <v/>
      </c>
      <c r="B3295" s="217">
        <f>'E MZDA AVELINO DE CARVALHO'!C15</f>
        <v/>
      </c>
    </row>
    <row r="3296" ht="15" customHeight="1" s="107">
      <c r="A3296" s="216">
        <f>'E MZDA AVELINO DE CARVALHO'!F16</f>
        <v/>
      </c>
      <c r="B3296" s="217">
        <f>'E MZDA AVELINO DE CARVALHO'!C16</f>
        <v/>
      </c>
    </row>
    <row r="3297" ht="15" customHeight="1" s="107">
      <c r="A3297" s="216">
        <f>'E MZDA AVELINO DE CARVALHO'!F17</f>
        <v/>
      </c>
      <c r="B3297" s="217">
        <f>'E MZDA AVELINO DE CARVALHO'!C17</f>
        <v/>
      </c>
    </row>
    <row r="3298" ht="15" customHeight="1" s="107">
      <c r="A3298" s="216">
        <f>'E MZDA AVELINO DE CARVALHO'!F18</f>
        <v/>
      </c>
      <c r="B3298" s="217">
        <f>'E MZDA AVELINO DE CARVALHO'!C18</f>
        <v/>
      </c>
    </row>
    <row r="3299" ht="15" customHeight="1" s="107">
      <c r="A3299" s="216">
        <f>'E MZDA AVELINO DE CARVALHO'!F19</f>
        <v/>
      </c>
      <c r="B3299" s="217">
        <f>'E MZDA AVELINO DE CARVALHO'!C19</f>
        <v/>
      </c>
    </row>
    <row r="3300" ht="15" customHeight="1" s="107">
      <c r="A3300" s="216">
        <f>'E MZDA AVELINO DE CARVALHO'!F20</f>
        <v/>
      </c>
      <c r="B3300" s="217">
        <f>'E MZDA AVELINO DE CARVALHO'!C20</f>
        <v/>
      </c>
    </row>
    <row r="3301" ht="15" customHeight="1" s="107">
      <c r="A3301" s="216">
        <f>'E MZDA AVELINO DE CARVALHO'!F21</f>
        <v/>
      </c>
      <c r="B3301" s="217">
        <f>'E MZDA AVELINO DE CARVALHO'!C21</f>
        <v/>
      </c>
    </row>
    <row r="3302" ht="15" customHeight="1" s="107">
      <c r="A3302" s="216">
        <f>'E MZDA AVELINO DE CARVALHO'!F22</f>
        <v/>
      </c>
      <c r="B3302" s="217">
        <f>'E MZDA AVELINO DE CARVALHO'!C22</f>
        <v/>
      </c>
    </row>
    <row r="3303" ht="15" customHeight="1" s="107">
      <c r="A3303" s="216">
        <f>'E MZDA AVELINO DE CARVALHO'!F23</f>
        <v/>
      </c>
      <c r="B3303" s="217">
        <f>'E MZDA AVELINO DE CARVALHO'!C23</f>
        <v/>
      </c>
    </row>
    <row r="3304" ht="15" customHeight="1" s="107">
      <c r="A3304" s="216">
        <f>'E MZDA AVELINO DE CARVALHO'!F24</f>
        <v/>
      </c>
      <c r="B3304" s="217">
        <f>'E MZDA AVELINO DE CARVALHO'!C24</f>
        <v/>
      </c>
    </row>
    <row r="3305" ht="15" customHeight="1" s="107">
      <c r="A3305" s="216">
        <f>'E MZDA AVELINO DE CARVALHO'!F25</f>
        <v/>
      </c>
      <c r="B3305" s="217">
        <f>'E MZDA AVELINO DE CARVALHO'!C25</f>
        <v/>
      </c>
    </row>
    <row r="3306" ht="15" customHeight="1" s="107">
      <c r="A3306" s="216">
        <f>'E MZDA AVELINO DE CARVALHO'!F26</f>
        <v/>
      </c>
      <c r="B3306" s="217">
        <f>'E MZDA AVELINO DE CARVALHO'!C26</f>
        <v/>
      </c>
    </row>
    <row r="3307" ht="15" customHeight="1" s="107">
      <c r="A3307" s="216">
        <f>'E MZDA AVELINO DE CARVALHO'!F27</f>
        <v/>
      </c>
      <c r="B3307" s="217">
        <f>'E MZDA AVELINO DE CARVALHO'!C27</f>
        <v/>
      </c>
    </row>
    <row r="3308" ht="15" customHeight="1" s="107">
      <c r="A3308" s="216">
        <f>'ESCOLA MUNICIPALIZADA MOYSÉS FU'!F9</f>
        <v/>
      </c>
      <c r="B3308" s="217">
        <f>'ESCOLA MUNICIPALIZADA MOYSÉS FU'!C9</f>
        <v/>
      </c>
    </row>
    <row r="3309" ht="15" customHeight="1" s="107">
      <c r="A3309" s="216">
        <f>'ESCOLA MUNICIPALIZADA MOYSÉS FU'!F10</f>
        <v/>
      </c>
      <c r="B3309" s="217">
        <f>'ESCOLA MUNICIPALIZADA MOYSÉS FU'!C10</f>
        <v/>
      </c>
    </row>
    <row r="3310" ht="15" customHeight="1" s="107">
      <c r="A3310" s="216">
        <f>'ESCOLA MUNICIPALIZADA MOYSÉS FU'!F11</f>
        <v/>
      </c>
      <c r="B3310" s="217">
        <f>'ESCOLA MUNICIPALIZADA MOYSÉS FU'!C11</f>
        <v/>
      </c>
    </row>
    <row r="3311" ht="15" customHeight="1" s="107">
      <c r="A3311" s="216">
        <f>'ESCOLA MUNICIPALIZADA MOYSÉS FU'!F12</f>
        <v/>
      </c>
      <c r="B3311" s="217">
        <f>'ESCOLA MUNICIPALIZADA MOYSÉS FU'!C12</f>
        <v/>
      </c>
    </row>
    <row r="3312" ht="15" customHeight="1" s="107">
      <c r="A3312" s="216">
        <f>'ESCOLA MUNICIPALIZADA MOYSÉS FU'!F13</f>
        <v/>
      </c>
      <c r="B3312" s="217">
        <f>'ESCOLA MUNICIPALIZADA MOYSÉS FU'!C13</f>
        <v/>
      </c>
    </row>
    <row r="3313" ht="15" customHeight="1" s="107">
      <c r="A3313" s="216">
        <f>'ESCOLA MUNICIPALIZADA MOYSÉS FU'!F14</f>
        <v/>
      </c>
      <c r="B3313" s="217">
        <f>'ESCOLA MUNICIPALIZADA MOYSÉS FU'!C14</f>
        <v/>
      </c>
    </row>
    <row r="3314" ht="15" customHeight="1" s="107">
      <c r="A3314" s="216">
        <f>'ESCOLA MUNICIPALIZADA MOYSÉS FU'!F15</f>
        <v/>
      </c>
      <c r="B3314" s="217">
        <f>'ESCOLA MUNICIPALIZADA MOYSÉS FU'!C15</f>
        <v/>
      </c>
    </row>
    <row r="3315" ht="15" customHeight="1" s="107">
      <c r="A3315" s="216">
        <f>'ESCOLA MUNICIPALIZADA MOYSÉS FU'!F16</f>
        <v/>
      </c>
      <c r="B3315" s="217">
        <f>'ESCOLA MUNICIPALIZADA MOYSÉS FU'!C16</f>
        <v/>
      </c>
    </row>
    <row r="3316" ht="15" customHeight="1" s="107">
      <c r="A3316" s="216">
        <f>'ESCOLA MUNICIPALIZADA MOYSÉS FU'!F17</f>
        <v/>
      </c>
      <c r="B3316" s="217">
        <f>'ESCOLA MUNICIPALIZADA MOYSÉS FU'!C17</f>
        <v/>
      </c>
    </row>
    <row r="3317" ht="15" customHeight="1" s="107">
      <c r="A3317" s="216">
        <f>'ESCOLA MUNICIPALIZADA MOYSÉS FU'!F18</f>
        <v/>
      </c>
      <c r="B3317" s="217">
        <f>'ESCOLA MUNICIPALIZADA MOYSÉS FU'!C18</f>
        <v/>
      </c>
    </row>
    <row r="3318" ht="15" customHeight="1" s="107">
      <c r="A3318" s="216">
        <f>'ESCOLA MUNICIPALIZADA MOYSÉS FU'!F19</f>
        <v/>
      </c>
      <c r="B3318" s="217">
        <f>'ESCOLA MUNICIPALIZADA MOYSÉS FU'!C19</f>
        <v/>
      </c>
    </row>
    <row r="3319" ht="15" customHeight="1" s="107">
      <c r="A3319" s="216">
        <f>'ESCOLA MUNICIPALIZADA MOYSÉS FU'!F20</f>
        <v/>
      </c>
      <c r="B3319" s="217">
        <f>'ESCOLA MUNICIPALIZADA MOYSÉS FU'!C20</f>
        <v/>
      </c>
    </row>
    <row r="3320" ht="15" customHeight="1" s="107">
      <c r="A3320" s="216">
        <f>'ESCOLA MUNICIPALIZADA MOYSÉS FU'!F21</f>
        <v/>
      </c>
      <c r="B3320" s="217">
        <f>'ESCOLA MUNICIPALIZADA MOYSÉS FU'!C21</f>
        <v/>
      </c>
    </row>
    <row r="3321" ht="15" customHeight="1" s="107">
      <c r="A3321" s="216">
        <f>'ESCOLA MUNICIPALIZADA MOYSÉS FU'!F22</f>
        <v/>
      </c>
      <c r="B3321" s="217">
        <f>'ESCOLA MUNICIPALIZADA MOYSÉS FU'!C22</f>
        <v/>
      </c>
    </row>
    <row r="3322" ht="15" customHeight="1" s="107">
      <c r="A3322" s="216">
        <f>'ESCOLA MUNICIPALIZADA MOYSÉS FU'!F23</f>
        <v/>
      </c>
      <c r="B3322" s="217">
        <f>'ESCOLA MUNICIPALIZADA MOYSÉS FU'!C23</f>
        <v/>
      </c>
    </row>
    <row r="3323" ht="15" customHeight="1" s="107">
      <c r="A3323" s="216">
        <f>'ESCOLA MUNICIPALIZADA MOYSÉS FU'!F24</f>
        <v/>
      </c>
      <c r="B3323" s="217">
        <f>'ESCOLA MUNICIPALIZADA MOYSÉS FU'!C24</f>
        <v/>
      </c>
    </row>
    <row r="3324" ht="15" customHeight="1" s="107">
      <c r="A3324" s="216">
        <f>'ESCOLA MUNICIPALIZADA MOYSÉS FU'!F25</f>
        <v/>
      </c>
      <c r="B3324" s="217">
        <f>'ESCOLA MUNICIPALIZADA MOYSÉS FU'!C25</f>
        <v/>
      </c>
    </row>
    <row r="3325" ht="15" customHeight="1" s="107">
      <c r="A3325" s="216">
        <f>'ESCOLA MUNICIPALIZADA MOYSÉS FU'!F26</f>
        <v/>
      </c>
      <c r="B3325" s="217">
        <f>'ESCOLA MUNICIPALIZADA MOYSÉS FU'!C26</f>
        <v/>
      </c>
    </row>
    <row r="3326" ht="15" customHeight="1" s="107">
      <c r="A3326" s="216">
        <f>'ESCOLA MUNICIPALIZADA MOYSÉS FU'!F27</f>
        <v/>
      </c>
      <c r="B3326" s="217">
        <f>'ESCOLA MUNICIPALIZADA MOYSÉS FU'!C27</f>
        <v/>
      </c>
    </row>
    <row r="3327" ht="15" customHeight="1" s="107">
      <c r="A3327" s="216">
        <f>'CEI ANGELA MARIA DA CONCEIÇÃO S'!F9</f>
        <v/>
      </c>
      <c r="B3327" s="217">
        <f>'CEI ANGELA MARIA DA CONCEIÇÃO S'!C9</f>
        <v/>
      </c>
    </row>
    <row r="3328" ht="15" customHeight="1" s="107">
      <c r="A3328" s="216">
        <f>'CEI ANGELA MARIA DA CONCEIÇÃO S'!F10</f>
        <v/>
      </c>
      <c r="B3328" s="217">
        <f>'CEI ANGELA MARIA DA CONCEIÇÃO S'!C10</f>
        <v/>
      </c>
    </row>
    <row r="3329" ht="15" customHeight="1" s="107">
      <c r="A3329" s="216">
        <f>'CEI ANGELA MARIA DA CONCEIÇÃO S'!F11</f>
        <v/>
      </c>
      <c r="B3329" s="217">
        <f>'CEI ANGELA MARIA DA CONCEIÇÃO S'!C11</f>
        <v/>
      </c>
    </row>
    <row r="3330" ht="15" customHeight="1" s="107">
      <c r="A3330" s="216">
        <f>'CEI ANGELA MARIA DA CONCEIÇÃO S'!F12</f>
        <v/>
      </c>
      <c r="B3330" s="217">
        <f>'CEI ANGELA MARIA DA CONCEIÇÃO S'!C12</f>
        <v/>
      </c>
    </row>
    <row r="3331" ht="15" customHeight="1" s="107">
      <c r="A3331" s="216">
        <f>'CEI ANGELA MARIA DA CONCEIÇÃO S'!F13</f>
        <v/>
      </c>
      <c r="B3331" s="217">
        <f>'CEI ANGELA MARIA DA CONCEIÇÃO S'!C13</f>
        <v/>
      </c>
    </row>
    <row r="3332" ht="15" customHeight="1" s="107">
      <c r="A3332" s="216">
        <f>'CEI ANGELA MARIA DA CONCEIÇÃO S'!F14</f>
        <v/>
      </c>
      <c r="B3332" s="217">
        <f>'CEI ANGELA MARIA DA CONCEIÇÃO S'!C14</f>
        <v/>
      </c>
    </row>
    <row r="3333" ht="15" customHeight="1" s="107">
      <c r="A3333" s="216">
        <f>'CEI ANGELA MARIA DA CONCEIÇÃO S'!F15</f>
        <v/>
      </c>
      <c r="B3333" s="217">
        <f>'CEI ANGELA MARIA DA CONCEIÇÃO S'!C15</f>
        <v/>
      </c>
    </row>
    <row r="3334" ht="15" customHeight="1" s="107">
      <c r="A3334" s="216">
        <f>'CEI ANGELA MARIA DA CONCEIÇÃO S'!F16</f>
        <v/>
      </c>
      <c r="B3334" s="217">
        <f>'CEI ANGELA MARIA DA CONCEIÇÃO S'!C16</f>
        <v/>
      </c>
    </row>
    <row r="3335" ht="15" customHeight="1" s="107">
      <c r="A3335" s="216">
        <f>'CEI ANGELA MARIA DA CONCEIÇÃO S'!F17</f>
        <v/>
      </c>
      <c r="B3335" s="217">
        <f>'CEI ANGELA MARIA DA CONCEIÇÃO S'!C17</f>
        <v/>
      </c>
    </row>
    <row r="3336" ht="15" customHeight="1" s="107">
      <c r="A3336" s="216">
        <f>'CEI ANGELA MARIA DA CONCEIÇÃO S'!F18</f>
        <v/>
      </c>
      <c r="B3336" s="217">
        <f>'CEI ANGELA MARIA DA CONCEIÇÃO S'!C18</f>
        <v/>
      </c>
    </row>
    <row r="3337" ht="15" customHeight="1" s="107">
      <c r="A3337" s="216">
        <f>'CEI ANGELA MARIA DA CONCEIÇÃO S'!F19</f>
        <v/>
      </c>
      <c r="B3337" s="217">
        <f>'CEI ANGELA MARIA DA CONCEIÇÃO S'!C19</f>
        <v/>
      </c>
    </row>
    <row r="3338" ht="15" customHeight="1" s="107">
      <c r="A3338" s="216">
        <f>'CEI ANGELA MARIA DA CONCEIÇÃO S'!F20</f>
        <v/>
      </c>
      <c r="B3338" s="217">
        <f>'CEI ANGELA MARIA DA CONCEIÇÃO S'!C20</f>
        <v/>
      </c>
    </row>
    <row r="3339" ht="15" customHeight="1" s="107">
      <c r="A3339" s="216">
        <f>'CEI ANGELA MARIA DA CONCEIÇÃO S'!F21</f>
        <v/>
      </c>
      <c r="B3339" s="217">
        <f>'CEI ANGELA MARIA DA CONCEIÇÃO S'!C21</f>
        <v/>
      </c>
    </row>
    <row r="3340" ht="15" customHeight="1" s="107">
      <c r="A3340" s="216">
        <f>'CEI ANGELA MARIA DA CONCEIÇÃO S'!F22</f>
        <v/>
      </c>
      <c r="B3340" s="217">
        <f>'CEI ANGELA MARIA DA CONCEIÇÃO S'!C22</f>
        <v/>
      </c>
    </row>
    <row r="3341" ht="15" customHeight="1" s="107">
      <c r="A3341" s="216">
        <f>'CEI ANGELA MARIA DA CONCEIÇÃO S'!F23</f>
        <v/>
      </c>
      <c r="B3341" s="217">
        <f>'CEI ANGELA MARIA DA CONCEIÇÃO S'!C23</f>
        <v/>
      </c>
    </row>
    <row r="3342" ht="15" customHeight="1" s="107">
      <c r="A3342" s="216">
        <f>'CEI ANGELA MARIA DA CONCEIÇÃO S'!F24</f>
        <v/>
      </c>
      <c r="B3342" s="217">
        <f>'CEI ANGELA MARIA DA CONCEIÇÃO S'!C24</f>
        <v/>
      </c>
    </row>
    <row r="3343" ht="15" customHeight="1" s="107">
      <c r="A3343" s="216">
        <f>'CEI ANGELA MARIA DA CONCEIÇÃO S'!F25</f>
        <v/>
      </c>
      <c r="B3343" s="217">
        <f>'CEI ANGELA MARIA DA CONCEIÇÃO S'!C25</f>
        <v/>
      </c>
    </row>
    <row r="3344" ht="15" customHeight="1" s="107">
      <c r="A3344" s="216">
        <f>'CEI ANGELA MARIA DA CONCEIÇÃO S'!F26</f>
        <v/>
      </c>
      <c r="B3344" s="217">
        <f>'CEI ANGELA MARIA DA CONCEIÇÃO S'!C26</f>
        <v/>
      </c>
    </row>
    <row r="3345" ht="15" customHeight="1" s="107">
      <c r="A3345" s="216">
        <f>'CEI ANGELA MARIA DA CONCEIÇÃO S'!F27</f>
        <v/>
      </c>
      <c r="B3345" s="217">
        <f>'CEI ANGELA MARIA DA CONCEIÇÃO S'!C27</f>
        <v/>
      </c>
    </row>
    <row r="3346" ht="15" customHeight="1" s="107">
      <c r="A3346" s="216">
        <f>'CEI JOSÉ GONÇALVES DA MOTTA'!F9</f>
        <v/>
      </c>
      <c r="B3346" s="217">
        <f>'CEI JOSÉ GONÇALVES DA MOTTA'!C9</f>
        <v/>
      </c>
    </row>
    <row r="3347" ht="15" customHeight="1" s="107">
      <c r="A3347" s="216">
        <f>'CEI JOSÉ GONÇALVES DA MOTTA'!F10</f>
        <v/>
      </c>
      <c r="B3347" s="217">
        <f>'CEI JOSÉ GONÇALVES DA MOTTA'!C10</f>
        <v/>
      </c>
    </row>
    <row r="3348" ht="15" customHeight="1" s="107">
      <c r="A3348" s="216">
        <f>'CEI JOSÉ GONÇALVES DA MOTTA'!F11</f>
        <v/>
      </c>
      <c r="B3348" s="217">
        <f>'CEI JOSÉ GONÇALVES DA MOTTA'!C11</f>
        <v/>
      </c>
    </row>
    <row r="3349" ht="15" customHeight="1" s="107">
      <c r="A3349" s="216">
        <f>'CEI JOSÉ GONÇALVES DA MOTTA'!F12</f>
        <v/>
      </c>
      <c r="B3349" s="217">
        <f>'CEI JOSÉ GONÇALVES DA MOTTA'!C12</f>
        <v/>
      </c>
    </row>
    <row r="3350" ht="15" customHeight="1" s="107">
      <c r="A3350" s="216">
        <f>'CEI JOSÉ GONÇALVES DA MOTTA'!F13</f>
        <v/>
      </c>
      <c r="B3350" s="217">
        <f>'CEI JOSÉ GONÇALVES DA MOTTA'!C13</f>
        <v/>
      </c>
    </row>
    <row r="3351" ht="15" customHeight="1" s="107">
      <c r="A3351" s="216">
        <f>'CEI JOSÉ GONÇALVES DA MOTTA'!F14</f>
        <v/>
      </c>
      <c r="B3351" s="217">
        <f>'CEI JOSÉ GONÇALVES DA MOTTA'!C14</f>
        <v/>
      </c>
    </row>
    <row r="3352" ht="15" customHeight="1" s="107">
      <c r="A3352" s="216">
        <f>'CEI JOSÉ GONÇALVES DA MOTTA'!F15</f>
        <v/>
      </c>
      <c r="B3352" s="217">
        <f>'CEI JOSÉ GONÇALVES DA MOTTA'!C15</f>
        <v/>
      </c>
    </row>
    <row r="3353" ht="15" customHeight="1" s="107">
      <c r="A3353" s="216">
        <f>'CEI JOSÉ GONÇALVES DA MOTTA'!F16</f>
        <v/>
      </c>
      <c r="B3353" s="217">
        <f>'CEI JOSÉ GONÇALVES DA MOTTA'!C16</f>
        <v/>
      </c>
    </row>
    <row r="3354" ht="15" customHeight="1" s="107">
      <c r="A3354" s="216">
        <f>'CEI JOSÉ GONÇALVES DA MOTTA'!F17</f>
        <v/>
      </c>
      <c r="B3354" s="217">
        <f>'CEI JOSÉ GONÇALVES DA MOTTA'!C17</f>
        <v/>
      </c>
    </row>
    <row r="3355" ht="15" customHeight="1" s="107">
      <c r="A3355" s="216">
        <f>'CEI JOSÉ GONÇALVES DA MOTTA'!F18</f>
        <v/>
      </c>
      <c r="B3355" s="217">
        <f>'CEI JOSÉ GONÇALVES DA MOTTA'!C18</f>
        <v/>
      </c>
    </row>
    <row r="3356" ht="15" customHeight="1" s="107">
      <c r="A3356" s="216">
        <f>'CEI JOSÉ GONÇALVES DA MOTTA'!F19</f>
        <v/>
      </c>
      <c r="B3356" s="217">
        <f>'CEI JOSÉ GONÇALVES DA MOTTA'!C19</f>
        <v/>
      </c>
    </row>
    <row r="3357" ht="15" customHeight="1" s="107">
      <c r="A3357" s="216">
        <f>'CEI JOSÉ GONÇALVES DA MOTTA'!F20</f>
        <v/>
      </c>
      <c r="B3357" s="217">
        <f>'CEI JOSÉ GONÇALVES DA MOTTA'!C20</f>
        <v/>
      </c>
    </row>
    <row r="3358" ht="15" customHeight="1" s="107">
      <c r="A3358" s="216">
        <f>'CEI JOSÉ GONÇALVES DA MOTTA'!F21</f>
        <v/>
      </c>
      <c r="B3358" s="217">
        <f>'CEI JOSÉ GONÇALVES DA MOTTA'!C21</f>
        <v/>
      </c>
    </row>
    <row r="3359" ht="15" customHeight="1" s="107">
      <c r="A3359" s="216">
        <f>'CEI JOSÉ GONÇALVES DA MOTTA'!F22</f>
        <v/>
      </c>
      <c r="B3359" s="217">
        <f>'CEI JOSÉ GONÇALVES DA MOTTA'!C22</f>
        <v/>
      </c>
    </row>
    <row r="3360" ht="15" customHeight="1" s="107">
      <c r="A3360" s="216">
        <f>'CEI JOSÉ GONÇALVES DA MOTTA'!F23</f>
        <v/>
      </c>
      <c r="B3360" s="217">
        <f>'CEI JOSÉ GONÇALVES DA MOTTA'!C23</f>
        <v/>
      </c>
    </row>
    <row r="3361" ht="15" customHeight="1" s="107">
      <c r="A3361" s="216">
        <f>'CEI JOSÉ GONÇALVES DA MOTTA'!F24</f>
        <v/>
      </c>
      <c r="B3361" s="217">
        <f>'CEI JOSÉ GONÇALVES DA MOTTA'!C24</f>
        <v/>
      </c>
    </row>
    <row r="3362" ht="15" customHeight="1" s="107">
      <c r="A3362" s="216">
        <f>'CEI JOSÉ GONÇALVES DA MOTTA'!F25</f>
        <v/>
      </c>
      <c r="B3362" s="217">
        <f>'CEI JOSÉ GONÇALVES DA MOTTA'!C25</f>
        <v/>
      </c>
    </row>
    <row r="3363" ht="15" customHeight="1" s="107">
      <c r="A3363" s="216">
        <f>'CEI JOSÉ GONÇALVES DA MOTTA'!F26</f>
        <v/>
      </c>
      <c r="B3363" s="217">
        <f>'CEI JOSÉ GONÇALVES DA MOTTA'!C26</f>
        <v/>
      </c>
    </row>
    <row r="3364" ht="15" customHeight="1" s="107">
      <c r="A3364" s="216">
        <f>'CEI JOSÉ GONÇALVES DA MOTTA'!F27</f>
        <v/>
      </c>
      <c r="B3364" s="217">
        <f>'CEI JOSÉ GONÇALVES DA MOTTA'!C27</f>
        <v/>
      </c>
    </row>
    <row r="3365" ht="15" customHeight="1" s="107">
      <c r="A3365" s="216">
        <f>'E M DR BARROS FRANCO'!F9</f>
        <v/>
      </c>
      <c r="B3365" s="217">
        <f>'E M DR BARROS FRANCO'!C9</f>
        <v/>
      </c>
    </row>
    <row r="3366" ht="15" customHeight="1" s="107">
      <c r="A3366" s="216">
        <f>'E M DR BARROS FRANCO'!F10</f>
        <v/>
      </c>
      <c r="B3366" s="217">
        <f>'E M DR BARROS FRANCO'!C10</f>
        <v/>
      </c>
    </row>
    <row r="3367" ht="15" customHeight="1" s="107">
      <c r="A3367" s="216">
        <f>'E M DR BARROS FRANCO'!F11</f>
        <v/>
      </c>
      <c r="B3367" s="217">
        <f>'E M DR BARROS FRANCO'!C11</f>
        <v/>
      </c>
    </row>
    <row r="3368" ht="15" customHeight="1" s="107">
      <c r="A3368" s="216">
        <f>'E M DR BARROS FRANCO'!F12</f>
        <v/>
      </c>
      <c r="B3368" s="217">
        <f>'E M DR BARROS FRANCO'!C12</f>
        <v/>
      </c>
    </row>
    <row r="3369" ht="15" customHeight="1" s="107">
      <c r="A3369" s="216">
        <f>'E M DR BARROS FRANCO'!F13</f>
        <v/>
      </c>
      <c r="B3369" s="217">
        <f>'E M DR BARROS FRANCO'!C13</f>
        <v/>
      </c>
    </row>
    <row r="3370" ht="15" customHeight="1" s="107">
      <c r="A3370" s="216">
        <f>'E M DR BARROS FRANCO'!F14</f>
        <v/>
      </c>
      <c r="B3370" s="217">
        <f>'E M DR BARROS FRANCO'!C14</f>
        <v/>
      </c>
    </row>
    <row r="3371" ht="15" customHeight="1" s="107">
      <c r="A3371" s="216">
        <f>'E M DR BARROS FRANCO'!F15</f>
        <v/>
      </c>
      <c r="B3371" s="217">
        <f>'E M DR BARROS FRANCO'!C15</f>
        <v/>
      </c>
    </row>
    <row r="3372" ht="15" customHeight="1" s="107">
      <c r="A3372" s="216">
        <f>'E M DR BARROS FRANCO'!F16</f>
        <v/>
      </c>
      <c r="B3372" s="217">
        <f>'E M DR BARROS FRANCO'!C16</f>
        <v/>
      </c>
    </row>
    <row r="3373" ht="15" customHeight="1" s="107">
      <c r="A3373" s="216">
        <f>'E M DR BARROS FRANCO'!F17</f>
        <v/>
      </c>
      <c r="B3373" s="217">
        <f>'E M DR BARROS FRANCO'!C17</f>
        <v/>
      </c>
    </row>
    <row r="3374" ht="15" customHeight="1" s="107">
      <c r="A3374" s="216">
        <f>'E M DR BARROS FRANCO'!F18</f>
        <v/>
      </c>
      <c r="B3374" s="217">
        <f>'E M DR BARROS FRANCO'!C18</f>
        <v/>
      </c>
    </row>
    <row r="3375" ht="15" customHeight="1" s="107">
      <c r="A3375" s="216">
        <f>'E M DR BARROS FRANCO'!F19</f>
        <v/>
      </c>
      <c r="B3375" s="217">
        <f>'E M DR BARROS FRANCO'!C19</f>
        <v/>
      </c>
    </row>
    <row r="3376" ht="15" customHeight="1" s="107">
      <c r="A3376" s="216">
        <f>'E M DR BARROS FRANCO'!F20</f>
        <v/>
      </c>
      <c r="B3376" s="217">
        <f>'E M DR BARROS FRANCO'!C20</f>
        <v/>
      </c>
    </row>
    <row r="3377" ht="15" customHeight="1" s="107">
      <c r="A3377" s="216">
        <f>'E M DR BARROS FRANCO'!F21</f>
        <v/>
      </c>
      <c r="B3377" s="217">
        <f>'E M DR BARROS FRANCO'!C21</f>
        <v/>
      </c>
    </row>
    <row r="3378" ht="15" customHeight="1" s="107">
      <c r="A3378" s="216">
        <f>'E M DR BARROS FRANCO'!F22</f>
        <v/>
      </c>
      <c r="B3378" s="217">
        <f>'E M DR BARROS FRANCO'!C22</f>
        <v/>
      </c>
    </row>
    <row r="3379" ht="15" customHeight="1" s="107">
      <c r="A3379" s="216">
        <f>'E M DR BARROS FRANCO'!F23</f>
        <v/>
      </c>
      <c r="B3379" s="217">
        <f>'E M DR BARROS FRANCO'!C23</f>
        <v/>
      </c>
    </row>
    <row r="3380" ht="15" customHeight="1" s="107">
      <c r="A3380" s="216">
        <f>'E M DR BARROS FRANCO'!F24</f>
        <v/>
      </c>
      <c r="B3380" s="217">
        <f>'E M DR BARROS FRANCO'!C24</f>
        <v/>
      </c>
    </row>
    <row r="3381" ht="15" customHeight="1" s="107">
      <c r="A3381" s="216">
        <f>'E M DR BARROS FRANCO'!F25</f>
        <v/>
      </c>
      <c r="B3381" s="217">
        <f>'E M DR BARROS FRANCO'!C25</f>
        <v/>
      </c>
    </row>
    <row r="3382" ht="15" customHeight="1" s="107">
      <c r="A3382" s="216">
        <f>'E M DR BARROS FRANCO'!F26</f>
        <v/>
      </c>
      <c r="B3382" s="217">
        <f>'E M DR BARROS FRANCO'!C26</f>
        <v/>
      </c>
    </row>
    <row r="3383" ht="15" customHeight="1" s="107">
      <c r="A3383" s="216">
        <f>'E M DR BARROS FRANCO'!F27</f>
        <v/>
      </c>
      <c r="B3383" s="217">
        <f>'E M DR BARROS FRANCO'!C27</f>
        <v/>
      </c>
    </row>
    <row r="3384" ht="15" customHeight="1" s="107">
      <c r="A3384" s="216">
        <f>'E M MAJOR THEÓFILO DE CARVALHO'!F9</f>
        <v/>
      </c>
      <c r="B3384" s="217">
        <f>'E M MAJOR THEÓFILO DE CARVALHO'!C9</f>
        <v/>
      </c>
    </row>
    <row r="3385" ht="15" customHeight="1" s="107">
      <c r="A3385" s="216">
        <f>'E M MAJOR THEÓFILO DE CARVALHO'!F10</f>
        <v/>
      </c>
      <c r="B3385" s="217">
        <f>'E M MAJOR THEÓFILO DE CARVALHO'!C10</f>
        <v/>
      </c>
    </row>
    <row r="3386" ht="15" customHeight="1" s="107">
      <c r="A3386" s="216">
        <f>'E M MAJOR THEÓFILO DE CARVALHO'!F11</f>
        <v/>
      </c>
      <c r="B3386" s="217">
        <f>'E M MAJOR THEÓFILO DE CARVALHO'!C11</f>
        <v/>
      </c>
    </row>
    <row r="3387" ht="15" customHeight="1" s="107">
      <c r="A3387" s="216">
        <f>'E M MAJOR THEÓFILO DE CARVALHO'!F12</f>
        <v/>
      </c>
      <c r="B3387" s="217">
        <f>'E M MAJOR THEÓFILO DE CARVALHO'!C12</f>
        <v/>
      </c>
    </row>
    <row r="3388" ht="15" customHeight="1" s="107">
      <c r="A3388" s="216">
        <f>'E M MAJOR THEÓFILO DE CARVALHO'!F13</f>
        <v/>
      </c>
      <c r="B3388" s="217">
        <f>'E M MAJOR THEÓFILO DE CARVALHO'!C13</f>
        <v/>
      </c>
    </row>
    <row r="3389" ht="15" customHeight="1" s="107">
      <c r="A3389" s="216">
        <f>'E M MAJOR THEÓFILO DE CARVALHO'!F14</f>
        <v/>
      </c>
      <c r="B3389" s="217">
        <f>'E M MAJOR THEÓFILO DE CARVALHO'!C14</f>
        <v/>
      </c>
    </row>
    <row r="3390" ht="15" customHeight="1" s="107">
      <c r="A3390" s="216">
        <f>'E M MAJOR THEÓFILO DE CARVALHO'!F15</f>
        <v/>
      </c>
      <c r="B3390" s="217">
        <f>'E M MAJOR THEÓFILO DE CARVALHO'!C15</f>
        <v/>
      </c>
    </row>
    <row r="3391" ht="15" customHeight="1" s="107">
      <c r="A3391" s="216">
        <f>'E M MAJOR THEÓFILO DE CARVALHO'!F16</f>
        <v/>
      </c>
      <c r="B3391" s="217">
        <f>'E M MAJOR THEÓFILO DE CARVALHO'!C16</f>
        <v/>
      </c>
    </row>
    <row r="3392" ht="15" customHeight="1" s="107">
      <c r="A3392" s="216">
        <f>'E M MAJOR THEÓFILO DE CARVALHO'!F17</f>
        <v/>
      </c>
      <c r="B3392" s="217">
        <f>'E M MAJOR THEÓFILO DE CARVALHO'!C17</f>
        <v/>
      </c>
    </row>
    <row r="3393" ht="15" customHeight="1" s="107">
      <c r="A3393" s="216">
        <f>'E M MAJOR THEÓFILO DE CARVALHO'!F18</f>
        <v/>
      </c>
      <c r="B3393" s="217">
        <f>'E M MAJOR THEÓFILO DE CARVALHO'!C18</f>
        <v/>
      </c>
    </row>
    <row r="3394" ht="15" customHeight="1" s="107">
      <c r="A3394" s="216">
        <f>'E M MAJOR THEÓFILO DE CARVALHO'!F19</f>
        <v/>
      </c>
      <c r="B3394" s="217">
        <f>'E M MAJOR THEÓFILO DE CARVALHO'!C19</f>
        <v/>
      </c>
    </row>
    <row r="3395" ht="15" customHeight="1" s="107">
      <c r="A3395" s="216">
        <f>'E M MAJOR THEÓFILO DE CARVALHO'!F20</f>
        <v/>
      </c>
      <c r="B3395" s="217">
        <f>'E M MAJOR THEÓFILO DE CARVALHO'!C20</f>
        <v/>
      </c>
    </row>
    <row r="3396" ht="15" customHeight="1" s="107">
      <c r="A3396" s="216">
        <f>'E M MAJOR THEÓFILO DE CARVALHO'!F21</f>
        <v/>
      </c>
      <c r="B3396" s="217">
        <f>'E M MAJOR THEÓFILO DE CARVALHO'!C21</f>
        <v/>
      </c>
    </row>
    <row r="3397" ht="15" customHeight="1" s="107">
      <c r="A3397" s="216">
        <f>'E M MAJOR THEÓFILO DE CARVALHO'!F22</f>
        <v/>
      </c>
      <c r="B3397" s="217">
        <f>'E M MAJOR THEÓFILO DE CARVALHO'!C22</f>
        <v/>
      </c>
    </row>
    <row r="3398" ht="15" customHeight="1" s="107">
      <c r="A3398" s="216">
        <f>'E M MAJOR THEÓFILO DE CARVALHO'!F23</f>
        <v/>
      </c>
      <c r="B3398" s="217">
        <f>'E M MAJOR THEÓFILO DE CARVALHO'!C23</f>
        <v/>
      </c>
    </row>
    <row r="3399" ht="15" customHeight="1" s="107">
      <c r="A3399" s="216">
        <f>'E M MAJOR THEÓFILO DE CARVALHO'!F24</f>
        <v/>
      </c>
      <c r="B3399" s="217">
        <f>'E M MAJOR THEÓFILO DE CARVALHO'!C24</f>
        <v/>
      </c>
    </row>
    <row r="3400" ht="15" customHeight="1" s="107">
      <c r="A3400" s="216">
        <f>'E M MAJOR THEÓFILO DE CARVALHO'!F25</f>
        <v/>
      </c>
      <c r="B3400" s="217">
        <f>'E M MAJOR THEÓFILO DE CARVALHO'!C25</f>
        <v/>
      </c>
    </row>
    <row r="3401" ht="15" customHeight="1" s="107">
      <c r="A3401" s="216">
        <f>'E M MAJOR THEÓFILO DE CARVALHO'!F26</f>
        <v/>
      </c>
      <c r="B3401" s="217">
        <f>'E M MAJOR THEÓFILO DE CARVALHO'!C26</f>
        <v/>
      </c>
    </row>
    <row r="3402" ht="15" customHeight="1" s="107">
      <c r="A3402" s="216">
        <f>'E M MAJOR THEÓFILO DE CARVALHO'!F27</f>
        <v/>
      </c>
      <c r="B3402" s="217">
        <f>'E M MAJOR THEÓFILO DE CARVALHO'!C27</f>
        <v/>
      </c>
    </row>
    <row r="3403" ht="15" customHeight="1" s="107">
      <c r="A3403" s="216">
        <f>'E M JOÃO KOPKE'!F9</f>
        <v/>
      </c>
      <c r="B3403" s="217">
        <f>'E M JOÃO KOPKE'!C9</f>
        <v/>
      </c>
    </row>
    <row r="3404" ht="15" customHeight="1" s="107">
      <c r="A3404" s="216">
        <f>'E M JOÃO KOPKE'!F10</f>
        <v/>
      </c>
      <c r="B3404" s="217">
        <f>'E M JOÃO KOPKE'!C10</f>
        <v/>
      </c>
    </row>
    <row r="3405" ht="15" customHeight="1" s="107">
      <c r="A3405" s="216">
        <f>'E M JOÃO KOPKE'!F11</f>
        <v/>
      </c>
      <c r="B3405" s="217">
        <f>'E M JOÃO KOPKE'!C11</f>
        <v/>
      </c>
    </row>
    <row r="3406" ht="15" customHeight="1" s="107">
      <c r="A3406" s="216">
        <f>'E M JOÃO KOPKE'!F12</f>
        <v/>
      </c>
      <c r="B3406" s="217">
        <f>'E M JOÃO KOPKE'!C12</f>
        <v/>
      </c>
    </row>
    <row r="3407" ht="15" customHeight="1" s="107">
      <c r="A3407" s="216">
        <f>'E M JOÃO KOPKE'!F13</f>
        <v/>
      </c>
      <c r="B3407" s="217">
        <f>'E M JOÃO KOPKE'!C13</f>
        <v/>
      </c>
    </row>
    <row r="3408" ht="15" customHeight="1" s="107">
      <c r="A3408" s="216">
        <f>'E M JOÃO KOPKE'!F14</f>
        <v/>
      </c>
      <c r="B3408" s="217">
        <f>'E M JOÃO KOPKE'!C14</f>
        <v/>
      </c>
    </row>
    <row r="3409" ht="15" customHeight="1" s="107">
      <c r="A3409" s="216">
        <f>'E M JOÃO KOPKE'!F15</f>
        <v/>
      </c>
      <c r="B3409" s="217">
        <f>'E M JOÃO KOPKE'!C15</f>
        <v/>
      </c>
    </row>
    <row r="3410" ht="15" customHeight="1" s="107">
      <c r="A3410" s="216">
        <f>'E M JOÃO KOPKE'!F16</f>
        <v/>
      </c>
      <c r="B3410" s="217">
        <f>'E M JOÃO KOPKE'!C16</f>
        <v/>
      </c>
    </row>
    <row r="3411" ht="15" customHeight="1" s="107">
      <c r="A3411" s="216">
        <f>'E M JOÃO KOPKE'!F17</f>
        <v/>
      </c>
      <c r="B3411" s="217">
        <f>'E M JOÃO KOPKE'!C17</f>
        <v/>
      </c>
    </row>
    <row r="3412" ht="15" customHeight="1" s="107">
      <c r="A3412" s="216">
        <f>'E M JOÃO KOPKE'!F18</f>
        <v/>
      </c>
      <c r="B3412" s="217">
        <f>'E M JOÃO KOPKE'!C18</f>
        <v/>
      </c>
    </row>
    <row r="3413" ht="15" customHeight="1" s="107">
      <c r="A3413" s="216">
        <f>'E M JOÃO KOPKE'!F19</f>
        <v/>
      </c>
      <c r="B3413" s="217">
        <f>'E M JOÃO KOPKE'!C19</f>
        <v/>
      </c>
    </row>
    <row r="3414" ht="15" customHeight="1" s="107">
      <c r="A3414" s="216">
        <f>'E M JOÃO KOPKE'!F20</f>
        <v/>
      </c>
      <c r="B3414" s="217">
        <f>'E M JOÃO KOPKE'!C20</f>
        <v/>
      </c>
    </row>
    <row r="3415" ht="15" customHeight="1" s="107">
      <c r="A3415" s="216">
        <f>'E M JOÃO KOPKE'!F21</f>
        <v/>
      </c>
      <c r="B3415" s="217">
        <f>'E M JOÃO KOPKE'!C21</f>
        <v/>
      </c>
    </row>
    <row r="3416" ht="15" customHeight="1" s="107">
      <c r="A3416" s="216">
        <f>'E M JOÃO KOPKE'!F22</f>
        <v/>
      </c>
      <c r="B3416" s="217">
        <f>'E M JOÃO KOPKE'!C22</f>
        <v/>
      </c>
    </row>
    <row r="3417" ht="15" customHeight="1" s="107">
      <c r="A3417" s="216">
        <f>'E M JOÃO KOPKE'!F23</f>
        <v/>
      </c>
      <c r="B3417" s="217">
        <f>'E M JOÃO KOPKE'!C23</f>
        <v/>
      </c>
    </row>
    <row r="3418" ht="15" customHeight="1" s="107">
      <c r="A3418" s="216">
        <f>'E M JOÃO KOPKE'!F24</f>
        <v/>
      </c>
      <c r="B3418" s="217">
        <f>'E M JOÃO KOPKE'!C24</f>
        <v/>
      </c>
    </row>
    <row r="3419" ht="15" customHeight="1" s="107">
      <c r="A3419" s="216">
        <f>'E M JOÃO KOPKE'!F25</f>
        <v/>
      </c>
      <c r="B3419" s="217">
        <f>'E M JOÃO KOPKE'!C25</f>
        <v/>
      </c>
    </row>
    <row r="3420" ht="15" customHeight="1" s="107">
      <c r="A3420" s="216">
        <f>'E M JOÃO KOPKE'!F26</f>
        <v/>
      </c>
      <c r="B3420" s="217">
        <f>'E M JOÃO KOPKE'!C26</f>
        <v/>
      </c>
    </row>
    <row r="3421" ht="15" customHeight="1" s="107">
      <c r="A3421" s="216">
        <f>'E M JOÃO KOPKE'!F27</f>
        <v/>
      </c>
      <c r="B3421" s="217">
        <f>'E M JOÃO KOPKE'!C27</f>
        <v/>
      </c>
    </row>
    <row r="3422" ht="15" customHeight="1" s="107">
      <c r="A3422" s="216">
        <f>'CEI ASSOCIAÇÃO BENEFICENTE FAZE'!F9</f>
        <v/>
      </c>
      <c r="B3422" s="217">
        <f>'CEI ASSOCIAÇÃO BENEFICENTE FAZE'!C9</f>
        <v/>
      </c>
    </row>
    <row r="3423" ht="15" customHeight="1" s="107">
      <c r="A3423" s="216">
        <f>'CEI ASSOCIAÇÃO BENEFICENTE FAZE'!F10</f>
        <v/>
      </c>
      <c r="B3423" s="217">
        <f>'CEI ASSOCIAÇÃO BENEFICENTE FAZE'!C10</f>
        <v/>
      </c>
    </row>
    <row r="3424" ht="15" customHeight="1" s="107">
      <c r="A3424" s="216">
        <f>'CEI ASSOCIAÇÃO BENEFICENTE FAZE'!F11</f>
        <v/>
      </c>
      <c r="B3424" s="217">
        <f>'CEI ASSOCIAÇÃO BENEFICENTE FAZE'!C11</f>
        <v/>
      </c>
    </row>
    <row r="3425" ht="15" customHeight="1" s="107">
      <c r="A3425" s="216">
        <f>'CEI ASSOCIAÇÃO BENEFICENTE FAZE'!F12</f>
        <v/>
      </c>
      <c r="B3425" s="217">
        <f>'CEI ASSOCIAÇÃO BENEFICENTE FAZE'!C12</f>
        <v/>
      </c>
    </row>
    <row r="3426" ht="15" customHeight="1" s="107">
      <c r="A3426" s="216">
        <f>'CEI ASSOCIAÇÃO BENEFICENTE FAZE'!F13</f>
        <v/>
      </c>
      <c r="B3426" s="217">
        <f>'CEI ASSOCIAÇÃO BENEFICENTE FAZE'!C13</f>
        <v/>
      </c>
    </row>
    <row r="3427" ht="15" customHeight="1" s="107">
      <c r="A3427" s="216">
        <f>'CEI ASSOCIAÇÃO BENEFICENTE FAZE'!F14</f>
        <v/>
      </c>
      <c r="B3427" s="217">
        <f>'CEI ASSOCIAÇÃO BENEFICENTE FAZE'!C14</f>
        <v/>
      </c>
    </row>
    <row r="3428" ht="15" customHeight="1" s="107">
      <c r="A3428" s="216">
        <f>'CEI ASSOCIAÇÃO BENEFICENTE FAZE'!F15</f>
        <v/>
      </c>
      <c r="B3428" s="217">
        <f>'CEI ASSOCIAÇÃO BENEFICENTE FAZE'!C15</f>
        <v/>
      </c>
    </row>
    <row r="3429" ht="15" customHeight="1" s="107">
      <c r="A3429" s="216">
        <f>'CEI ASSOCIAÇÃO BENEFICENTE FAZE'!F16</f>
        <v/>
      </c>
      <c r="B3429" s="217">
        <f>'CEI ASSOCIAÇÃO BENEFICENTE FAZE'!C16</f>
        <v/>
      </c>
    </row>
    <row r="3430" ht="15" customHeight="1" s="107">
      <c r="A3430" s="216">
        <f>'CEI ASSOCIAÇÃO BENEFICENTE FAZE'!F17</f>
        <v/>
      </c>
      <c r="B3430" s="217">
        <f>'CEI ASSOCIAÇÃO BENEFICENTE FAZE'!C17</f>
        <v/>
      </c>
    </row>
    <row r="3431" ht="15" customHeight="1" s="107">
      <c r="A3431" s="216">
        <f>'CEI ASSOCIAÇÃO BENEFICENTE FAZE'!F18</f>
        <v/>
      </c>
      <c r="B3431" s="217">
        <f>'CEI ASSOCIAÇÃO BENEFICENTE FAZE'!C18</f>
        <v/>
      </c>
    </row>
    <row r="3432" ht="15" customHeight="1" s="107">
      <c r="A3432" s="216">
        <f>'CEI ASSOCIAÇÃO BENEFICENTE FAZE'!F19</f>
        <v/>
      </c>
      <c r="B3432" s="217">
        <f>'CEI ASSOCIAÇÃO BENEFICENTE FAZE'!C19</f>
        <v/>
      </c>
    </row>
    <row r="3433" ht="15" customHeight="1" s="107">
      <c r="A3433" s="216">
        <f>'CEI ASSOCIAÇÃO BENEFICENTE FAZE'!F20</f>
        <v/>
      </c>
      <c r="B3433" s="217">
        <f>'CEI ASSOCIAÇÃO BENEFICENTE FAZE'!C20</f>
        <v/>
      </c>
    </row>
    <row r="3434" ht="15" customHeight="1" s="107">
      <c r="A3434" s="216">
        <f>'CEI ASSOCIAÇÃO BENEFICENTE FAZE'!F21</f>
        <v/>
      </c>
      <c r="B3434" s="217">
        <f>'CEI ASSOCIAÇÃO BENEFICENTE FAZE'!C21</f>
        <v/>
      </c>
    </row>
    <row r="3435" ht="15" customHeight="1" s="107">
      <c r="A3435" s="216">
        <f>'CEI ASSOCIAÇÃO BENEFICENTE FAZE'!F22</f>
        <v/>
      </c>
      <c r="B3435" s="217">
        <f>'CEI ASSOCIAÇÃO BENEFICENTE FAZE'!C22</f>
        <v/>
      </c>
    </row>
    <row r="3436" ht="15" customHeight="1" s="107">
      <c r="A3436" s="216">
        <f>'CEI ASSOCIAÇÃO BENEFICENTE FAZE'!F23</f>
        <v/>
      </c>
      <c r="B3436" s="217">
        <f>'CEI ASSOCIAÇÃO BENEFICENTE FAZE'!C23</f>
        <v/>
      </c>
    </row>
    <row r="3437" ht="15" customHeight="1" s="107">
      <c r="A3437" s="216">
        <f>'CEI ASSOCIAÇÃO BENEFICENTE FAZE'!F24</f>
        <v/>
      </c>
      <c r="B3437" s="217">
        <f>'CEI ASSOCIAÇÃO BENEFICENTE FAZE'!C24</f>
        <v/>
      </c>
    </row>
    <row r="3438" ht="15" customHeight="1" s="107">
      <c r="A3438" s="216">
        <f>'CEI ASSOCIAÇÃO BENEFICENTE FAZE'!F25</f>
        <v/>
      </c>
      <c r="B3438" s="217">
        <f>'CEI ASSOCIAÇÃO BENEFICENTE FAZE'!C25</f>
        <v/>
      </c>
    </row>
    <row r="3439" ht="15" customHeight="1" s="107">
      <c r="A3439" s="216">
        <f>'CEI ASSOCIAÇÃO BENEFICENTE FAZE'!F26</f>
        <v/>
      </c>
      <c r="B3439" s="217">
        <f>'CEI ASSOCIAÇÃO BENEFICENTE FAZE'!C26</f>
        <v/>
      </c>
    </row>
    <row r="3440" ht="15" customHeight="1" s="107">
      <c r="A3440" s="216">
        <f>'CEI ASSOCIAÇÃO BENEFICENTE FAZE'!F27</f>
        <v/>
      </c>
      <c r="B3440" s="217">
        <f>'CEI ASSOCIAÇÃO BENEFICENTE FAZE'!C27</f>
        <v/>
      </c>
    </row>
    <row r="3441" ht="15" customHeight="1" s="107">
      <c r="A3441" s="216">
        <f>'ESCOLA SAO FRANCISCO DE ASSIS'!F9</f>
        <v/>
      </c>
      <c r="B3441" s="217">
        <f>'ESCOLA SAO FRANCISCO DE ASSIS'!C9</f>
        <v/>
      </c>
    </row>
    <row r="3442" ht="15" customHeight="1" s="107">
      <c r="A3442" s="216">
        <f>'ESCOLA SAO FRANCISCO DE ASSIS'!F10</f>
        <v/>
      </c>
      <c r="B3442" s="217">
        <f>'ESCOLA SAO FRANCISCO DE ASSIS'!C10</f>
        <v/>
      </c>
    </row>
    <row r="3443" ht="15" customHeight="1" s="107">
      <c r="A3443" s="216">
        <f>'ESCOLA SAO FRANCISCO DE ASSIS'!F11</f>
        <v/>
      </c>
      <c r="B3443" s="217">
        <f>'ESCOLA SAO FRANCISCO DE ASSIS'!C11</f>
        <v/>
      </c>
    </row>
    <row r="3444" ht="15" customHeight="1" s="107">
      <c r="A3444" s="216">
        <f>'ESCOLA SAO FRANCISCO DE ASSIS'!F12</f>
        <v/>
      </c>
      <c r="B3444" s="217">
        <f>'ESCOLA SAO FRANCISCO DE ASSIS'!C12</f>
        <v/>
      </c>
    </row>
    <row r="3445" ht="15" customHeight="1" s="107">
      <c r="A3445" s="216">
        <f>'ESCOLA SAO FRANCISCO DE ASSIS'!F13</f>
        <v/>
      </c>
      <c r="B3445" s="217">
        <f>'ESCOLA SAO FRANCISCO DE ASSIS'!C13</f>
        <v/>
      </c>
    </row>
    <row r="3446" ht="15" customHeight="1" s="107">
      <c r="A3446" s="216">
        <f>'ESCOLA SAO FRANCISCO DE ASSIS'!F14</f>
        <v/>
      </c>
      <c r="B3446" s="217">
        <f>'ESCOLA SAO FRANCISCO DE ASSIS'!C14</f>
        <v/>
      </c>
    </row>
    <row r="3447" ht="15" customHeight="1" s="107">
      <c r="A3447" s="216">
        <f>'ESCOLA SAO FRANCISCO DE ASSIS'!F15</f>
        <v/>
      </c>
      <c r="B3447" s="217">
        <f>'ESCOLA SAO FRANCISCO DE ASSIS'!C15</f>
        <v/>
      </c>
    </row>
    <row r="3448" ht="15" customHeight="1" s="107">
      <c r="A3448" s="216">
        <f>'ESCOLA SAO FRANCISCO DE ASSIS'!F16</f>
        <v/>
      </c>
      <c r="B3448" s="217">
        <f>'ESCOLA SAO FRANCISCO DE ASSIS'!C16</f>
        <v/>
      </c>
    </row>
    <row r="3449" ht="15" customHeight="1" s="107">
      <c r="A3449" s="216">
        <f>'ESCOLA SAO FRANCISCO DE ASSIS'!F17</f>
        <v/>
      </c>
      <c r="B3449" s="217">
        <f>'ESCOLA SAO FRANCISCO DE ASSIS'!C17</f>
        <v/>
      </c>
    </row>
    <row r="3450" ht="15" customHeight="1" s="107">
      <c r="A3450" s="216">
        <f>'ESCOLA SAO FRANCISCO DE ASSIS'!F18</f>
        <v/>
      </c>
      <c r="B3450" s="217">
        <f>'ESCOLA SAO FRANCISCO DE ASSIS'!C18</f>
        <v/>
      </c>
    </row>
    <row r="3451" ht="15" customHeight="1" s="107">
      <c r="A3451" s="216">
        <f>'ESCOLA SAO FRANCISCO DE ASSIS'!F19</f>
        <v/>
      </c>
      <c r="B3451" s="217">
        <f>'ESCOLA SAO FRANCISCO DE ASSIS'!C19</f>
        <v/>
      </c>
    </row>
    <row r="3452" ht="15" customHeight="1" s="107">
      <c r="A3452" s="216">
        <f>'ESCOLA SAO FRANCISCO DE ASSIS'!F20</f>
        <v/>
      </c>
      <c r="B3452" s="217">
        <f>'ESCOLA SAO FRANCISCO DE ASSIS'!C20</f>
        <v/>
      </c>
    </row>
    <row r="3453" ht="15" customHeight="1" s="107">
      <c r="A3453" s="216">
        <f>'ESCOLA SAO FRANCISCO DE ASSIS'!F21</f>
        <v/>
      </c>
      <c r="B3453" s="217">
        <f>'ESCOLA SAO FRANCISCO DE ASSIS'!C21</f>
        <v/>
      </c>
    </row>
    <row r="3454" ht="15" customHeight="1" s="107">
      <c r="A3454" s="216">
        <f>'ESCOLA SAO FRANCISCO DE ASSIS'!F22</f>
        <v/>
      </c>
      <c r="B3454" s="217">
        <f>'ESCOLA SAO FRANCISCO DE ASSIS'!C22</f>
        <v/>
      </c>
    </row>
    <row r="3455" ht="15" customHeight="1" s="107">
      <c r="A3455" s="216">
        <f>'ESCOLA SAO FRANCISCO DE ASSIS'!F23</f>
        <v/>
      </c>
      <c r="B3455" s="217">
        <f>'ESCOLA SAO FRANCISCO DE ASSIS'!C23</f>
        <v/>
      </c>
    </row>
    <row r="3456" ht="15" customHeight="1" s="107">
      <c r="A3456" s="216">
        <f>'ESCOLA SAO FRANCISCO DE ASSIS'!F24</f>
        <v/>
      </c>
      <c r="B3456" s="217">
        <f>'ESCOLA SAO FRANCISCO DE ASSIS'!C24</f>
        <v/>
      </c>
    </row>
    <row r="3457" ht="15" customHeight="1" s="107">
      <c r="A3457" s="216">
        <f>'ESCOLA SAO FRANCISCO DE ASSIS'!F25</f>
        <v/>
      </c>
      <c r="B3457" s="217">
        <f>'ESCOLA SAO FRANCISCO DE ASSIS'!C25</f>
        <v/>
      </c>
    </row>
    <row r="3458" ht="15" customHeight="1" s="107">
      <c r="A3458" s="216">
        <f>'ESCOLA SAO FRANCISCO DE ASSIS'!F26</f>
        <v/>
      </c>
      <c r="B3458" s="217">
        <f>'ESCOLA SAO FRANCISCO DE ASSIS'!C26</f>
        <v/>
      </c>
    </row>
    <row r="3459" ht="15" customHeight="1" s="107">
      <c r="A3459" s="216">
        <f>'ESCOLA SAO FRANCISCO DE ASSIS'!F27</f>
        <v/>
      </c>
      <c r="B3459" s="217">
        <f>'ESCOLA SAO FRANCISCO DE ASSIS'!C27</f>
        <v/>
      </c>
    </row>
    <row r="3460" ht="15" customHeight="1" s="107">
      <c r="A3460" s="216">
        <f>'CEI SÃO FRANCISCO ASSIS'!F9</f>
        <v/>
      </c>
      <c r="B3460" s="217">
        <f>'CEI SÃO FRANCISCO ASSIS'!C9</f>
        <v/>
      </c>
    </row>
    <row r="3461" ht="15" customHeight="1" s="107">
      <c r="A3461" s="216">
        <f>'CEI SÃO FRANCISCO ASSIS'!F10</f>
        <v/>
      </c>
      <c r="B3461" s="217">
        <f>'CEI SÃO FRANCISCO ASSIS'!C10</f>
        <v/>
      </c>
    </row>
    <row r="3462" ht="15" customHeight="1" s="107">
      <c r="A3462" s="216">
        <f>'CEI SÃO FRANCISCO ASSIS'!F11</f>
        <v/>
      </c>
      <c r="B3462" s="217">
        <f>'CEI SÃO FRANCISCO ASSIS'!C11</f>
        <v/>
      </c>
    </row>
    <row r="3463" ht="15" customHeight="1" s="107">
      <c r="A3463" s="216">
        <f>'CEI SÃO FRANCISCO ASSIS'!F12</f>
        <v/>
      </c>
      <c r="B3463" s="217">
        <f>'CEI SÃO FRANCISCO ASSIS'!C12</f>
        <v/>
      </c>
    </row>
    <row r="3464" ht="15" customHeight="1" s="107">
      <c r="A3464" s="216">
        <f>'CEI SÃO FRANCISCO ASSIS'!F13</f>
        <v/>
      </c>
      <c r="B3464" s="217">
        <f>'CEI SÃO FRANCISCO ASSIS'!C13</f>
        <v/>
      </c>
    </row>
    <row r="3465" ht="15" customHeight="1" s="107">
      <c r="A3465" s="216">
        <f>'CEI SÃO FRANCISCO ASSIS'!F14</f>
        <v/>
      </c>
      <c r="B3465" s="217">
        <f>'CEI SÃO FRANCISCO ASSIS'!C14</f>
        <v/>
      </c>
    </row>
    <row r="3466" ht="15" customHeight="1" s="107">
      <c r="A3466" s="216">
        <f>'CEI SÃO FRANCISCO ASSIS'!F15</f>
        <v/>
      </c>
      <c r="B3466" s="217">
        <f>'CEI SÃO FRANCISCO ASSIS'!C15</f>
        <v/>
      </c>
    </row>
    <row r="3467" ht="15" customHeight="1" s="107">
      <c r="A3467" s="216">
        <f>'CEI SÃO FRANCISCO ASSIS'!F16</f>
        <v/>
      </c>
      <c r="B3467" s="217">
        <f>'CEI SÃO FRANCISCO ASSIS'!C16</f>
        <v/>
      </c>
    </row>
    <row r="3468" ht="15" customHeight="1" s="107">
      <c r="A3468" s="216">
        <f>'CEI SÃO FRANCISCO ASSIS'!F17</f>
        <v/>
      </c>
      <c r="B3468" s="217">
        <f>'CEI SÃO FRANCISCO ASSIS'!C17</f>
        <v/>
      </c>
    </row>
    <row r="3469" ht="15" customHeight="1" s="107">
      <c r="A3469" s="216">
        <f>'CEI SÃO FRANCISCO ASSIS'!F18</f>
        <v/>
      </c>
      <c r="B3469" s="217">
        <f>'CEI SÃO FRANCISCO ASSIS'!C18</f>
        <v/>
      </c>
    </row>
    <row r="3470" ht="15" customHeight="1" s="107">
      <c r="A3470" s="216">
        <f>'CEI SÃO FRANCISCO ASSIS'!F19</f>
        <v/>
      </c>
      <c r="B3470" s="217">
        <f>'CEI SÃO FRANCISCO ASSIS'!C19</f>
        <v/>
      </c>
    </row>
    <row r="3471" ht="15" customHeight="1" s="107">
      <c r="A3471" s="216">
        <f>'CEI SÃO FRANCISCO ASSIS'!F20</f>
        <v/>
      </c>
      <c r="B3471" s="217">
        <f>'CEI SÃO FRANCISCO ASSIS'!C20</f>
        <v/>
      </c>
    </row>
    <row r="3472" ht="15" customHeight="1" s="107">
      <c r="A3472" s="216">
        <f>'CEI SÃO FRANCISCO ASSIS'!F21</f>
        <v/>
      </c>
      <c r="B3472" s="217">
        <f>'CEI SÃO FRANCISCO ASSIS'!C21</f>
        <v/>
      </c>
    </row>
    <row r="3473" ht="15" customHeight="1" s="107">
      <c r="A3473" s="216">
        <f>'CEI SÃO FRANCISCO ASSIS'!F22</f>
        <v/>
      </c>
      <c r="B3473" s="217">
        <f>'CEI SÃO FRANCISCO ASSIS'!C22</f>
        <v/>
      </c>
    </row>
    <row r="3474" ht="15" customHeight="1" s="107">
      <c r="A3474" s="216">
        <f>'CEI SÃO FRANCISCO ASSIS'!F23</f>
        <v/>
      </c>
      <c r="B3474" s="217">
        <f>'CEI SÃO FRANCISCO ASSIS'!C23</f>
        <v/>
      </c>
    </row>
    <row r="3475" ht="15" customHeight="1" s="107">
      <c r="A3475" s="216">
        <f>'CEI SÃO FRANCISCO ASSIS'!F24</f>
        <v/>
      </c>
      <c r="B3475" s="217">
        <f>'CEI SÃO FRANCISCO ASSIS'!C24</f>
        <v/>
      </c>
    </row>
    <row r="3476" ht="15" customHeight="1" s="107">
      <c r="A3476" s="216">
        <f>'CEI SÃO FRANCISCO ASSIS'!F25</f>
        <v/>
      </c>
      <c r="B3476" s="217">
        <f>'CEI SÃO FRANCISCO ASSIS'!C25</f>
        <v/>
      </c>
    </row>
    <row r="3477" ht="15" customHeight="1" s="107">
      <c r="A3477" s="216">
        <f>'CEI SÃO FRANCISCO ASSIS'!F26</f>
        <v/>
      </c>
      <c r="B3477" s="217">
        <f>'CEI SÃO FRANCISCO ASSIS'!C26</f>
        <v/>
      </c>
    </row>
    <row r="3478" ht="15" customHeight="1" s="107">
      <c r="A3478" s="216">
        <f>'CEI SÃO FRANCISCO ASSIS'!F27</f>
        <v/>
      </c>
      <c r="B3478" s="217">
        <f>'CEI SÃO FRANCISCO ASSIS'!C27</f>
        <v/>
      </c>
    </row>
    <row r="3479" ht="15" customHeight="1" s="107">
      <c r="A3479" s="216">
        <f>'CEI ALDEIA DA CRIANCA'!F9</f>
        <v/>
      </c>
      <c r="B3479" s="217">
        <f>'CEI ALDEIA DA CRIANCA'!C9</f>
        <v/>
      </c>
    </row>
    <row r="3480" ht="15" customHeight="1" s="107">
      <c r="A3480" s="216">
        <f>'CEI ALDEIA DA CRIANCA'!F10</f>
        <v/>
      </c>
      <c r="B3480" s="217">
        <f>'CEI ALDEIA DA CRIANCA'!C10</f>
        <v/>
      </c>
    </row>
    <row r="3481" ht="15" customHeight="1" s="107">
      <c r="A3481" s="216">
        <f>'CEI ALDEIA DA CRIANCA'!F11</f>
        <v/>
      </c>
      <c r="B3481" s="217">
        <f>'CEI ALDEIA DA CRIANCA'!C11</f>
        <v/>
      </c>
    </row>
    <row r="3482" ht="15" customHeight="1" s="107">
      <c r="A3482" s="216">
        <f>'CEI ALDEIA DA CRIANCA'!F12</f>
        <v/>
      </c>
      <c r="B3482" s="217">
        <f>'CEI ALDEIA DA CRIANCA'!C12</f>
        <v/>
      </c>
    </row>
    <row r="3483" ht="15" customHeight="1" s="107">
      <c r="A3483" s="216">
        <f>'CEI ALDEIA DA CRIANCA'!F13</f>
        <v/>
      </c>
      <c r="B3483" s="217">
        <f>'CEI ALDEIA DA CRIANCA'!C13</f>
        <v/>
      </c>
    </row>
    <row r="3484" ht="15" customHeight="1" s="107">
      <c r="A3484" s="216">
        <f>'CEI ALDEIA DA CRIANCA'!F14</f>
        <v/>
      </c>
      <c r="B3484" s="217">
        <f>'CEI ALDEIA DA CRIANCA'!C14</f>
        <v/>
      </c>
    </row>
    <row r="3485" ht="15" customHeight="1" s="107">
      <c r="A3485" s="216">
        <f>'CEI ALDEIA DA CRIANCA'!F15</f>
        <v/>
      </c>
      <c r="B3485" s="217">
        <f>'CEI ALDEIA DA CRIANCA'!C15</f>
        <v/>
      </c>
    </row>
    <row r="3486" ht="15" customHeight="1" s="107">
      <c r="A3486" s="216">
        <f>'CEI ALDEIA DA CRIANCA'!F16</f>
        <v/>
      </c>
      <c r="B3486" s="217">
        <f>'CEI ALDEIA DA CRIANCA'!C16</f>
        <v/>
      </c>
    </row>
    <row r="3487" ht="15" customHeight="1" s="107">
      <c r="A3487" s="216">
        <f>'CEI ALDEIA DA CRIANCA'!F17</f>
        <v/>
      </c>
      <c r="B3487" s="217">
        <f>'CEI ALDEIA DA CRIANCA'!C17</f>
        <v/>
      </c>
    </row>
    <row r="3488" ht="15" customHeight="1" s="107">
      <c r="A3488" s="216">
        <f>'CEI ALDEIA DA CRIANCA'!F18</f>
        <v/>
      </c>
      <c r="B3488" s="217">
        <f>'CEI ALDEIA DA CRIANCA'!C18</f>
        <v/>
      </c>
    </row>
    <row r="3489" ht="15" customHeight="1" s="107">
      <c r="A3489" s="216">
        <f>'CEI ALDEIA DA CRIANCA'!F19</f>
        <v/>
      </c>
      <c r="B3489" s="217">
        <f>'CEI ALDEIA DA CRIANCA'!C19</f>
        <v/>
      </c>
    </row>
    <row r="3490" ht="15" customHeight="1" s="107">
      <c r="A3490" s="216">
        <f>'CEI ALDEIA DA CRIANCA'!F20</f>
        <v/>
      </c>
      <c r="B3490" s="217">
        <f>'CEI ALDEIA DA CRIANCA'!C20</f>
        <v/>
      </c>
    </row>
    <row r="3491" ht="15" customHeight="1" s="107">
      <c r="A3491" s="216">
        <f>'CEI ALDEIA DA CRIANCA'!F21</f>
        <v/>
      </c>
      <c r="B3491" s="217">
        <f>'CEI ALDEIA DA CRIANCA'!C21</f>
        <v/>
      </c>
    </row>
    <row r="3492" ht="15" customHeight="1" s="107">
      <c r="A3492" s="216">
        <f>'CEI ALDEIA DA CRIANCA'!F22</f>
        <v/>
      </c>
      <c r="B3492" s="217">
        <f>'CEI ALDEIA DA CRIANCA'!C22</f>
        <v/>
      </c>
    </row>
    <row r="3493" ht="15" customHeight="1" s="107">
      <c r="A3493" s="216">
        <f>'CEI ALDEIA DA CRIANCA'!F23</f>
        <v/>
      </c>
      <c r="B3493" s="217">
        <f>'CEI ALDEIA DA CRIANCA'!C23</f>
        <v/>
      </c>
    </row>
    <row r="3494" ht="15" customHeight="1" s="107">
      <c r="A3494" s="216">
        <f>'CEI ALDEIA DA CRIANCA'!F24</f>
        <v/>
      </c>
      <c r="B3494" s="217">
        <f>'CEI ALDEIA DA CRIANCA'!C24</f>
        <v/>
      </c>
    </row>
    <row r="3495" ht="15" customHeight="1" s="107">
      <c r="A3495" s="216">
        <f>'CEI ALDEIA DA CRIANCA'!F25</f>
        <v/>
      </c>
      <c r="B3495" s="217">
        <f>'CEI ALDEIA DA CRIANCA'!C25</f>
        <v/>
      </c>
    </row>
    <row r="3496" ht="15" customHeight="1" s="107">
      <c r="A3496" s="216">
        <f>'CEI ALDEIA DA CRIANCA'!F26</f>
        <v/>
      </c>
      <c r="B3496" s="217">
        <f>'CEI ALDEIA DA CRIANCA'!C26</f>
        <v/>
      </c>
    </row>
    <row r="3497" ht="15" customHeight="1" s="107">
      <c r="A3497" s="216">
        <f>'CEI ALDEIA DA CRIANCA'!F27</f>
        <v/>
      </c>
      <c r="B3497" s="217">
        <f>'CEI ALDEIA DA CRIANCA'!C27</f>
        <v/>
      </c>
    </row>
    <row r="3498" ht="15" customHeight="1" s="107">
      <c r="A3498" s="216">
        <f>'ESCOLA MUNICIPAL ODETTE FONSECA'!F9</f>
        <v/>
      </c>
      <c r="B3498" s="217">
        <f>'ESCOLA MUNICIPAL ODETTE FONSECA'!C9</f>
        <v/>
      </c>
    </row>
    <row r="3499" ht="15" customHeight="1" s="107">
      <c r="A3499" s="216">
        <f>'ESCOLA MUNICIPAL ODETTE FONSECA'!F10</f>
        <v/>
      </c>
      <c r="B3499" s="217">
        <f>'ESCOLA MUNICIPAL ODETTE FONSECA'!C10</f>
        <v/>
      </c>
    </row>
    <row r="3500" ht="15" customHeight="1" s="107">
      <c r="A3500" s="216">
        <f>'ESCOLA MUNICIPAL ODETTE FONSECA'!F11</f>
        <v/>
      </c>
      <c r="B3500" s="217">
        <f>'ESCOLA MUNICIPAL ODETTE FONSECA'!C11</f>
        <v/>
      </c>
    </row>
    <row r="3501" ht="15" customHeight="1" s="107">
      <c r="A3501" s="216">
        <f>'ESCOLA MUNICIPAL ODETTE FONSECA'!F12</f>
        <v/>
      </c>
      <c r="B3501" s="217">
        <f>'ESCOLA MUNICIPAL ODETTE FONSECA'!C12</f>
        <v/>
      </c>
    </row>
    <row r="3502" ht="15" customHeight="1" s="107">
      <c r="A3502" s="216">
        <f>'ESCOLA MUNICIPAL ODETTE FONSECA'!F13</f>
        <v/>
      </c>
      <c r="B3502" s="217">
        <f>'ESCOLA MUNICIPAL ODETTE FONSECA'!C13</f>
        <v/>
      </c>
    </row>
    <row r="3503" ht="15" customHeight="1" s="107">
      <c r="A3503" s="216">
        <f>'ESCOLA MUNICIPAL ODETTE FONSECA'!F14</f>
        <v/>
      </c>
      <c r="B3503" s="217">
        <f>'ESCOLA MUNICIPAL ODETTE FONSECA'!C14</f>
        <v/>
      </c>
    </row>
    <row r="3504" ht="15" customHeight="1" s="107">
      <c r="A3504" s="216">
        <f>'ESCOLA MUNICIPAL ODETTE FONSECA'!F15</f>
        <v/>
      </c>
      <c r="B3504" s="217">
        <f>'ESCOLA MUNICIPAL ODETTE FONSECA'!C15</f>
        <v/>
      </c>
    </row>
    <row r="3505" ht="15" customHeight="1" s="107">
      <c r="A3505" s="216">
        <f>'ESCOLA MUNICIPAL ODETTE FONSECA'!F16</f>
        <v/>
      </c>
      <c r="B3505" s="217">
        <f>'ESCOLA MUNICIPAL ODETTE FONSECA'!C16</f>
        <v/>
      </c>
    </row>
    <row r="3506" ht="15" customHeight="1" s="107">
      <c r="A3506" s="216">
        <f>'ESCOLA MUNICIPAL ODETTE FONSECA'!F17</f>
        <v/>
      </c>
      <c r="B3506" s="217">
        <f>'ESCOLA MUNICIPAL ODETTE FONSECA'!C17</f>
        <v/>
      </c>
    </row>
    <row r="3507" ht="15" customHeight="1" s="107">
      <c r="A3507" s="216">
        <f>'ESCOLA MUNICIPAL ODETTE FONSECA'!F18</f>
        <v/>
      </c>
      <c r="B3507" s="217">
        <f>'ESCOLA MUNICIPAL ODETTE FONSECA'!C18</f>
        <v/>
      </c>
    </row>
    <row r="3508" ht="15" customHeight="1" s="107">
      <c r="A3508" s="216">
        <f>'ESCOLA MUNICIPAL ODETTE FONSECA'!F19</f>
        <v/>
      </c>
      <c r="B3508" s="217">
        <f>'ESCOLA MUNICIPAL ODETTE FONSECA'!C19</f>
        <v/>
      </c>
    </row>
    <row r="3509" ht="15" customHeight="1" s="107">
      <c r="A3509" s="216">
        <f>'ESCOLA MUNICIPAL ODETTE FONSECA'!F20</f>
        <v/>
      </c>
      <c r="B3509" s="217">
        <f>'ESCOLA MUNICIPAL ODETTE FONSECA'!C20</f>
        <v/>
      </c>
    </row>
    <row r="3510" ht="15" customHeight="1" s="107">
      <c r="A3510" s="216">
        <f>'ESCOLA MUNICIPAL ODETTE FONSECA'!F21</f>
        <v/>
      </c>
      <c r="B3510" s="217">
        <f>'ESCOLA MUNICIPAL ODETTE FONSECA'!C21</f>
        <v/>
      </c>
    </row>
    <row r="3511" ht="15" customHeight="1" s="107">
      <c r="A3511" s="216">
        <f>'ESCOLA MUNICIPAL ODETTE FONSECA'!F22</f>
        <v/>
      </c>
      <c r="B3511" s="217">
        <f>'ESCOLA MUNICIPAL ODETTE FONSECA'!C22</f>
        <v/>
      </c>
    </row>
    <row r="3512" ht="15" customHeight="1" s="107">
      <c r="A3512" s="216">
        <f>'ESCOLA MUNICIPAL ODETTE FONSECA'!F23</f>
        <v/>
      </c>
      <c r="B3512" s="217">
        <f>'ESCOLA MUNICIPAL ODETTE FONSECA'!C23</f>
        <v/>
      </c>
    </row>
    <row r="3513" ht="15" customHeight="1" s="107">
      <c r="A3513" s="216">
        <f>'ESCOLA MUNICIPAL ODETTE FONSECA'!F24</f>
        <v/>
      </c>
      <c r="B3513" s="217">
        <f>'ESCOLA MUNICIPAL ODETTE FONSECA'!C24</f>
        <v/>
      </c>
    </row>
    <row r="3514" ht="15" customHeight="1" s="107">
      <c r="A3514" s="216">
        <f>'ESCOLA MUNICIPAL ODETTE FONSECA'!F25</f>
        <v/>
      </c>
      <c r="B3514" s="217">
        <f>'ESCOLA MUNICIPAL ODETTE FONSECA'!C25</f>
        <v/>
      </c>
    </row>
    <row r="3515" ht="15" customHeight="1" s="107">
      <c r="A3515" s="216">
        <f>'ESCOLA MUNICIPAL ODETTE FONSECA'!F26</f>
        <v/>
      </c>
      <c r="B3515" s="217">
        <f>'ESCOLA MUNICIPAL ODETTE FONSECA'!C26</f>
        <v/>
      </c>
    </row>
    <row r="3516" ht="15" customHeight="1" s="107">
      <c r="A3516" s="216">
        <f>'ESCOLA MUNICIPAL ODETTE FONSECA'!F27</f>
        <v/>
      </c>
      <c r="B3516" s="217">
        <f>'ESCOLA MUNICIPAL ODETTE FONSECA'!C27</f>
        <v/>
      </c>
    </row>
    <row r="3517" ht="15" customHeight="1" s="107">
      <c r="A3517" s="216">
        <f>'CEI ANA CAROLINA TELLES'!F9</f>
        <v/>
      </c>
      <c r="B3517" s="217">
        <f>'CEI ANA CAROLINA TELLES'!C9</f>
        <v/>
      </c>
    </row>
    <row r="3518" ht="15" customHeight="1" s="107">
      <c r="A3518" s="216">
        <f>'CEI ANA CAROLINA TELLES'!F10</f>
        <v/>
      </c>
      <c r="B3518" s="217">
        <f>'CEI ANA CAROLINA TELLES'!C10</f>
        <v/>
      </c>
    </row>
    <row r="3519" ht="15" customHeight="1" s="107">
      <c r="A3519" s="216">
        <f>'CEI ANA CAROLINA TELLES'!F11</f>
        <v/>
      </c>
      <c r="B3519" s="217">
        <f>'CEI ANA CAROLINA TELLES'!C11</f>
        <v/>
      </c>
    </row>
    <row r="3520" ht="15" customHeight="1" s="107">
      <c r="A3520" s="216">
        <f>'CEI ANA CAROLINA TELLES'!F12</f>
        <v/>
      </c>
      <c r="B3520" s="217">
        <f>'CEI ANA CAROLINA TELLES'!C12</f>
        <v/>
      </c>
    </row>
    <row r="3521" ht="15" customHeight="1" s="107">
      <c r="A3521" s="216">
        <f>'CEI ANA CAROLINA TELLES'!F13</f>
        <v/>
      </c>
      <c r="B3521" s="217">
        <f>'CEI ANA CAROLINA TELLES'!C13</f>
        <v/>
      </c>
    </row>
    <row r="3522" ht="15" customHeight="1" s="107">
      <c r="A3522" s="216">
        <f>'CEI ANA CAROLINA TELLES'!F14</f>
        <v/>
      </c>
      <c r="B3522" s="217">
        <f>'CEI ANA CAROLINA TELLES'!C14</f>
        <v/>
      </c>
    </row>
    <row r="3523" ht="15" customHeight="1" s="107">
      <c r="A3523" s="216">
        <f>'CEI ANA CAROLINA TELLES'!F15</f>
        <v/>
      </c>
      <c r="B3523" s="217">
        <f>'CEI ANA CAROLINA TELLES'!C15</f>
        <v/>
      </c>
    </row>
    <row r="3524" ht="15" customHeight="1" s="107">
      <c r="A3524" s="216">
        <f>'CEI ANA CAROLINA TELLES'!F16</f>
        <v/>
      </c>
      <c r="B3524" s="217">
        <f>'CEI ANA CAROLINA TELLES'!C16</f>
        <v/>
      </c>
    </row>
    <row r="3525" ht="15" customHeight="1" s="107">
      <c r="A3525" s="216">
        <f>'CEI ANA CAROLINA TELLES'!F17</f>
        <v/>
      </c>
      <c r="B3525" s="217">
        <f>'CEI ANA CAROLINA TELLES'!C17</f>
        <v/>
      </c>
    </row>
    <row r="3526" ht="15" customHeight="1" s="107">
      <c r="A3526" s="216">
        <f>'CEI ANA CAROLINA TELLES'!F18</f>
        <v/>
      </c>
      <c r="B3526" s="217">
        <f>'CEI ANA CAROLINA TELLES'!C18</f>
        <v/>
      </c>
    </row>
    <row r="3527" ht="15" customHeight="1" s="107">
      <c r="A3527" s="216">
        <f>'CEI ANA CAROLINA TELLES'!F19</f>
        <v/>
      </c>
      <c r="B3527" s="217">
        <f>'CEI ANA CAROLINA TELLES'!C19</f>
        <v/>
      </c>
    </row>
    <row r="3528" ht="15" customHeight="1" s="107">
      <c r="A3528" s="216">
        <f>'CEI ANA CAROLINA TELLES'!F20</f>
        <v/>
      </c>
      <c r="B3528" s="217">
        <f>'CEI ANA CAROLINA TELLES'!C20</f>
        <v/>
      </c>
    </row>
    <row r="3529" ht="15" customHeight="1" s="107">
      <c r="A3529" s="216">
        <f>'CEI ANA CAROLINA TELLES'!F21</f>
        <v/>
      </c>
      <c r="B3529" s="217">
        <f>'CEI ANA CAROLINA TELLES'!C21</f>
        <v/>
      </c>
    </row>
    <row r="3530" ht="15" customHeight="1" s="107">
      <c r="A3530" s="216">
        <f>'CEI ANA CAROLINA TELLES'!F22</f>
        <v/>
      </c>
      <c r="B3530" s="217">
        <f>'CEI ANA CAROLINA TELLES'!C22</f>
        <v/>
      </c>
    </row>
    <row r="3531" ht="15" customHeight="1" s="107">
      <c r="A3531" s="216">
        <f>'CEI ANA CAROLINA TELLES'!F23</f>
        <v/>
      </c>
      <c r="B3531" s="217">
        <f>'CEI ANA CAROLINA TELLES'!C23</f>
        <v/>
      </c>
    </row>
    <row r="3532" ht="15" customHeight="1" s="107">
      <c r="A3532" s="216">
        <f>'CEI ANA CAROLINA TELLES'!F24</f>
        <v/>
      </c>
      <c r="B3532" s="217">
        <f>'CEI ANA CAROLINA TELLES'!C24</f>
        <v/>
      </c>
    </row>
    <row r="3533" ht="15" customHeight="1" s="107">
      <c r="A3533" s="216">
        <f>'CEI ANA CAROLINA TELLES'!F25</f>
        <v/>
      </c>
      <c r="B3533" s="217">
        <f>'CEI ANA CAROLINA TELLES'!C25</f>
        <v/>
      </c>
    </row>
    <row r="3534" ht="15" customHeight="1" s="107">
      <c r="A3534" s="216">
        <f>'CEI ANA CAROLINA TELLES'!F26</f>
        <v/>
      </c>
      <c r="B3534" s="217">
        <f>'CEI ANA CAROLINA TELLES'!C26</f>
        <v/>
      </c>
    </row>
    <row r="3535" ht="15" customHeight="1" s="107">
      <c r="A3535" s="216">
        <f>'CEI ANA CAROLINA TELLES'!F27</f>
        <v/>
      </c>
      <c r="B3535" s="217">
        <f>'CEI ANA CAROLINA TELLES'!C27</f>
        <v/>
      </c>
    </row>
    <row r="3536" ht="15" customHeight="1" s="107">
      <c r="A3536" s="216">
        <f>'E M SEBASTIÃO LACERDA'!F9</f>
        <v/>
      </c>
      <c r="B3536" s="217">
        <f>'E M SEBASTIÃO LACERDA'!C9</f>
        <v/>
      </c>
    </row>
    <row r="3537" ht="15" customHeight="1" s="107">
      <c r="A3537" s="216">
        <f>'E M SEBASTIÃO LACERDA'!F10</f>
        <v/>
      </c>
      <c r="B3537" s="217">
        <f>'E M SEBASTIÃO LACERDA'!C10</f>
        <v/>
      </c>
    </row>
    <row r="3538" ht="15" customHeight="1" s="107">
      <c r="A3538" s="216">
        <f>'E M SEBASTIÃO LACERDA'!F11</f>
        <v/>
      </c>
      <c r="B3538" s="217">
        <f>'E M SEBASTIÃO LACERDA'!C11</f>
        <v/>
      </c>
    </row>
    <row r="3539" ht="15" customHeight="1" s="107">
      <c r="A3539" s="216">
        <f>'E M SEBASTIÃO LACERDA'!F12</f>
        <v/>
      </c>
      <c r="B3539" s="217">
        <f>'E M SEBASTIÃO LACERDA'!C12</f>
        <v/>
      </c>
    </row>
    <row r="3540" ht="15" customHeight="1" s="107">
      <c r="A3540" s="216">
        <f>'E M SEBASTIÃO LACERDA'!F13</f>
        <v/>
      </c>
      <c r="B3540" s="217">
        <f>'E M SEBASTIÃO LACERDA'!C13</f>
        <v/>
      </c>
    </row>
    <row r="3541" ht="15" customHeight="1" s="107">
      <c r="A3541" s="216">
        <f>'E M SEBASTIÃO LACERDA'!F14</f>
        <v/>
      </c>
      <c r="B3541" s="217">
        <f>'E M SEBASTIÃO LACERDA'!C14</f>
        <v/>
      </c>
    </row>
    <row r="3542" ht="15" customHeight="1" s="107">
      <c r="A3542" s="216">
        <f>'E M SEBASTIÃO LACERDA'!F15</f>
        <v/>
      </c>
      <c r="B3542" s="217">
        <f>'E M SEBASTIÃO LACERDA'!C15</f>
        <v/>
      </c>
    </row>
    <row r="3543" ht="15" customHeight="1" s="107">
      <c r="A3543" s="216">
        <f>'E M SEBASTIÃO LACERDA'!F16</f>
        <v/>
      </c>
      <c r="B3543" s="217">
        <f>'E M SEBASTIÃO LACERDA'!C16</f>
        <v/>
      </c>
    </row>
    <row r="3544" ht="15" customHeight="1" s="107">
      <c r="A3544" s="216">
        <f>'E M SEBASTIÃO LACERDA'!F17</f>
        <v/>
      </c>
      <c r="B3544" s="217">
        <f>'E M SEBASTIÃO LACERDA'!C17</f>
        <v/>
      </c>
    </row>
    <row r="3545" ht="15" customHeight="1" s="107">
      <c r="A3545" s="216">
        <f>'E M SEBASTIÃO LACERDA'!F18</f>
        <v/>
      </c>
      <c r="B3545" s="217">
        <f>'E M SEBASTIÃO LACERDA'!C18</f>
        <v/>
      </c>
    </row>
    <row r="3546" ht="15" customHeight="1" s="107">
      <c r="A3546" s="216">
        <f>'E M SEBASTIÃO LACERDA'!F19</f>
        <v/>
      </c>
      <c r="B3546" s="217">
        <f>'E M SEBASTIÃO LACERDA'!C19</f>
        <v/>
      </c>
    </row>
    <row r="3547" ht="15" customHeight="1" s="107">
      <c r="A3547" s="216">
        <f>'E M SEBASTIÃO LACERDA'!F20</f>
        <v/>
      </c>
      <c r="B3547" s="217">
        <f>'E M SEBASTIÃO LACERDA'!C20</f>
        <v/>
      </c>
    </row>
    <row r="3548" ht="15" customHeight="1" s="107">
      <c r="A3548" s="216">
        <f>'E M SEBASTIÃO LACERDA'!F21</f>
        <v/>
      </c>
      <c r="B3548" s="217">
        <f>'E M SEBASTIÃO LACERDA'!C21</f>
        <v/>
      </c>
    </row>
    <row r="3549" ht="15" customHeight="1" s="107">
      <c r="A3549" s="216">
        <f>'E M SEBASTIÃO LACERDA'!F22</f>
        <v/>
      </c>
      <c r="B3549" s="217">
        <f>'E M SEBASTIÃO LACERDA'!C22</f>
        <v/>
      </c>
    </row>
    <row r="3550" ht="15" customHeight="1" s="107">
      <c r="A3550" s="216">
        <f>'E M SEBASTIÃO LACERDA'!F23</f>
        <v/>
      </c>
      <c r="B3550" s="217">
        <f>'E M SEBASTIÃO LACERDA'!C23</f>
        <v/>
      </c>
    </row>
    <row r="3551" ht="15" customHeight="1" s="107">
      <c r="A3551" s="216">
        <f>'E M SEBASTIÃO LACERDA'!F24</f>
        <v/>
      </c>
      <c r="B3551" s="217">
        <f>'E M SEBASTIÃO LACERDA'!C24</f>
        <v/>
      </c>
    </row>
    <row r="3552" ht="15" customHeight="1" s="107">
      <c r="A3552" s="216">
        <f>'E M SEBASTIÃO LACERDA'!F25</f>
        <v/>
      </c>
      <c r="B3552" s="217">
        <f>'E M SEBASTIÃO LACERDA'!C25</f>
        <v/>
      </c>
    </row>
    <row r="3553" ht="15" customHeight="1" s="107">
      <c r="A3553" s="216">
        <f>'E M SEBASTIÃO LACERDA'!F26</f>
        <v/>
      </c>
      <c r="B3553" s="217">
        <f>'E M SEBASTIÃO LACERDA'!C26</f>
        <v/>
      </c>
    </row>
    <row r="3554" ht="15" customHeight="1" s="107">
      <c r="A3554" s="216">
        <f>'E M SEBASTIÃO LACERDA'!F27</f>
        <v/>
      </c>
      <c r="B3554" s="217">
        <f>'E M SEBASTIÃO LACERDA'!C27</f>
        <v/>
      </c>
    </row>
    <row r="3555" ht="15" customHeight="1" s="107">
      <c r="A3555" s="216">
        <f>'E M DOM PEDRO DE ALCÂNTARA'!F9</f>
        <v/>
      </c>
      <c r="B3555" s="217">
        <f>'E M DOM PEDRO DE ALCÂNTARA'!C9</f>
        <v/>
      </c>
    </row>
    <row r="3556" ht="15" customHeight="1" s="107">
      <c r="A3556" s="216">
        <f>'E M DOM PEDRO DE ALCÂNTARA'!F10</f>
        <v/>
      </c>
      <c r="B3556" s="217">
        <f>'E M DOM PEDRO DE ALCÂNTARA'!C10</f>
        <v/>
      </c>
    </row>
    <row r="3557" ht="15" customHeight="1" s="107">
      <c r="A3557" s="216">
        <f>'E M DOM PEDRO DE ALCÂNTARA'!F11</f>
        <v/>
      </c>
      <c r="B3557" s="217">
        <f>'E M DOM PEDRO DE ALCÂNTARA'!C11</f>
        <v/>
      </c>
    </row>
    <row r="3558" ht="15" customHeight="1" s="107">
      <c r="A3558" s="216">
        <f>'E M DOM PEDRO DE ALCÂNTARA'!F12</f>
        <v/>
      </c>
      <c r="B3558" s="217">
        <f>'E M DOM PEDRO DE ALCÂNTARA'!C12</f>
        <v/>
      </c>
    </row>
    <row r="3559" ht="15" customHeight="1" s="107">
      <c r="A3559" s="216">
        <f>'E M DOM PEDRO DE ALCÂNTARA'!F13</f>
        <v/>
      </c>
      <c r="B3559" s="217">
        <f>'E M DOM PEDRO DE ALCÂNTARA'!C13</f>
        <v/>
      </c>
    </row>
    <row r="3560" ht="15" customHeight="1" s="107">
      <c r="A3560" s="216">
        <f>'E M DOM PEDRO DE ALCÂNTARA'!F14</f>
        <v/>
      </c>
      <c r="B3560" s="217">
        <f>'E M DOM PEDRO DE ALCÂNTARA'!C14</f>
        <v/>
      </c>
    </row>
    <row r="3561" ht="15" customHeight="1" s="107">
      <c r="A3561" s="216">
        <f>'E M DOM PEDRO DE ALCÂNTARA'!F15</f>
        <v/>
      </c>
      <c r="B3561" s="217">
        <f>'E M DOM PEDRO DE ALCÂNTARA'!C15</f>
        <v/>
      </c>
    </row>
    <row r="3562" ht="15" customHeight="1" s="107">
      <c r="A3562" s="216">
        <f>'E M DOM PEDRO DE ALCÂNTARA'!F16</f>
        <v/>
      </c>
      <c r="B3562" s="217">
        <f>'E M DOM PEDRO DE ALCÂNTARA'!C16</f>
        <v/>
      </c>
    </row>
    <row r="3563" ht="15" customHeight="1" s="107">
      <c r="A3563" s="216">
        <f>'E M DOM PEDRO DE ALCÂNTARA'!F17</f>
        <v/>
      </c>
      <c r="B3563" s="217">
        <f>'E M DOM PEDRO DE ALCÂNTARA'!C17</f>
        <v/>
      </c>
    </row>
    <row r="3564" ht="15" customHeight="1" s="107">
      <c r="A3564" s="216">
        <f>'E M DOM PEDRO DE ALCÂNTARA'!F18</f>
        <v/>
      </c>
      <c r="B3564" s="217">
        <f>'E M DOM PEDRO DE ALCÂNTARA'!C18</f>
        <v/>
      </c>
    </row>
    <row r="3565" ht="15" customHeight="1" s="107">
      <c r="A3565" s="216">
        <f>'E M DOM PEDRO DE ALCÂNTARA'!F19</f>
        <v/>
      </c>
      <c r="B3565" s="217">
        <f>'E M DOM PEDRO DE ALCÂNTARA'!C19</f>
        <v/>
      </c>
    </row>
    <row r="3566" ht="15" customHeight="1" s="107">
      <c r="A3566" s="216">
        <f>'E M DOM PEDRO DE ALCÂNTARA'!F20</f>
        <v/>
      </c>
      <c r="B3566" s="217">
        <f>'E M DOM PEDRO DE ALCÂNTARA'!C20</f>
        <v/>
      </c>
    </row>
    <row r="3567" ht="15" customHeight="1" s="107">
      <c r="A3567" s="216">
        <f>'E M DOM PEDRO DE ALCÂNTARA'!F21</f>
        <v/>
      </c>
      <c r="B3567" s="217">
        <f>'E M DOM PEDRO DE ALCÂNTARA'!C21</f>
        <v/>
      </c>
    </row>
    <row r="3568" ht="15" customHeight="1" s="107">
      <c r="A3568" s="216">
        <f>'E M DOM PEDRO DE ALCÂNTARA'!F22</f>
        <v/>
      </c>
      <c r="B3568" s="217">
        <f>'E M DOM PEDRO DE ALCÂNTARA'!C22</f>
        <v/>
      </c>
    </row>
    <row r="3569" ht="15" customHeight="1" s="107">
      <c r="A3569" s="216">
        <f>'E M DOM PEDRO DE ALCÂNTARA'!F23</f>
        <v/>
      </c>
      <c r="B3569" s="217">
        <f>'E M DOM PEDRO DE ALCÂNTARA'!C23</f>
        <v/>
      </c>
    </row>
    <row r="3570" ht="15" customHeight="1" s="107">
      <c r="A3570" s="216">
        <f>'E M DOM PEDRO DE ALCÂNTARA'!F24</f>
        <v/>
      </c>
      <c r="B3570" s="217">
        <f>'E M DOM PEDRO DE ALCÂNTARA'!C24</f>
        <v/>
      </c>
    </row>
    <row r="3571" ht="15" customHeight="1" s="107">
      <c r="A3571" s="216">
        <f>'E M DOM PEDRO DE ALCÂNTARA'!F25</f>
        <v/>
      </c>
      <c r="B3571" s="217">
        <f>'E M DOM PEDRO DE ALCÂNTARA'!C25</f>
        <v/>
      </c>
    </row>
    <row r="3572" ht="15" customHeight="1" s="107">
      <c r="A3572" s="216">
        <f>'E M DOM PEDRO DE ALCÂNTARA'!F26</f>
        <v/>
      </c>
      <c r="B3572" s="217">
        <f>'E M DOM PEDRO DE ALCÂNTARA'!C26</f>
        <v/>
      </c>
    </row>
    <row r="3573" ht="15" customHeight="1" s="107">
      <c r="A3573" s="216">
        <f>'E M DOM PEDRO DE ALCÂNTARA'!F27</f>
        <v/>
      </c>
      <c r="B3573" s="217">
        <f>'E M DOM PEDRO DE ALCÂNTARA'!C27</f>
        <v/>
      </c>
    </row>
    <row r="3574" ht="15" customHeight="1" s="107">
      <c r="A3574" s="216">
        <f>'ESCOLA NOSSA SENHORA DE FÁTIMA'!F9</f>
        <v/>
      </c>
      <c r="B3574" s="217">
        <f>'ESCOLA NOSSA SENHORA DE FÁTIMA'!C9</f>
        <v/>
      </c>
    </row>
    <row r="3575" ht="15" customHeight="1" s="107">
      <c r="A3575" s="216">
        <f>'ESCOLA NOSSA SENHORA DE FÁTIMA'!F10</f>
        <v/>
      </c>
      <c r="B3575" s="217">
        <f>'ESCOLA NOSSA SENHORA DE FÁTIMA'!C10</f>
        <v/>
      </c>
    </row>
    <row r="3576" ht="15" customHeight="1" s="107">
      <c r="A3576" s="216">
        <f>'ESCOLA NOSSA SENHORA DE FÁTIMA'!F11</f>
        <v/>
      </c>
      <c r="B3576" s="217">
        <f>'ESCOLA NOSSA SENHORA DE FÁTIMA'!C11</f>
        <v/>
      </c>
    </row>
    <row r="3577" ht="15" customHeight="1" s="107">
      <c r="A3577" s="216">
        <f>'ESCOLA NOSSA SENHORA DE FÁTIMA'!F12</f>
        <v/>
      </c>
      <c r="B3577" s="217">
        <f>'ESCOLA NOSSA SENHORA DE FÁTIMA'!C12</f>
        <v/>
      </c>
    </row>
    <row r="3578" ht="15" customHeight="1" s="107">
      <c r="A3578" s="216">
        <f>'ESCOLA NOSSA SENHORA DE FÁTIMA'!F13</f>
        <v/>
      </c>
      <c r="B3578" s="217">
        <f>'ESCOLA NOSSA SENHORA DE FÁTIMA'!C13</f>
        <v/>
      </c>
    </row>
    <row r="3579" ht="15" customHeight="1" s="107">
      <c r="A3579" s="216">
        <f>'ESCOLA NOSSA SENHORA DE FÁTIMA'!F14</f>
        <v/>
      </c>
      <c r="B3579" s="217">
        <f>'ESCOLA NOSSA SENHORA DE FÁTIMA'!C14</f>
        <v/>
      </c>
    </row>
    <row r="3580" ht="15" customHeight="1" s="107">
      <c r="A3580" s="216">
        <f>'ESCOLA NOSSA SENHORA DE FÁTIMA'!F15</f>
        <v/>
      </c>
      <c r="B3580" s="217">
        <f>'ESCOLA NOSSA SENHORA DE FÁTIMA'!C15</f>
        <v/>
      </c>
    </row>
    <row r="3581" ht="15" customHeight="1" s="107">
      <c r="A3581" s="216">
        <f>'ESCOLA NOSSA SENHORA DE FÁTIMA'!F16</f>
        <v/>
      </c>
      <c r="B3581" s="217">
        <f>'ESCOLA NOSSA SENHORA DE FÁTIMA'!C16</f>
        <v/>
      </c>
    </row>
    <row r="3582" ht="15" customHeight="1" s="107">
      <c r="A3582" s="216">
        <f>'ESCOLA NOSSA SENHORA DE FÁTIMA'!F17</f>
        <v/>
      </c>
      <c r="B3582" s="217">
        <f>'ESCOLA NOSSA SENHORA DE FÁTIMA'!C17</f>
        <v/>
      </c>
    </row>
    <row r="3583" ht="15" customHeight="1" s="107">
      <c r="A3583" s="216">
        <f>'ESCOLA NOSSA SENHORA DE FÁTIMA'!F18</f>
        <v/>
      </c>
      <c r="B3583" s="217">
        <f>'ESCOLA NOSSA SENHORA DE FÁTIMA'!C18</f>
        <v/>
      </c>
    </row>
    <row r="3584" ht="15" customHeight="1" s="107">
      <c r="A3584" s="216">
        <f>'ESCOLA NOSSA SENHORA DE FÁTIMA'!F19</f>
        <v/>
      </c>
      <c r="B3584" s="217">
        <f>'ESCOLA NOSSA SENHORA DE FÁTIMA'!C19</f>
        <v/>
      </c>
    </row>
    <row r="3585" ht="15" customHeight="1" s="107">
      <c r="A3585" s="216">
        <f>'ESCOLA NOSSA SENHORA DE FÁTIMA'!F20</f>
        <v/>
      </c>
      <c r="B3585" s="217">
        <f>'ESCOLA NOSSA SENHORA DE FÁTIMA'!C20</f>
        <v/>
      </c>
    </row>
    <row r="3586" ht="15" customHeight="1" s="107">
      <c r="A3586" s="216">
        <f>'ESCOLA NOSSA SENHORA DE FÁTIMA'!F21</f>
        <v/>
      </c>
      <c r="B3586" s="217">
        <f>'ESCOLA NOSSA SENHORA DE FÁTIMA'!C21</f>
        <v/>
      </c>
    </row>
    <row r="3587" ht="15" customHeight="1" s="107">
      <c r="A3587" s="216">
        <f>'ESCOLA NOSSA SENHORA DE FÁTIMA'!F22</f>
        <v/>
      </c>
      <c r="B3587" s="217">
        <f>'ESCOLA NOSSA SENHORA DE FÁTIMA'!C22</f>
        <v/>
      </c>
    </row>
    <row r="3588" ht="15" customHeight="1" s="107">
      <c r="A3588" s="216">
        <f>'ESCOLA NOSSA SENHORA DE FÁTIMA'!F23</f>
        <v/>
      </c>
      <c r="B3588" s="217">
        <f>'ESCOLA NOSSA SENHORA DE FÁTIMA'!C23</f>
        <v/>
      </c>
    </row>
    <row r="3589" ht="15" customHeight="1" s="107">
      <c r="A3589" s="216">
        <f>'ESCOLA NOSSA SENHORA DE FÁTIMA'!F24</f>
        <v/>
      </c>
      <c r="B3589" s="217">
        <f>'ESCOLA NOSSA SENHORA DE FÁTIMA'!C24</f>
        <v/>
      </c>
    </row>
    <row r="3590" ht="15" customHeight="1" s="107">
      <c r="A3590" s="216">
        <f>'ESCOLA NOSSA SENHORA DE FÁTIMA'!F25</f>
        <v/>
      </c>
      <c r="B3590" s="217">
        <f>'ESCOLA NOSSA SENHORA DE FÁTIMA'!C25</f>
        <v/>
      </c>
    </row>
    <row r="3591" ht="15" customHeight="1" s="107">
      <c r="A3591" s="216">
        <f>'ESCOLA NOSSA SENHORA DE FÁTIMA'!F26</f>
        <v/>
      </c>
      <c r="B3591" s="217">
        <f>'ESCOLA NOSSA SENHORA DE FÁTIMA'!C26</f>
        <v/>
      </c>
    </row>
    <row r="3592" ht="15" customHeight="1" s="107">
      <c r="A3592" s="216">
        <f>'ESCOLA NOSSA SENHORA DE FÁTIMA'!F27</f>
        <v/>
      </c>
      <c r="B3592" s="217">
        <f>'ESCOLA NOSSA SENHORA DE FÁTIMA'!C27</f>
        <v/>
      </c>
    </row>
    <row r="3593" ht="15" customHeight="1" s="107">
      <c r="A3593" s="216">
        <f>'ESCOLA PAROQUIAL SÃO FRANCISCO '!F9</f>
        <v/>
      </c>
      <c r="B3593" s="217">
        <f>'ESCOLA PAROQUIAL SÃO FRANCISCO '!C9</f>
        <v/>
      </c>
    </row>
    <row r="3594" ht="15" customHeight="1" s="107">
      <c r="A3594" s="216">
        <f>'ESCOLA PAROQUIAL SÃO FRANCISCO '!F10</f>
        <v/>
      </c>
      <c r="B3594" s="217">
        <f>'ESCOLA PAROQUIAL SÃO FRANCISCO '!C10</f>
        <v/>
      </c>
    </row>
    <row r="3595" ht="15" customHeight="1" s="107">
      <c r="A3595" s="216">
        <f>'ESCOLA PAROQUIAL SÃO FRANCISCO '!F11</f>
        <v/>
      </c>
      <c r="B3595" s="217">
        <f>'ESCOLA PAROQUIAL SÃO FRANCISCO '!C11</f>
        <v/>
      </c>
    </row>
    <row r="3596" ht="15" customHeight="1" s="107">
      <c r="A3596" s="216">
        <f>'ESCOLA PAROQUIAL SÃO FRANCISCO '!F12</f>
        <v/>
      </c>
      <c r="B3596" s="217">
        <f>'ESCOLA PAROQUIAL SÃO FRANCISCO '!C12</f>
        <v/>
      </c>
    </row>
    <row r="3597" ht="15" customHeight="1" s="107">
      <c r="A3597" s="216">
        <f>'ESCOLA PAROQUIAL SÃO FRANCISCO '!F13</f>
        <v/>
      </c>
      <c r="B3597" s="217">
        <f>'ESCOLA PAROQUIAL SÃO FRANCISCO '!C13</f>
        <v/>
      </c>
    </row>
    <row r="3598" ht="15" customHeight="1" s="107">
      <c r="A3598" s="216">
        <f>'ESCOLA PAROQUIAL SÃO FRANCISCO '!F14</f>
        <v/>
      </c>
      <c r="B3598" s="217">
        <f>'ESCOLA PAROQUIAL SÃO FRANCISCO '!C14</f>
        <v/>
      </c>
    </row>
    <row r="3599" ht="15" customHeight="1" s="107">
      <c r="A3599" s="216">
        <f>'ESCOLA PAROQUIAL SÃO FRANCISCO '!F15</f>
        <v/>
      </c>
      <c r="B3599" s="217">
        <f>'ESCOLA PAROQUIAL SÃO FRANCISCO '!C15</f>
        <v/>
      </c>
    </row>
    <row r="3600" ht="15" customHeight="1" s="107">
      <c r="A3600" s="216">
        <f>'ESCOLA PAROQUIAL SÃO FRANCISCO '!F16</f>
        <v/>
      </c>
      <c r="B3600" s="217">
        <f>'ESCOLA PAROQUIAL SÃO FRANCISCO '!C16</f>
        <v/>
      </c>
    </row>
    <row r="3601" ht="15" customHeight="1" s="107">
      <c r="A3601" s="216">
        <f>'ESCOLA PAROQUIAL SÃO FRANCISCO '!F17</f>
        <v/>
      </c>
      <c r="B3601" s="217">
        <f>'ESCOLA PAROQUIAL SÃO FRANCISCO '!C17</f>
        <v/>
      </c>
    </row>
    <row r="3602" ht="15" customHeight="1" s="107">
      <c r="A3602" s="216">
        <f>'ESCOLA PAROQUIAL SÃO FRANCISCO '!F18</f>
        <v/>
      </c>
      <c r="B3602" s="217">
        <f>'ESCOLA PAROQUIAL SÃO FRANCISCO '!C18</f>
        <v/>
      </c>
    </row>
    <row r="3603" ht="15" customHeight="1" s="107">
      <c r="A3603" s="216">
        <f>'ESCOLA PAROQUIAL SÃO FRANCISCO '!F19</f>
        <v/>
      </c>
      <c r="B3603" s="217">
        <f>'ESCOLA PAROQUIAL SÃO FRANCISCO '!C19</f>
        <v/>
      </c>
    </row>
    <row r="3604" ht="15" customHeight="1" s="107">
      <c r="A3604" s="216">
        <f>'ESCOLA PAROQUIAL SÃO FRANCISCO '!F20</f>
        <v/>
      </c>
      <c r="B3604" s="217">
        <f>'ESCOLA PAROQUIAL SÃO FRANCISCO '!C20</f>
        <v/>
      </c>
    </row>
    <row r="3605" ht="15" customHeight="1" s="107">
      <c r="A3605" s="216">
        <f>'ESCOLA PAROQUIAL SÃO FRANCISCO '!F21</f>
        <v/>
      </c>
      <c r="B3605" s="217">
        <f>'ESCOLA PAROQUIAL SÃO FRANCISCO '!C21</f>
        <v/>
      </c>
    </row>
    <row r="3606" ht="15" customHeight="1" s="107">
      <c r="A3606" s="216">
        <f>'ESCOLA PAROQUIAL SÃO FRANCISCO '!F22</f>
        <v/>
      </c>
      <c r="B3606" s="217">
        <f>'ESCOLA PAROQUIAL SÃO FRANCISCO '!C22</f>
        <v/>
      </c>
    </row>
    <row r="3607" ht="15" customHeight="1" s="107">
      <c r="A3607" s="216">
        <f>'ESCOLA PAROQUIAL SÃO FRANCISCO '!F23</f>
        <v/>
      </c>
      <c r="B3607" s="217">
        <f>'ESCOLA PAROQUIAL SÃO FRANCISCO '!C23</f>
        <v/>
      </c>
    </row>
    <row r="3608" ht="15" customHeight="1" s="107">
      <c r="A3608" s="216">
        <f>'ESCOLA PAROQUIAL SÃO FRANCISCO '!F24</f>
        <v/>
      </c>
      <c r="B3608" s="217">
        <f>'ESCOLA PAROQUIAL SÃO FRANCISCO '!C24</f>
        <v/>
      </c>
    </row>
    <row r="3609" ht="15" customHeight="1" s="107">
      <c r="A3609" s="216">
        <f>'ESCOLA PAROQUIAL SÃO FRANCISCO '!F25</f>
        <v/>
      </c>
      <c r="B3609" s="217">
        <f>'ESCOLA PAROQUIAL SÃO FRANCISCO '!C25</f>
        <v/>
      </c>
    </row>
    <row r="3610" ht="15" customHeight="1" s="107">
      <c r="A3610" s="216">
        <f>'ESCOLA PAROQUIAL SÃO FRANCISCO '!F26</f>
        <v/>
      </c>
      <c r="B3610" s="217">
        <f>'ESCOLA PAROQUIAL SÃO FRANCISCO '!C26</f>
        <v/>
      </c>
    </row>
    <row r="3611" ht="15" customHeight="1" s="107">
      <c r="A3611" s="216">
        <f>'ESCOLA PAROQUIAL SÃO FRANCISCO '!F27</f>
        <v/>
      </c>
      <c r="B3611" s="217">
        <f>'ESCOLA PAROQUIAL SÃO FRANCISCO '!C27</f>
        <v/>
      </c>
    </row>
    <row r="3612" ht="15" customHeight="1" s="107">
      <c r="A3612" s="216">
        <f>'E M MONSENHOR CIRILLO CALAON'!F9</f>
        <v/>
      </c>
      <c r="B3612" s="217">
        <f>'E M MONSENHOR CIRILLO CALAON'!C9</f>
        <v/>
      </c>
    </row>
    <row r="3613" ht="15" customHeight="1" s="107">
      <c r="A3613" s="216">
        <f>'E M MONSENHOR CIRILLO CALAON'!F10</f>
        <v/>
      </c>
      <c r="B3613" s="217">
        <f>'E M MONSENHOR CIRILLO CALAON'!C10</f>
        <v/>
      </c>
    </row>
    <row r="3614" ht="15" customHeight="1" s="107">
      <c r="A3614" s="216">
        <f>'E M MONSENHOR CIRILLO CALAON'!F11</f>
        <v/>
      </c>
      <c r="B3614" s="217">
        <f>'E M MONSENHOR CIRILLO CALAON'!C11</f>
        <v/>
      </c>
    </row>
    <row r="3615" ht="15" customHeight="1" s="107">
      <c r="A3615" s="216">
        <f>'E M MONSENHOR CIRILLO CALAON'!F12</f>
        <v/>
      </c>
      <c r="B3615" s="217">
        <f>'E M MONSENHOR CIRILLO CALAON'!C12</f>
        <v/>
      </c>
    </row>
    <row r="3616" ht="15" customHeight="1" s="107">
      <c r="A3616" s="216">
        <f>'E M MONSENHOR CIRILLO CALAON'!F13</f>
        <v/>
      </c>
      <c r="B3616" s="217">
        <f>'E M MONSENHOR CIRILLO CALAON'!C13</f>
        <v/>
      </c>
    </row>
    <row r="3617" ht="15" customHeight="1" s="107">
      <c r="A3617" s="216">
        <f>'E M MONSENHOR CIRILLO CALAON'!F14</f>
        <v/>
      </c>
      <c r="B3617" s="217">
        <f>'E M MONSENHOR CIRILLO CALAON'!C14</f>
        <v/>
      </c>
    </row>
    <row r="3618" ht="15" customHeight="1" s="107">
      <c r="A3618" s="216">
        <f>'E M MONSENHOR CIRILLO CALAON'!F15</f>
        <v/>
      </c>
      <c r="B3618" s="217">
        <f>'E M MONSENHOR CIRILLO CALAON'!C15</f>
        <v/>
      </c>
    </row>
    <row r="3619" ht="15" customHeight="1" s="107">
      <c r="A3619" s="216">
        <f>'E M MONSENHOR CIRILLO CALAON'!F16</f>
        <v/>
      </c>
      <c r="B3619" s="217">
        <f>'E M MONSENHOR CIRILLO CALAON'!C16</f>
        <v/>
      </c>
    </row>
    <row r="3620" ht="15" customHeight="1" s="107">
      <c r="A3620" s="216">
        <f>'E M MONSENHOR CIRILLO CALAON'!F17</f>
        <v/>
      </c>
      <c r="B3620" s="217">
        <f>'E M MONSENHOR CIRILLO CALAON'!C17</f>
        <v/>
      </c>
    </row>
    <row r="3621" ht="15" customHeight="1" s="107">
      <c r="A3621" s="216">
        <f>'E M MONSENHOR CIRILLO CALAON'!F18</f>
        <v/>
      </c>
      <c r="B3621" s="217">
        <f>'E M MONSENHOR CIRILLO CALAON'!C18</f>
        <v/>
      </c>
    </row>
    <row r="3622" ht="15" customHeight="1" s="107">
      <c r="A3622" s="216">
        <f>'E M MONSENHOR CIRILLO CALAON'!F19</f>
        <v/>
      </c>
      <c r="B3622" s="217">
        <f>'E M MONSENHOR CIRILLO CALAON'!C19</f>
        <v/>
      </c>
    </row>
    <row r="3623" ht="15" customHeight="1" s="107">
      <c r="A3623" s="216">
        <f>'E M MONSENHOR CIRILLO CALAON'!F20</f>
        <v/>
      </c>
      <c r="B3623" s="217">
        <f>'E M MONSENHOR CIRILLO CALAON'!C20</f>
        <v/>
      </c>
    </row>
    <row r="3624" ht="15" customHeight="1" s="107">
      <c r="A3624" s="216">
        <f>'E M MONSENHOR CIRILLO CALAON'!F21</f>
        <v/>
      </c>
      <c r="B3624" s="217">
        <f>'E M MONSENHOR CIRILLO CALAON'!C21</f>
        <v/>
      </c>
    </row>
    <row r="3625" ht="15" customHeight="1" s="107">
      <c r="A3625" s="216">
        <f>'E M MONSENHOR CIRILLO CALAON'!F22</f>
        <v/>
      </c>
      <c r="B3625" s="217">
        <f>'E M MONSENHOR CIRILLO CALAON'!C22</f>
        <v/>
      </c>
    </row>
    <row r="3626" ht="15" customHeight="1" s="107">
      <c r="A3626" s="216">
        <f>'E M MONSENHOR CIRILLO CALAON'!F23</f>
        <v/>
      </c>
      <c r="B3626" s="217">
        <f>'E M MONSENHOR CIRILLO CALAON'!C23</f>
        <v/>
      </c>
    </row>
    <row r="3627" ht="15" customHeight="1" s="107">
      <c r="A3627" s="216">
        <f>'E M MONSENHOR CIRILLO CALAON'!F24</f>
        <v/>
      </c>
      <c r="B3627" s="217">
        <f>'E M MONSENHOR CIRILLO CALAON'!C24</f>
        <v/>
      </c>
    </row>
    <row r="3628" ht="15" customHeight="1" s="107">
      <c r="A3628" s="216">
        <f>'E M MONSENHOR CIRILLO CALAON'!F25</f>
        <v/>
      </c>
      <c r="B3628" s="217">
        <f>'E M MONSENHOR CIRILLO CALAON'!C25</f>
        <v/>
      </c>
    </row>
    <row r="3629" ht="15" customHeight="1" s="107">
      <c r="A3629" s="216">
        <f>'E M MONSENHOR CIRILLO CALAON'!F26</f>
        <v/>
      </c>
      <c r="B3629" s="217">
        <f>'E M MONSENHOR CIRILLO CALAON'!C26</f>
        <v/>
      </c>
    </row>
    <row r="3630" ht="15" customHeight="1" s="107">
      <c r="A3630" s="216">
        <f>'E M MONSENHOR CIRILLO CALAON'!F27</f>
        <v/>
      </c>
      <c r="B3630" s="217">
        <f>'E M MONSENHOR CIRILLO CALAON'!C27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2026-09-08T20:53:27Z</dcterms:created>
  <dcterms:modified xmlns:dcterms="http://purl.org/dc/terms/" xmlns:xsi="http://www.w3.org/2001/XMLSchema-instance" xsi:type="dcterms:W3CDTF">2026-09-22T21:14:02Z</dcterms:modified>
  <cp:revision>1</cp:revision>
</cp:coreProperties>
</file>